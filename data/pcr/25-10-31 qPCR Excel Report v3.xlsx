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FC82767D-0938-4F06-8B7D-B19D83CD5975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0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<sst xmlns="http://schemas.openxmlformats.org/spreadsheetml/2006/main" count="419" uniqueCount="75">
  <si>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</si>
  <si>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</si>
  <si>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</si>
  <si>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</si>
  <si>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</si>
  <si>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</si>
  <si>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</si>
  <si>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</si>
  <si>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</si>
  <si>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</si>
  <si>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</si>
  <si>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</si>
  <si>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</si>
  <si>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</si>
  <si>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</si>
  <si>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</si>
  <si>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</si>
  <si>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</si>
  <si>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</si>
  <si>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</si>
  <si>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</si>
  <si>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</si>
  <si>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</si>
  <si>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</si>
  <si>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</si>
  <si>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</si>
  <si>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</si>
  <si>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</si>
  <si>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</si>
  <si>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</si>
  <si>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</si>
  <si>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</si>
  <si>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</si>
  <si>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</si>
  <si>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</si>
  <si>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</si>
  <si>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</si>
  <si>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</si>
  <si>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</si>
  <si>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</si>
  <si>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</si>
  <si>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</si>
  <si>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</si>
  <si>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</si>
  <si>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</si>
  <si>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2025-1031 10.28.29 Run.micrun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</si>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</sst>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343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343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343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343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344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344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344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344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345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345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345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345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346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346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346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346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347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347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347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347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348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348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348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348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349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349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349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349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350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350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350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350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351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351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351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351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352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352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352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352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23.325861231286101</v>
      </c>
      <c r="D42" s="8">
        <v>0.82849941374199698</v>
      </c>
      <c r="E42" s="8">
        <v>0.99983</v>
      </c>
      <c r="F42" s="8"/>
    </row>
    <row r="43" spans="1:6">
      <c r="A43" s="8">
        <v>42</v>
      </c>
      <c r="B43" s="8" t="s">
        <v>7</v>
      </c>
      <c r="C43" s="8">
        <v>23.194044876349</v>
      </c>
      <c r="D43" s="8">
        <v>0.86285571617203705</v>
      </c>
      <c r="E43" s="8">
        <v>0.99992999999999999</v>
      </c>
      <c r="F43" s="8"/>
    </row>
    <row r="44" spans="1:6">
      <c r="A44" s="8">
        <v>43</v>
      </c>
      <c r="B44" s="8" t="s">
        <v>7</v>
      </c>
      <c r="C44" s="8">
        <v>23.4736197099508</v>
      </c>
      <c r="D44" s="8">
        <v>0.84369226485818105</v>
      </c>
      <c r="E44" s="8">
        <v>0.99994000000000005</v>
      </c>
      <c r="F44" s="8"/>
    </row>
    <row r="45" spans="1:6">
      <c r="A45" s="8">
        <v>44</v>
      </c>
      <c r="B45" s="8" t="s">
        <v>7</v>
      </c>
      <c r="C45" s="8">
        <v>24.196370283695199</v>
      </c>
      <c r="D45" s="8">
        <v>0.85292174250097597</v>
      </c>
      <c r="E45" s="8">
        <v>0.99980000000000002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343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343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343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343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344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344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344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344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345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345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345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345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346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346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346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346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347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347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347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347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348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348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348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348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349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349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349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349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350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350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350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350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351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351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351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351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352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352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352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352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21.274015561022999</v>
      </c>
      <c r="D42" s="9">
        <v>0.83200018431990297</v>
      </c>
      <c r="E42" s="9">
        <v>0.99883999999999995</v>
      </c>
      <c r="F42" s="9"/>
    </row>
    <row r="43" spans="1:6">
      <c r="A43" s="9">
        <v>42</v>
      </c>
      <c r="B43" s="9" t="s">
        <v>7</v>
      </c>
      <c r="C43" s="9">
        <v>21.110775504173802</v>
      </c>
      <c r="D43" s="9">
        <v>0.84449508860628797</v>
      </c>
      <c r="E43" s="9">
        <v>0.99843999999999999</v>
      </c>
      <c r="F43" s="9"/>
    </row>
    <row r="44" spans="1:6">
      <c r="A44" s="9">
        <v>43</v>
      </c>
      <c r="B44" s="9" t="s">
        <v>7</v>
      </c>
      <c r="C44" s="9">
        <v>21.218995297892299</v>
      </c>
      <c r="D44" s="9">
        <v>0.84376846388684101</v>
      </c>
      <c r="E44" s="9">
        <v>0.99850000000000005</v>
      </c>
      <c r="F44" s="9"/>
    </row>
    <row r="45" spans="1:6">
      <c r="A45" s="9">
        <v>44</v>
      </c>
      <c r="B45" s="9" t="s">
        <v>7</v>
      </c>
      <c r="C45" s="9">
        <v>21.384044188658802</v>
      </c>
      <c r="D45" s="9">
        <v>0.86742965187922705</v>
      </c>
      <c r="E45" s="9">
        <v>0.99856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343</v>
      </c>
      <c r="C2" s="10">
        <v>20.652491338035301</v>
      </c>
      <c r="D2" s="10">
        <v>0.95316748964993403</v>
      </c>
      <c r="E2" s="10">
        <v>0.99963999999999997</v>
      </c>
      <c r="F2" s="10"/>
    </row>
    <row r="3" spans="1:6">
      <c r="A3" s="10">
        <v>2</v>
      </c>
      <c r="B3" s="10">
        <v>343</v>
      </c>
      <c r="C3" s="10">
        <v>20.651693852276001</v>
      </c>
      <c r="D3" s="10">
        <v>0.93203646952450103</v>
      </c>
      <c r="E3" s="10">
        <v>0.99965000000000004</v>
      </c>
      <c r="F3" s="10"/>
    </row>
    <row r="4" spans="1:6">
      <c r="A4" s="10">
        <v>3</v>
      </c>
      <c r="B4" s="10">
        <v>343</v>
      </c>
      <c r="C4" s="10">
        <v>20.645904109757701</v>
      </c>
      <c r="D4" s="10">
        <v>0.92837744226646002</v>
      </c>
      <c r="E4" s="10">
        <v>0.99968999999999997</v>
      </c>
      <c r="F4" s="10"/>
    </row>
    <row r="5" spans="1:6">
      <c r="A5" s="10">
        <v>4</v>
      </c>
      <c r="B5" s="10">
        <v>343</v>
      </c>
      <c r="C5" s="10">
        <v>20.582311557706198</v>
      </c>
      <c r="D5" s="10">
        <v>0.98049625158829401</v>
      </c>
      <c r="E5" s="10">
        <v>0.99948999999999999</v>
      </c>
      <c r="F5" s="10"/>
    </row>
    <row r="6" spans="1:6">
      <c r="A6" s="10">
        <v>5</v>
      </c>
      <c r="B6" s="10">
        <v>344</v>
      </c>
      <c r="C6" s="10">
        <v>20.3717076523595</v>
      </c>
      <c r="D6" s="10">
        <v>0.94722083029832604</v>
      </c>
      <c r="E6" s="10">
        <v>0.99958000000000002</v>
      </c>
      <c r="F6" s="10"/>
    </row>
    <row r="7" spans="1:6">
      <c r="A7" s="10">
        <v>6</v>
      </c>
      <c r="B7" s="10">
        <v>344</v>
      </c>
      <c r="C7" s="10">
        <v>20.286394482095801</v>
      </c>
      <c r="D7" s="10">
        <v>0.91194473893133499</v>
      </c>
      <c r="E7" s="10">
        <v>0.99963999999999997</v>
      </c>
      <c r="F7" s="10"/>
    </row>
    <row r="8" spans="1:6">
      <c r="A8" s="10">
        <v>7</v>
      </c>
      <c r="B8" s="10">
        <v>344</v>
      </c>
      <c r="C8" s="10">
        <v>20.281642913795199</v>
      </c>
      <c r="D8" s="10">
        <v>0.92661200556653101</v>
      </c>
      <c r="E8" s="10">
        <v>0.99963000000000002</v>
      </c>
      <c r="F8" s="10"/>
    </row>
    <row r="9" spans="1:6">
      <c r="A9" s="10">
        <v>8</v>
      </c>
      <c r="B9" s="10">
        <v>344</v>
      </c>
      <c r="C9" s="10">
        <v>20.287028011888101</v>
      </c>
      <c r="D9" s="10">
        <v>0.92522674063508703</v>
      </c>
      <c r="E9" s="10">
        <v>0.99951000000000001</v>
      </c>
      <c r="F9" s="10"/>
    </row>
    <row r="10" spans="1:6">
      <c r="A10" s="10">
        <v>9</v>
      </c>
      <c r="B10" s="10">
        <v>345</v>
      </c>
      <c r="C10" s="10">
        <v>24.8808548508628</v>
      </c>
      <c r="D10" s="10">
        <v>1.0040602175334901</v>
      </c>
      <c r="E10" s="10">
        <v>0.99897000000000002</v>
      </c>
      <c r="F10" s="10"/>
    </row>
    <row r="11" spans="1:6">
      <c r="A11" s="10">
        <v>10</v>
      </c>
      <c r="B11" s="10">
        <v>345</v>
      </c>
      <c r="C11" s="10">
        <v>24.543266565445901</v>
      </c>
      <c r="D11" s="10">
        <v>0.95786457481057796</v>
      </c>
      <c r="E11" s="10">
        <v>0.99961</v>
      </c>
      <c r="F11" s="10"/>
    </row>
    <row r="12" spans="1:6">
      <c r="A12" s="10">
        <v>11</v>
      </c>
      <c r="B12" s="10">
        <v>345</v>
      </c>
      <c r="C12" s="10">
        <v>24.527873526408101</v>
      </c>
      <c r="D12" s="10">
        <v>0.93783618772588795</v>
      </c>
      <c r="E12" s="10">
        <v>0.99973999999999996</v>
      </c>
      <c r="F12" s="10"/>
    </row>
    <row r="13" spans="1:6">
      <c r="A13" s="10">
        <v>12</v>
      </c>
      <c r="B13" s="10">
        <v>345</v>
      </c>
      <c r="C13" s="10">
        <v>24.669723366130601</v>
      </c>
      <c r="D13" s="10">
        <v>0.95837581487289303</v>
      </c>
      <c r="E13" s="10">
        <v>0.99944999999999995</v>
      </c>
      <c r="F13" s="10"/>
    </row>
    <row r="14" spans="1:6">
      <c r="A14" s="10">
        <v>13</v>
      </c>
      <c r="B14" s="10">
        <v>346</v>
      </c>
      <c r="C14" s="10">
        <v>23.672953975140299</v>
      </c>
      <c r="D14" s="10">
        <v>0.897732377981588</v>
      </c>
      <c r="E14" s="10">
        <v>0.99983</v>
      </c>
      <c r="F14" s="10"/>
    </row>
    <row r="15" spans="1:6">
      <c r="A15" s="10">
        <v>14</v>
      </c>
      <c r="B15" s="10">
        <v>346</v>
      </c>
      <c r="C15" s="10">
        <v>23.7088264846359</v>
      </c>
      <c r="D15" s="10">
        <v>0.89342236112304696</v>
      </c>
      <c r="E15" s="10">
        <v>0.99983</v>
      </c>
      <c r="F15" s="10"/>
    </row>
    <row r="16" spans="1:6">
      <c r="A16" s="10">
        <v>15</v>
      </c>
      <c r="B16" s="10">
        <v>346</v>
      </c>
      <c r="C16" s="10">
        <v>23.675980190159599</v>
      </c>
      <c r="D16" s="10">
        <v>0.89733693027217698</v>
      </c>
      <c r="E16" s="10">
        <v>0.99982000000000004</v>
      </c>
      <c r="F16" s="10"/>
    </row>
    <row r="17" spans="1:6">
      <c r="A17" s="10">
        <v>16</v>
      </c>
      <c r="B17" s="10">
        <v>346</v>
      </c>
      <c r="C17" s="10">
        <v>23.593340061592201</v>
      </c>
      <c r="D17" s="10">
        <v>0.87522622489273405</v>
      </c>
      <c r="E17" s="10">
        <v>0.99988999999999995</v>
      </c>
      <c r="F17" s="10"/>
    </row>
    <row r="18" spans="1:6">
      <c r="A18" s="10">
        <v>17</v>
      </c>
      <c r="B18" s="10">
        <v>347</v>
      </c>
      <c r="C18" s="10">
        <v>31.320623260967</v>
      </c>
      <c r="D18" s="10">
        <v>0.99381153641779396</v>
      </c>
      <c r="E18" s="10">
        <v>0.99922999999999995</v>
      </c>
      <c r="F18" s="10"/>
    </row>
    <row r="19" spans="1:6">
      <c r="A19" s="10">
        <v>18</v>
      </c>
      <c r="B19" s="10">
        <v>347</v>
      </c>
      <c r="C19" s="10">
        <v>25.145214018349101</v>
      </c>
      <c r="D19" s="10">
        <v>0.94507593342032903</v>
      </c>
      <c r="E19" s="10">
        <v>0.99941000000000002</v>
      </c>
      <c r="F19" s="10"/>
    </row>
    <row r="20" spans="1:6">
      <c r="A20" s="10">
        <v>19</v>
      </c>
      <c r="B20" s="10">
        <v>347</v>
      </c>
      <c r="C20" s="10">
        <v>25.0611108007786</v>
      </c>
      <c r="D20" s="10">
        <v>0.97284040477130695</v>
      </c>
      <c r="E20" s="10">
        <v>0.99917</v>
      </c>
      <c r="F20" s="10"/>
    </row>
    <row r="21" spans="1:6">
      <c r="A21" s="10">
        <v>20</v>
      </c>
      <c r="B21" s="10">
        <v>347</v>
      </c>
      <c r="C21" s="10">
        <v>25.002234615792901</v>
      </c>
      <c r="D21" s="10">
        <v>0.98382317324480595</v>
      </c>
      <c r="E21" s="10">
        <v>0.99919999999999998</v>
      </c>
      <c r="F21" s="10"/>
    </row>
    <row r="22" spans="1:6">
      <c r="A22" s="10">
        <v>21</v>
      </c>
      <c r="B22" s="10">
        <v>348</v>
      </c>
      <c r="C22" s="10">
        <v>20.1594152690515</v>
      </c>
      <c r="D22" s="10">
        <v>0.97490201469695903</v>
      </c>
      <c r="E22" s="10">
        <v>0.99914000000000003</v>
      </c>
      <c r="F22" s="10"/>
    </row>
    <row r="23" spans="1:6">
      <c r="A23" s="10">
        <v>22</v>
      </c>
      <c r="B23" s="10">
        <v>348</v>
      </c>
      <c r="C23" s="10">
        <v>20.083837709890901</v>
      </c>
      <c r="D23" s="10">
        <v>0.95281564620392201</v>
      </c>
      <c r="E23" s="10">
        <v>0.99936000000000003</v>
      </c>
      <c r="F23" s="10"/>
    </row>
    <row r="24" spans="1:6">
      <c r="A24" s="10">
        <v>23</v>
      </c>
      <c r="B24" s="10">
        <v>348</v>
      </c>
      <c r="C24" s="10">
        <v>20.193647186136399</v>
      </c>
      <c r="D24" s="10">
        <v>1.00058194952177</v>
      </c>
      <c r="E24" s="10">
        <v>0.99904000000000004</v>
      </c>
      <c r="F24" s="10"/>
    </row>
    <row r="25" spans="1:6">
      <c r="A25" s="10">
        <v>24</v>
      </c>
      <c r="B25" s="10">
        <v>348</v>
      </c>
      <c r="C25" s="10">
        <v>20.1206748580924</v>
      </c>
      <c r="D25" s="10">
        <v>0.94669098498581905</v>
      </c>
      <c r="E25" s="10">
        <v>0.99917</v>
      </c>
      <c r="F25" s="10"/>
    </row>
    <row r="26" spans="1:6">
      <c r="A26" s="10">
        <v>25</v>
      </c>
      <c r="B26" s="10">
        <v>349</v>
      </c>
      <c r="C26" s="10">
        <v>22.704438802944601</v>
      </c>
      <c r="D26" s="10">
        <v>0.93867584144212401</v>
      </c>
      <c r="E26" s="10">
        <v>0.99960000000000004</v>
      </c>
      <c r="F26" s="10"/>
    </row>
    <row r="27" spans="1:6">
      <c r="A27" s="10">
        <v>26</v>
      </c>
      <c r="B27" s="10">
        <v>349</v>
      </c>
      <c r="C27" s="10">
        <v>22.926189914927001</v>
      </c>
      <c r="D27" s="10">
        <v>1.0287026870514899</v>
      </c>
      <c r="E27" s="10">
        <v>0.99856</v>
      </c>
      <c r="F27" s="10"/>
    </row>
    <row r="28" spans="1:6">
      <c r="A28" s="10">
        <v>27</v>
      </c>
      <c r="B28" s="10">
        <v>349</v>
      </c>
      <c r="C28" s="10">
        <v>22.415926584316299</v>
      </c>
      <c r="D28" s="10">
        <v>0.94848237022700499</v>
      </c>
      <c r="E28" s="10">
        <v>0.99965999999999999</v>
      </c>
      <c r="F28" s="10"/>
    </row>
    <row r="29" spans="1:6">
      <c r="A29" s="10">
        <v>28</v>
      </c>
      <c r="B29" s="10">
        <v>349</v>
      </c>
      <c r="C29" s="10">
        <v>22.434604003590302</v>
      </c>
      <c r="D29" s="10">
        <v>0.94048555882349005</v>
      </c>
      <c r="E29" s="10">
        <v>0.99965999999999999</v>
      </c>
      <c r="F29" s="10"/>
    </row>
    <row r="30" spans="1:6">
      <c r="A30" s="10">
        <v>29</v>
      </c>
      <c r="B30" s="10">
        <v>350</v>
      </c>
      <c r="C30" s="10">
        <v>20.205670534171201</v>
      </c>
      <c r="D30" s="10">
        <v>1.0170472360154701</v>
      </c>
      <c r="E30" s="10">
        <v>0.99883</v>
      </c>
      <c r="F30" s="10"/>
    </row>
    <row r="31" spans="1:6">
      <c r="A31" s="10">
        <v>30</v>
      </c>
      <c r="B31" s="10">
        <v>350</v>
      </c>
      <c r="C31" s="10">
        <v>20.274913333495899</v>
      </c>
      <c r="D31" s="10">
        <v>0.99275415226372199</v>
      </c>
      <c r="E31" s="10">
        <v>0.99912000000000001</v>
      </c>
      <c r="F31" s="10"/>
    </row>
    <row r="32" spans="1:6">
      <c r="A32" s="10">
        <v>31</v>
      </c>
      <c r="B32" s="10">
        <v>350</v>
      </c>
      <c r="C32" s="10">
        <v>20.195676879141899</v>
      </c>
      <c r="D32" s="10">
        <v>1.0153387594816301</v>
      </c>
      <c r="E32" s="10">
        <v>0.99885000000000002</v>
      </c>
      <c r="F32" s="10"/>
    </row>
    <row r="33" spans="1:6">
      <c r="A33" s="10">
        <v>32</v>
      </c>
      <c r="B33" s="10">
        <v>350</v>
      </c>
      <c r="C33" s="10">
        <v>20.2150041856958</v>
      </c>
      <c r="D33" s="10">
        <v>1.0222058509192</v>
      </c>
      <c r="E33" s="10">
        <v>0.99887000000000004</v>
      </c>
      <c r="F33" s="10"/>
    </row>
    <row r="34" spans="1:6">
      <c r="A34" s="10">
        <v>33</v>
      </c>
      <c r="B34" s="10">
        <v>351</v>
      </c>
      <c r="C34" s="10">
        <v>22.392548114740102</v>
      </c>
      <c r="D34" s="10">
        <v>0.92445997967155302</v>
      </c>
      <c r="E34" s="10">
        <v>0.99968999999999997</v>
      </c>
      <c r="F34" s="10"/>
    </row>
    <row r="35" spans="1:6">
      <c r="A35" s="10">
        <v>34</v>
      </c>
      <c r="B35" s="10">
        <v>351</v>
      </c>
      <c r="C35" s="10">
        <v>22.338808763153299</v>
      </c>
      <c r="D35" s="10">
        <v>0.91214981832338604</v>
      </c>
      <c r="E35" s="10">
        <v>0.99973999999999996</v>
      </c>
      <c r="F35" s="10"/>
    </row>
    <row r="36" spans="1:6">
      <c r="A36" s="10">
        <v>35</v>
      </c>
      <c r="B36" s="10">
        <v>351</v>
      </c>
      <c r="C36" s="10">
        <v>22.397343343038301</v>
      </c>
      <c r="D36" s="10">
        <v>0.92662453455593596</v>
      </c>
      <c r="E36" s="10">
        <v>0.99965000000000004</v>
      </c>
      <c r="F36" s="10"/>
    </row>
    <row r="37" spans="1:6">
      <c r="A37" s="10">
        <v>36</v>
      </c>
      <c r="B37" s="10">
        <v>351</v>
      </c>
      <c r="C37" s="10">
        <v>22.362846552027001</v>
      </c>
      <c r="D37" s="10">
        <v>0.91322475561393301</v>
      </c>
      <c r="E37" s="10">
        <v>0.99973000000000001</v>
      </c>
      <c r="F37" s="10"/>
    </row>
    <row r="38" spans="1:6">
      <c r="A38" s="10">
        <v>37</v>
      </c>
      <c r="B38" s="10">
        <v>352</v>
      </c>
      <c r="C38" s="10">
        <v>21.425823603513301</v>
      </c>
      <c r="D38" s="10">
        <v>0.92623995027734296</v>
      </c>
      <c r="E38" s="10">
        <v>0.99966999999999995</v>
      </c>
      <c r="F38" s="10"/>
    </row>
    <row r="39" spans="1:6">
      <c r="A39" s="10">
        <v>38</v>
      </c>
      <c r="B39" s="10">
        <v>352</v>
      </c>
      <c r="C39" s="10">
        <v>21.382612986137101</v>
      </c>
      <c r="D39" s="10">
        <v>0.90909198878344699</v>
      </c>
      <c r="E39" s="10">
        <v>0.99970999999999999</v>
      </c>
      <c r="F39" s="10"/>
    </row>
    <row r="40" spans="1:6">
      <c r="A40" s="10">
        <v>39</v>
      </c>
      <c r="B40" s="10">
        <v>352</v>
      </c>
      <c r="C40" s="10">
        <v>21.3314483983354</v>
      </c>
      <c r="D40" s="10">
        <v>0.92150626962293103</v>
      </c>
      <c r="E40" s="10">
        <v>0.99970000000000003</v>
      </c>
      <c r="F40" s="10"/>
    </row>
    <row r="41" spans="1:6">
      <c r="A41" s="10">
        <v>40</v>
      </c>
      <c r="B41" s="10">
        <v>352</v>
      </c>
      <c r="C41" s="10">
        <v>21.314117966385901</v>
      </c>
      <c r="D41" s="10">
        <v>0.90610466375069199</v>
      </c>
      <c r="E41" s="10">
        <v>0.99975000000000003</v>
      </c>
      <c r="F41" s="10"/>
    </row>
    <row r="42" spans="1:6">
      <c r="A42" s="10">
        <v>41</v>
      </c>
      <c r="B42" s="10" t="s">
        <v>7</v>
      </c>
      <c r="C42" s="10">
        <v>36.120595497909399</v>
      </c>
      <c r="D42" s="10">
        <v>0.70610713231394895</v>
      </c>
      <c r="E42" s="10">
        <v>0.99956999999999996</v>
      </c>
      <c r="F42" s="10"/>
    </row>
    <row r="43" spans="1:6">
      <c r="A43" s="10">
        <v>42</v>
      </c>
      <c r="B43" s="10" t="s">
        <v>7</v>
      </c>
      <c r="C43" s="10">
        <v>35.404495893731998</v>
      </c>
      <c r="D43" s="10">
        <v>0.698072936281662</v>
      </c>
      <c r="E43" s="10">
        <v>0.99960000000000004</v>
      </c>
      <c r="F43" s="10"/>
    </row>
    <row r="44" spans="1:6">
      <c r="A44" s="10">
        <v>43</v>
      </c>
      <c r="B44" s="10" t="s">
        <v>7</v>
      </c>
      <c r="C44" s="10">
        <v>35.617688962008302</v>
      </c>
      <c r="D44" s="10">
        <v>0.71500181120678497</v>
      </c>
      <c r="E44" s="10">
        <v>0.99922</v>
      </c>
      <c r="F44" s="10"/>
    </row>
    <row r="45" spans="1:6">
      <c r="A45" s="10">
        <v>44</v>
      </c>
      <c r="B45" s="10" t="s">
        <v>7</v>
      </c>
      <c r="C45" s="10">
        <v>33.810638371902101</v>
      </c>
      <c r="D45" s="10">
        <v>0.77068870796307398</v>
      </c>
      <c r="E45" s="10">
        <v>0.99958000000000002</v>
      </c>
      <c r="F45" s="10"/>
    </row>
    <row r="46" spans="1:6">
      <c r="A46" s="10">
        <v>45</v>
      </c>
      <c r="B46" s="10" t="s">
        <v>8</v>
      </c>
      <c r="C46" s="10">
        <v>38.518748404495803</v>
      </c>
      <c r="D46" s="10">
        <v>0.87038011859137299</v>
      </c>
      <c r="E46" s="10">
        <v>0.98158000000000001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37.870727864232499</v>
      </c>
      <c r="D48" s="10">
        <v>0.94116404272277299</v>
      </c>
      <c r="E48" s="10">
        <v>0.99746000000000001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343</v>
      </c>
      <c r="B2">
        <f>IF('177T'!C2="", "", '177T'!C2)</f>
        <v>-1</v>
      </c>
      <c r="C2">
        <f>IF('18S2'!C2="", "", '18S2'!C2)</f>
        <v>-1</v>
      </c>
      <c r="D2">
        <f>IF(RNAseP!C2="", "", RNAseP!C2)</f>
        <v>20.652491338035301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343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20.651693852276001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343</v>
      </c>
      <c r="B4">
        <f>IF('177T'!C4="", "", '177T'!C4)</f>
        <v>-1</v>
      </c>
      <c r="C4">
        <f>IF('18S2'!C4="", "", '18S2'!C4)</f>
        <v>-1</v>
      </c>
      <c r="D4">
        <f>IF(RNAseP!C4="", "", RNAseP!C4)</f>
        <v>20.645904109757701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343</v>
      </c>
      <c r="B5">
        <f>IF('177T'!C5="", "", '177T'!C5)</f>
        <v>-1</v>
      </c>
      <c r="C5">
        <f>IF('18S2'!C5="", "", '18S2'!C5)</f>
        <v>-1</v>
      </c>
      <c r="D5">
        <f>IF(RNAseP!C5="", "", RNAseP!C5)</f>
        <v>20.582311557706198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344</v>
      </c>
      <c r="B6">
        <f>IF('177T'!C6="", "", '177T'!C6)</f>
        <v>-1</v>
      </c>
      <c r="C6">
        <f>IF('18S2'!C6="", "", '18S2'!C6)</f>
        <v>-1</v>
      </c>
      <c r="D6">
        <f>IF(RNAseP!C6="", "", RNAseP!C6)</f>
        <v>20.3717076523595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344</v>
      </c>
      <c r="B7">
        <f>IF('177T'!C7="", "", '177T'!C7)</f>
        <v>-1</v>
      </c>
      <c r="C7">
        <f>IF('18S2'!C7="", "", '18S2'!C7)</f>
        <v>-1</v>
      </c>
      <c r="D7">
        <f>IF(RNAseP!C7="", "", RNAseP!C7)</f>
        <v>20.286394482095801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344</v>
      </c>
      <c r="B8">
        <f>IF('177T'!C8="", "", '177T'!C8)</f>
        <v>-1</v>
      </c>
      <c r="C8">
        <f>IF('18S2'!C8="", "", '18S2'!C8)</f>
        <v>-1</v>
      </c>
      <c r="D8">
        <f>IF(RNAseP!C8="", "", RNAseP!C8)</f>
        <v>20.281642913795199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344</v>
      </c>
      <c r="B9">
        <f>IF('177T'!C9="", "", '177T'!C9)</f>
        <v>-1</v>
      </c>
      <c r="C9">
        <f>IF('18S2'!C9="", "", '18S2'!C9)</f>
        <v>-1</v>
      </c>
      <c r="D9">
        <f>IF(RNAseP!C9="", "", RNAseP!C9)</f>
        <v>20.287028011888101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345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24.8808548508628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345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24.543266565445901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345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24.527873526408101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345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24.669723366130601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346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23.672953975140299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346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23.7088264846359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346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23.675980190159599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346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23.593340061592201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347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31.320623260967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0</v>
      </c>
      <c r="H18" s="3" t="str" cm="1">
        <f t="array" ref="H18">INDEX(Decision!$D$1:$D$28, MATCH(E18&amp;F18&amp;G18, Decision!$A$1:$A$28&amp;Decision!$B$1:$B$28&amp;Decision!$C$1:$C$28, 0))</f>
        <v>F</v>
      </c>
      <c r="I18" t="str" cm="1">
        <f t="array" ref="I18">INDEX(Decision!$E$1:$E$28, MATCH(E18&amp;F18&amp;G18, Decision!$A$1:$A$28&amp;Decision!$B$1:$B$28&amp;Decision!$C$1:$C$28, 0))</f>
        <v>low human DNA</v>
      </c>
    </row>
    <row r="19" spans="1:9">
      <c r="A19">
        <f>IF(AND('177T'!B19 = '18S2'!B19, '177T'!B19 = RNAseP!B19, '177T'!B19 &lt;&gt; ""), '177T'!B19, IF('177T'!B19 = "", "", "Mismatch"))</f>
        <v>347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25.145214018349101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347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25.0611108007786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347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25.002234615792901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348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20.1594152690515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348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20.083837709890901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348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20.193647186136399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348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20.1206748580924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349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22.704438802944601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349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22.926189914927001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349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22.415926584316299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349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22.434604003590302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350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20.205670534171201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350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20.274913333495899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350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20.195676879141899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350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20.2150041856958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351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22.392548114740102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351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22.338808763153299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351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22.397343343038301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351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22.362846552027001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352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21.425823603513301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352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21.382612986137101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352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21.3314483983354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352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21.314117966385901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23.325861231286101</v>
      </c>
      <c r="C42">
        <f>IF('18S2'!C42="", "", '18S2'!C42)</f>
        <v>21.274015561022999</v>
      </c>
      <c r="D42">
        <f>IF(RNAseP!C42="", "", RNAseP!C42)</f>
        <v>36.120595497909399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23.194044876349</v>
      </c>
      <c r="C43">
        <f>IF('18S2'!C43="", "", '18S2'!C43)</f>
        <v>21.110775504173802</v>
      </c>
      <c r="D43">
        <f>IF(RNAseP!C43="", "", RNAseP!C43)</f>
        <v>35.404495893731998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23.4736197099508</v>
      </c>
      <c r="C44">
        <f>IF('18S2'!C44="", "", '18S2'!C44)</f>
        <v>21.218995297892299</v>
      </c>
      <c r="D44">
        <f>IF(RNAseP!C44="", "", RNAseP!C44)</f>
        <v>35.617688962008302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24.196370283695199</v>
      </c>
      <c r="C45">
        <f>IF('18S2'!C45="", "", '18S2'!C45)</f>
        <v>21.384044188658802</v>
      </c>
      <c r="D45">
        <f>IF(RNAseP!C45="", "", RNAseP!C45)</f>
        <v>33.810638371902101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38.518748404495803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37.870727864232499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12" sqref="C12:G12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45961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343</v>
      </c>
      <c r="B16" s="11">
        <v>2501216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20,6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344</v>
      </c>
      <c r="B17" s="11">
        <v>2501201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20,3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345</v>
      </c>
      <c r="B18" s="11">
        <v>2501524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24,7 +/- 0,2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346</v>
      </c>
      <c r="B19" s="11">
        <v>2501525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23,7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347</v>
      </c>
      <c r="B20" s="11">
        <v>2501542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26,6 +/- 3,1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348</v>
      </c>
      <c r="B21" s="11">
        <v>2500759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20,1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349</v>
      </c>
      <c r="B22" s="11">
        <v>2501066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22,6 +/- 0,2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350</v>
      </c>
      <c r="B23" s="11">
        <v>2501052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20,2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351</v>
      </c>
      <c r="B24" s="11">
        <v>2501073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22,4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352</v>
      </c>
      <c r="B25" s="11">
        <v>2501062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35,2 +/- 1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 +/- 0,5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343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20,6 +/- 0</v>
      </c>
    </row>
    <row r="3" spans="1:11">
      <c r="A3" s="3">
        <f>Report!A17</f>
        <v>344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20,3 +/- 0</v>
      </c>
    </row>
    <row r="4" spans="1:11">
      <c r="A4" s="3">
        <f>Report!A18</f>
        <v>345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24,7 +/- 0,2</v>
      </c>
    </row>
    <row r="5" spans="1:11">
      <c r="A5" s="3">
        <f>Report!A19</f>
        <v>346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23,7 +/- 0</v>
      </c>
    </row>
    <row r="6" spans="1:11">
      <c r="A6" s="3">
        <f>Report!A20</f>
        <v>347</v>
      </c>
      <c r="B6" s="3" t="str" cm="1">
        <f t="array" ref="B6">_xlfn.TEXTJOIN(", ", TRUE, IF(Analysis!$A$2:$A$82=A6, Analysis!$H$2:$H$82, ""))</f>
        <v>F, N, N, N</v>
      </c>
      <c r="C6" s="3" t="str" cm="1">
        <f t="array" ref="C6">_xlfn.TEXTJOIN(", ", TRUE, IF(Analysis!$A$2:$A$82=A6, Analysis!$I$2:$I$82, ""))</f>
        <v>low human DNA,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26,6 +/- 3,1</v>
      </c>
    </row>
    <row r="7" spans="1:11">
      <c r="A7" s="3">
        <f>Report!A21</f>
        <v>348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20,1 +/- 0</v>
      </c>
      <c r="K7" s="4"/>
    </row>
    <row r="8" spans="1:11">
      <c r="A8" s="3">
        <f>Report!A22</f>
        <v>349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22,6 +/- 0,2</v>
      </c>
    </row>
    <row r="9" spans="1:11">
      <c r="A9" s="3">
        <f>Report!A23</f>
        <v>350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20,2 +/- 0</v>
      </c>
    </row>
    <row r="10" spans="1:11">
      <c r="A10" s="3">
        <f>Report!A24</f>
        <v>351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22,4 +/- 0</v>
      </c>
    </row>
    <row r="11" spans="1:11">
      <c r="A11" s="3">
        <f>Report!A25</f>
        <v>352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35,2 +/- 1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F, OK</v>
      </c>
      <c r="C13" s="3" t="str" cm="1">
        <f t="array" ref="C13">_xlfn.TEXTJOIN(", ", TRUE, IF(Analysis!$A$2:$A$82=A13, Analysis!$I$2:$I$82, ""))</f>
        <v>RNAseP,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38,2 +/- 0,5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2025-11-06T15:27:55Z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40B9E-3844-4039-8A2A-456C47312126}"/>
</file>

<file path=customXml/itemProps2.xml><?xml version="1.0" encoding="utf-8"?>
<ds:datastoreItem xmlns:ds="http://schemas.openxmlformats.org/officeDocument/2006/customXml" ds:itemID="{02984F1F-1A8E-4280-BBEA-80B7CF3DB426}"/>
</file>

<file path=customXml/itemProps3.xml><?xml version="1.0" encoding="utf-8"?>
<ds:datastoreItem xmlns:ds="http://schemas.openxmlformats.org/officeDocument/2006/customXml" ds:itemID="{CC6AA7E0-082A-4F7D-9842-701D9C624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2025-11-10T11:52:36Z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