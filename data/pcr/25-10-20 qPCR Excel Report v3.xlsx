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19C19733-52FC-42FC-BD28-62E05B866DB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72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<sst xmlns="http://schemas.openxmlformats.org/spreadsheetml/2006/main" count="428" uniqueCount="76">
  <si>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</si>
  <si>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</si>
  <si>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</si>
  <si>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</si>
  <si>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</si>
  <si>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</si>
  <si>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</si>
  <si>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</si>
  <si>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</si>
  <si>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</si>
  <si>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</si>
  <si>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</si>
  <si>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</si>
  <si>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</si>
  <si>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</si>
  <si>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</si>
  <si>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</si>
  <si>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</si>
  <si>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</si>
  <si>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</si>
  <si>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</si>
  <si>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</si>
  <si>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</si>
  <si>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</si>
  <si>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</si>
  <si>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</si>
  <si>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</si>
  <si>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</si>
  <si>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</si>
  <si>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</si>
  <si>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</si>
  <si>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</si>
  <si>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</si>
  <si>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</si>
  <si>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</si>
  <si>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</si>
  <si>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</si>
  <si>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</si>
  <si>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</si>
  <si>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</si>
  <si>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</si>
  <si>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</si>
  <si>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</si>
  <si>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</si>
  <si>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</si>
  <si>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2025-10-20 11.16.30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</si>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</sst>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286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286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286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286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287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287</v>
      </c>
      <c r="C7" s="8">
        <v>32.258969133136198</v>
      </c>
      <c r="D7" s="8">
        <v>0.64317746216578697</v>
      </c>
      <c r="E7" s="8">
        <v>0.99936000000000003</v>
      </c>
      <c r="F7" s="8"/>
    </row>
    <row r="8" spans="1:6">
      <c r="A8" s="8">
        <v>7</v>
      </c>
      <c r="B8" s="8">
        <v>287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287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288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288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288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288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289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289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289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289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290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290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290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290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291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291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291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291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292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292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292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292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293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293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293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293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294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294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294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294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295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295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295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295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22.0066731640737</v>
      </c>
      <c r="D42" s="8">
        <v>0.92818402587443705</v>
      </c>
      <c r="E42" s="8">
        <v>0.99988999999999995</v>
      </c>
      <c r="F42" s="8"/>
    </row>
    <row r="43" spans="1:6">
      <c r="A43" s="8">
        <v>42</v>
      </c>
      <c r="B43" s="8" t="s">
        <v>7</v>
      </c>
      <c r="C43" s="8">
        <v>21.795180109903299</v>
      </c>
      <c r="D43" s="8">
        <v>0.92814529639491306</v>
      </c>
      <c r="E43" s="8">
        <v>0.99968000000000001</v>
      </c>
      <c r="F43" s="8"/>
    </row>
    <row r="44" spans="1:6">
      <c r="A44" s="8">
        <v>43</v>
      </c>
      <c r="B44" s="8" t="s">
        <v>7</v>
      </c>
      <c r="C44" s="8">
        <v>21.144676043251099</v>
      </c>
      <c r="D44" s="8">
        <v>0.83225510180997397</v>
      </c>
      <c r="E44" s="8">
        <v>0.99982000000000004</v>
      </c>
      <c r="F44" s="8"/>
    </row>
    <row r="45" spans="1:6">
      <c r="A45" s="8">
        <v>44</v>
      </c>
      <c r="B45" s="8" t="s">
        <v>7</v>
      </c>
      <c r="C45" s="8">
        <v>21.0554601045929</v>
      </c>
      <c r="D45" s="8">
        <v>0.83217833910221395</v>
      </c>
      <c r="E45" s="8">
        <v>0.99978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286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286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286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286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287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287</v>
      </c>
      <c r="C7" s="9">
        <v>37.3888179209169</v>
      </c>
      <c r="D7" s="9">
        <v>0.46871259337828902</v>
      </c>
      <c r="E7" s="9">
        <v>0.99709999999999999</v>
      </c>
      <c r="F7" s="9"/>
    </row>
    <row r="8" spans="1:6">
      <c r="A8" s="9">
        <v>7</v>
      </c>
      <c r="B8" s="9">
        <v>287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287</v>
      </c>
      <c r="C9" s="9">
        <v>37.5323254243253</v>
      </c>
      <c r="D9" s="9">
        <v>0.43891200372276001</v>
      </c>
      <c r="E9" s="9">
        <v>0.998</v>
      </c>
      <c r="F9" s="9"/>
    </row>
    <row r="10" spans="1:6">
      <c r="A10" s="9">
        <v>9</v>
      </c>
      <c r="B10" s="9">
        <v>288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288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288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288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289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289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289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289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290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290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290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290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291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291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291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291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292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292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292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292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293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293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293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293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294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294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294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294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295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295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295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295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19.482634633933301</v>
      </c>
      <c r="D42" s="9">
        <v>1.0271628055842601</v>
      </c>
      <c r="E42" s="9">
        <v>0.99873999999999996</v>
      </c>
      <c r="F42" s="9"/>
    </row>
    <row r="43" spans="1:6">
      <c r="A43" s="9">
        <v>42</v>
      </c>
      <c r="B43" s="9" t="s">
        <v>7</v>
      </c>
      <c r="C43" s="9">
        <v>19.442245573767199</v>
      </c>
      <c r="D43" s="9">
        <v>1.0247438723320501</v>
      </c>
      <c r="E43" s="9">
        <v>0.99872000000000005</v>
      </c>
      <c r="F43" s="9"/>
    </row>
    <row r="44" spans="1:6">
      <c r="A44" s="9">
        <v>43</v>
      </c>
      <c r="B44" s="9" t="s">
        <v>7</v>
      </c>
      <c r="C44" s="9">
        <v>19.363702520200199</v>
      </c>
      <c r="D44" s="9">
        <v>1.0317446301811299</v>
      </c>
      <c r="E44" s="9">
        <v>0.99858999999999998</v>
      </c>
      <c r="F44" s="9"/>
    </row>
    <row r="45" spans="1:6">
      <c r="A45" s="9">
        <v>44</v>
      </c>
      <c r="B45" s="9" t="s">
        <v>7</v>
      </c>
      <c r="C45" s="9">
        <v>19.130784191212101</v>
      </c>
      <c r="D45" s="9">
        <v>0.97108734783094997</v>
      </c>
      <c r="E45" s="9">
        <v>0.99868000000000001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286</v>
      </c>
      <c r="C2" s="10">
        <v>23.731634369336501</v>
      </c>
      <c r="D2" s="10">
        <v>0.91559070937148601</v>
      </c>
      <c r="E2" s="10">
        <v>0.99956</v>
      </c>
      <c r="F2" s="10"/>
    </row>
    <row r="3" spans="1:6">
      <c r="A3" s="10">
        <v>2</v>
      </c>
      <c r="B3" s="10">
        <v>286</v>
      </c>
      <c r="C3" s="10">
        <v>23.6678301639244</v>
      </c>
      <c r="D3" s="10">
        <v>0.94440332466243704</v>
      </c>
      <c r="E3" s="10">
        <v>0.99933000000000005</v>
      </c>
      <c r="F3" s="10"/>
    </row>
    <row r="4" spans="1:6">
      <c r="A4" s="10">
        <v>3</v>
      </c>
      <c r="B4" s="10">
        <v>286</v>
      </c>
      <c r="C4" s="10">
        <v>23.6233427393333</v>
      </c>
      <c r="D4" s="10">
        <v>0.94102773296127695</v>
      </c>
      <c r="E4" s="10">
        <v>0.99946999999999997</v>
      </c>
      <c r="F4" s="10"/>
    </row>
    <row r="5" spans="1:6">
      <c r="A5" s="10">
        <v>4</v>
      </c>
      <c r="B5" s="10">
        <v>286</v>
      </c>
      <c r="C5" s="10">
        <v>23.649366295961801</v>
      </c>
      <c r="D5" s="10">
        <v>0.92030101722249202</v>
      </c>
      <c r="E5" s="10">
        <v>0.99958000000000002</v>
      </c>
      <c r="F5" s="10"/>
    </row>
    <row r="6" spans="1:6">
      <c r="A6" s="10">
        <v>5</v>
      </c>
      <c r="B6" s="10">
        <v>287</v>
      </c>
      <c r="C6" s="10">
        <v>24.372037689153299</v>
      </c>
      <c r="D6" s="10">
        <v>0.92530474652029004</v>
      </c>
      <c r="E6" s="10">
        <v>0.99963999999999997</v>
      </c>
      <c r="F6" s="10"/>
    </row>
    <row r="7" spans="1:6">
      <c r="A7" s="10">
        <v>6</v>
      </c>
      <c r="B7" s="10">
        <v>287</v>
      </c>
      <c r="C7" s="10">
        <v>24.382955794438001</v>
      </c>
      <c r="D7" s="10">
        <v>0.95471796471952597</v>
      </c>
      <c r="E7" s="10">
        <v>0.99956</v>
      </c>
      <c r="F7" s="10"/>
    </row>
    <row r="8" spans="1:6">
      <c r="A8" s="10">
        <v>7</v>
      </c>
      <c r="B8" s="10">
        <v>287</v>
      </c>
      <c r="C8" s="10">
        <v>24.386980494416498</v>
      </c>
      <c r="D8" s="10">
        <v>0.95893305488306801</v>
      </c>
      <c r="E8" s="10">
        <v>0.99955000000000005</v>
      </c>
      <c r="F8" s="10"/>
    </row>
    <row r="9" spans="1:6">
      <c r="A9" s="10">
        <v>8</v>
      </c>
      <c r="B9" s="10">
        <v>287</v>
      </c>
      <c r="C9" s="10">
        <v>24.34634054871</v>
      </c>
      <c r="D9" s="10">
        <v>0.95936008461682198</v>
      </c>
      <c r="E9" s="10">
        <v>0.99953000000000003</v>
      </c>
      <c r="F9" s="10"/>
    </row>
    <row r="10" spans="1:6">
      <c r="A10" s="10">
        <v>9</v>
      </c>
      <c r="B10" s="10">
        <v>288</v>
      </c>
      <c r="C10" s="10">
        <v>24.474111984889198</v>
      </c>
      <c r="D10" s="10">
        <v>0.92196632051850202</v>
      </c>
      <c r="E10" s="10">
        <v>0.99972000000000005</v>
      </c>
      <c r="F10" s="10"/>
    </row>
    <row r="11" spans="1:6">
      <c r="A11" s="10">
        <v>10</v>
      </c>
      <c r="B11" s="10">
        <v>288</v>
      </c>
      <c r="C11" s="10">
        <v>24.4814089948215</v>
      </c>
      <c r="D11" s="10">
        <v>0.93915444281369398</v>
      </c>
      <c r="E11" s="10">
        <v>0.99961999999999995</v>
      </c>
      <c r="F11" s="10"/>
    </row>
    <row r="12" spans="1:6">
      <c r="A12" s="10">
        <v>11</v>
      </c>
      <c r="B12" s="10">
        <v>288</v>
      </c>
      <c r="C12" s="10">
        <v>24.554195336007201</v>
      </c>
      <c r="D12" s="10">
        <v>0.94473219126300101</v>
      </c>
      <c r="E12" s="10">
        <v>0.99960000000000004</v>
      </c>
      <c r="F12" s="10"/>
    </row>
    <row r="13" spans="1:6">
      <c r="A13" s="10">
        <v>12</v>
      </c>
      <c r="B13" s="10">
        <v>288</v>
      </c>
      <c r="C13" s="10">
        <v>24.531136137869499</v>
      </c>
      <c r="D13" s="10">
        <v>0.93544838155040599</v>
      </c>
      <c r="E13" s="10">
        <v>0.99961999999999995</v>
      </c>
      <c r="F13" s="10"/>
    </row>
    <row r="14" spans="1:6">
      <c r="A14" s="10">
        <v>13</v>
      </c>
      <c r="B14" s="10">
        <v>289</v>
      </c>
      <c r="C14" s="10">
        <v>23.0399673831534</v>
      </c>
      <c r="D14" s="10">
        <v>0.98275406188587699</v>
      </c>
      <c r="E14" s="10">
        <v>0.99885999999999997</v>
      </c>
      <c r="F14" s="10"/>
    </row>
    <row r="15" spans="1:6">
      <c r="A15" s="10">
        <v>14</v>
      </c>
      <c r="B15" s="10">
        <v>289</v>
      </c>
      <c r="C15" s="10">
        <v>23.071586078389402</v>
      </c>
      <c r="D15" s="10">
        <v>0.99518127345886598</v>
      </c>
      <c r="E15" s="10">
        <v>0.99875000000000003</v>
      </c>
      <c r="F15" s="10"/>
    </row>
    <row r="16" spans="1:6">
      <c r="A16" s="10">
        <v>15</v>
      </c>
      <c r="B16" s="10">
        <v>289</v>
      </c>
      <c r="C16" s="10">
        <v>23.0431425838871</v>
      </c>
      <c r="D16" s="10">
        <v>1.0038654146004</v>
      </c>
      <c r="E16" s="10">
        <v>0.99865000000000004</v>
      </c>
      <c r="F16" s="10"/>
    </row>
    <row r="17" spans="1:6">
      <c r="A17" s="10">
        <v>16</v>
      </c>
      <c r="B17" s="10">
        <v>289</v>
      </c>
      <c r="C17" s="10">
        <v>23.0411164628396</v>
      </c>
      <c r="D17" s="10">
        <v>0.99961285463618799</v>
      </c>
      <c r="E17" s="10">
        <v>0.99870999999999999</v>
      </c>
      <c r="F17" s="10"/>
    </row>
    <row r="18" spans="1:6">
      <c r="A18" s="10">
        <v>17</v>
      </c>
      <c r="B18" s="10">
        <v>290</v>
      </c>
      <c r="C18" s="10">
        <v>23.611664527135002</v>
      </c>
      <c r="D18" s="10">
        <v>0.94256713545879001</v>
      </c>
      <c r="E18" s="10">
        <v>0.99953000000000003</v>
      </c>
      <c r="F18" s="10"/>
    </row>
    <row r="19" spans="1:6">
      <c r="A19" s="10">
        <v>18</v>
      </c>
      <c r="B19" s="10">
        <v>290</v>
      </c>
      <c r="C19" s="10">
        <v>23.5667009373865</v>
      </c>
      <c r="D19" s="10">
        <v>0.94668166248810504</v>
      </c>
      <c r="E19" s="10">
        <v>0.99963999999999997</v>
      </c>
      <c r="F19" s="10"/>
    </row>
    <row r="20" spans="1:6">
      <c r="A20" s="10">
        <v>19</v>
      </c>
      <c r="B20" s="10">
        <v>290</v>
      </c>
      <c r="C20" s="10">
        <v>23.559423740422201</v>
      </c>
      <c r="D20" s="10">
        <v>0.94518066654528199</v>
      </c>
      <c r="E20" s="10">
        <v>0.99963000000000002</v>
      </c>
      <c r="F20" s="10"/>
    </row>
    <row r="21" spans="1:6">
      <c r="A21" s="10">
        <v>20</v>
      </c>
      <c r="B21" s="10">
        <v>290</v>
      </c>
      <c r="C21" s="10">
        <v>23.593878006904099</v>
      </c>
      <c r="D21" s="10">
        <v>0.94338402082359696</v>
      </c>
      <c r="E21" s="10">
        <v>0.99961999999999995</v>
      </c>
      <c r="F21" s="10"/>
    </row>
    <row r="22" spans="1:6">
      <c r="A22" s="10">
        <v>21</v>
      </c>
      <c r="B22" s="10">
        <v>291</v>
      </c>
      <c r="C22" s="10">
        <v>22.7388885644136</v>
      </c>
      <c r="D22" s="10">
        <v>0.92054777157801104</v>
      </c>
      <c r="E22" s="10">
        <v>0.99946000000000002</v>
      </c>
      <c r="F22" s="10"/>
    </row>
    <row r="23" spans="1:6">
      <c r="A23" s="10">
        <v>22</v>
      </c>
      <c r="B23" s="10">
        <v>291</v>
      </c>
      <c r="C23" s="10">
        <v>22.679458018127299</v>
      </c>
      <c r="D23" s="10">
        <v>0.92239354621513403</v>
      </c>
      <c r="E23" s="10">
        <v>0.99951999999999996</v>
      </c>
      <c r="F23" s="10"/>
    </row>
    <row r="24" spans="1:6">
      <c r="A24" s="10">
        <v>23</v>
      </c>
      <c r="B24" s="10">
        <v>291</v>
      </c>
      <c r="C24" s="10">
        <v>22.700258516416099</v>
      </c>
      <c r="D24" s="10">
        <v>0.93838873082130803</v>
      </c>
      <c r="E24" s="10">
        <v>0.99938000000000005</v>
      </c>
      <c r="F24" s="10"/>
    </row>
    <row r="25" spans="1:6">
      <c r="A25" s="10">
        <v>24</v>
      </c>
      <c r="B25" s="10">
        <v>291</v>
      </c>
      <c r="C25" s="10">
        <v>22.776577864980499</v>
      </c>
      <c r="D25" s="10">
        <v>0.93719577033195001</v>
      </c>
      <c r="E25" s="10">
        <v>0.99933000000000005</v>
      </c>
      <c r="F25" s="10"/>
    </row>
    <row r="26" spans="1:6">
      <c r="A26" s="10">
        <v>25</v>
      </c>
      <c r="B26" s="10">
        <v>292</v>
      </c>
      <c r="C26" s="10">
        <v>22.5345255506925</v>
      </c>
      <c r="D26" s="10">
        <v>0.96425897198460997</v>
      </c>
      <c r="E26" s="10">
        <v>0.99950000000000006</v>
      </c>
      <c r="F26" s="10"/>
    </row>
    <row r="27" spans="1:6">
      <c r="A27" s="10">
        <v>26</v>
      </c>
      <c r="B27" s="10">
        <v>292</v>
      </c>
      <c r="C27" s="10">
        <v>22.4247733597158</v>
      </c>
      <c r="D27" s="10">
        <v>0.94918460447508801</v>
      </c>
      <c r="E27" s="10">
        <v>0.99951999999999996</v>
      </c>
      <c r="F27" s="10"/>
    </row>
    <row r="28" spans="1:6">
      <c r="A28" s="10">
        <v>27</v>
      </c>
      <c r="B28" s="10">
        <v>292</v>
      </c>
      <c r="C28" s="10">
        <v>22.362656973768001</v>
      </c>
      <c r="D28" s="10">
        <v>0.95703764125352397</v>
      </c>
      <c r="E28" s="10">
        <v>0.99951999999999996</v>
      </c>
      <c r="F28" s="10"/>
    </row>
    <row r="29" spans="1:6">
      <c r="A29" s="10">
        <v>28</v>
      </c>
      <c r="B29" s="10">
        <v>292</v>
      </c>
      <c r="C29" s="10">
        <v>22.332506511900799</v>
      </c>
      <c r="D29" s="10">
        <v>0.90996787888337605</v>
      </c>
      <c r="E29" s="10">
        <v>0.99970000000000003</v>
      </c>
      <c r="F29" s="10"/>
    </row>
    <row r="30" spans="1:6">
      <c r="A30" s="10">
        <v>29</v>
      </c>
      <c r="B30" s="10">
        <v>293</v>
      </c>
      <c r="C30" s="10">
        <v>20.340724321777198</v>
      </c>
      <c r="D30" s="10">
        <v>0.94042483666132104</v>
      </c>
      <c r="E30" s="10">
        <v>0.99960000000000004</v>
      </c>
      <c r="F30" s="10"/>
    </row>
    <row r="31" spans="1:6">
      <c r="A31" s="10">
        <v>30</v>
      </c>
      <c r="B31" s="10">
        <v>293</v>
      </c>
      <c r="C31" s="10">
        <v>20.361155870051899</v>
      </c>
      <c r="D31" s="10">
        <v>0.94380625071593005</v>
      </c>
      <c r="E31" s="10">
        <v>0.99953000000000003</v>
      </c>
      <c r="F31" s="10"/>
    </row>
    <row r="32" spans="1:6">
      <c r="A32" s="10">
        <v>31</v>
      </c>
      <c r="B32" s="10">
        <v>293</v>
      </c>
      <c r="C32" s="10">
        <v>20.403133653050201</v>
      </c>
      <c r="D32" s="10">
        <v>0.94593202602513704</v>
      </c>
      <c r="E32" s="10">
        <v>0.99953000000000003</v>
      </c>
      <c r="F32" s="10"/>
    </row>
    <row r="33" spans="1:6">
      <c r="A33" s="10">
        <v>32</v>
      </c>
      <c r="B33" s="10">
        <v>293</v>
      </c>
      <c r="C33" s="10">
        <v>20.264870287588501</v>
      </c>
      <c r="D33" s="10">
        <v>0.948975732904355</v>
      </c>
      <c r="E33" s="10">
        <v>0.99929999999999997</v>
      </c>
      <c r="F33" s="10"/>
    </row>
    <row r="34" spans="1:6">
      <c r="A34" s="10">
        <v>33</v>
      </c>
      <c r="B34" s="10">
        <v>294</v>
      </c>
      <c r="C34" s="10">
        <v>22.166677502505902</v>
      </c>
      <c r="D34" s="10">
        <v>0.95273291855220799</v>
      </c>
      <c r="E34" s="10">
        <v>0.99933000000000005</v>
      </c>
      <c r="F34" s="10"/>
    </row>
    <row r="35" spans="1:6">
      <c r="A35" s="10">
        <v>34</v>
      </c>
      <c r="B35" s="10">
        <v>294</v>
      </c>
      <c r="C35" s="10">
        <v>22.147687007160499</v>
      </c>
      <c r="D35" s="10">
        <v>0.96940357477569905</v>
      </c>
      <c r="E35" s="10">
        <v>0.99917999999999996</v>
      </c>
      <c r="F35" s="10"/>
    </row>
    <row r="36" spans="1:6">
      <c r="A36" s="10">
        <v>35</v>
      </c>
      <c r="B36" s="10">
        <v>294</v>
      </c>
      <c r="C36" s="10">
        <v>22.1655413688434</v>
      </c>
      <c r="D36" s="10">
        <v>0.96801600335629301</v>
      </c>
      <c r="E36" s="10">
        <v>0.99916000000000005</v>
      </c>
      <c r="F36" s="10"/>
    </row>
    <row r="37" spans="1:6">
      <c r="A37" s="10">
        <v>36</v>
      </c>
      <c r="B37" s="10">
        <v>294</v>
      </c>
      <c r="C37" s="10">
        <v>22.174478495463699</v>
      </c>
      <c r="D37" s="10">
        <v>0.96919332335588604</v>
      </c>
      <c r="E37" s="10">
        <v>0.99912999999999996</v>
      </c>
      <c r="F37" s="10"/>
    </row>
    <row r="38" spans="1:6">
      <c r="A38" s="10">
        <v>37</v>
      </c>
      <c r="B38" s="10">
        <v>295</v>
      </c>
      <c r="C38" s="10">
        <v>22.186255088680401</v>
      </c>
      <c r="D38" s="10">
        <v>0.98916924754930002</v>
      </c>
      <c r="E38" s="10">
        <v>0.99899000000000004</v>
      </c>
      <c r="F38" s="10"/>
    </row>
    <row r="39" spans="1:6">
      <c r="A39" s="10">
        <v>38</v>
      </c>
      <c r="B39" s="10">
        <v>295</v>
      </c>
      <c r="C39" s="10">
        <v>22.0691264772734</v>
      </c>
      <c r="D39" s="10">
        <v>0.97245691861559902</v>
      </c>
      <c r="E39" s="10">
        <v>0.99909999999999999</v>
      </c>
      <c r="F39" s="10"/>
    </row>
    <row r="40" spans="1:6">
      <c r="A40" s="10">
        <v>39</v>
      </c>
      <c r="B40" s="10">
        <v>295</v>
      </c>
      <c r="C40" s="10">
        <v>22.162433473848701</v>
      </c>
      <c r="D40" s="10">
        <v>0.96639623445247103</v>
      </c>
      <c r="E40" s="10">
        <v>0.99907000000000001</v>
      </c>
      <c r="F40" s="10"/>
    </row>
    <row r="41" spans="1:6">
      <c r="A41" s="10">
        <v>40</v>
      </c>
      <c r="B41" s="10">
        <v>295</v>
      </c>
      <c r="C41" s="10">
        <v>22.168406580777599</v>
      </c>
      <c r="D41" s="10">
        <v>0.97491094545334001</v>
      </c>
      <c r="E41" s="10">
        <v>0.99905999999999995</v>
      </c>
      <c r="F41" s="10"/>
    </row>
    <row r="42" spans="1:6">
      <c r="A42" s="10">
        <v>41</v>
      </c>
      <c r="B42" s="10" t="s">
        <v>7</v>
      </c>
      <c r="C42" s="10">
        <v>35.022078271735197</v>
      </c>
      <c r="D42" s="10">
        <v>0.66531798024259703</v>
      </c>
      <c r="E42" s="10">
        <v>0.99961999999999995</v>
      </c>
      <c r="F42" s="10"/>
    </row>
    <row r="43" spans="1:6">
      <c r="A43" s="10">
        <v>42</v>
      </c>
      <c r="B43" s="10" t="s">
        <v>7</v>
      </c>
      <c r="C43" s="10">
        <v>34.6271989601752</v>
      </c>
      <c r="D43" s="10">
        <v>0.67944547451619297</v>
      </c>
      <c r="E43" s="10">
        <v>0.99963999999999997</v>
      </c>
      <c r="F43" s="10"/>
    </row>
    <row r="44" spans="1:6">
      <c r="A44" s="10">
        <v>43</v>
      </c>
      <c r="B44" s="10" t="s">
        <v>7</v>
      </c>
      <c r="C44" s="10">
        <v>35.349504433974701</v>
      </c>
      <c r="D44" s="10">
        <v>0.62629237409702398</v>
      </c>
      <c r="E44" s="10">
        <v>0.99970000000000003</v>
      </c>
      <c r="F44" s="10"/>
    </row>
    <row r="45" spans="1:6">
      <c r="A45" s="10">
        <v>44</v>
      </c>
      <c r="B45" s="10" t="s">
        <v>7</v>
      </c>
      <c r="C45" s="10">
        <v>32.7734359480934</v>
      </c>
      <c r="D45" s="10">
        <v>0.73449676753892101</v>
      </c>
      <c r="E45" s="10">
        <v>0.99946999999999997</v>
      </c>
      <c r="F45" s="10"/>
    </row>
    <row r="46" spans="1:6">
      <c r="A46" s="10">
        <v>45</v>
      </c>
      <c r="B46" s="10" t="s">
        <v>8</v>
      </c>
      <c r="C46" s="10">
        <v>38.4296775311104</v>
      </c>
      <c r="D46" s="10">
        <v>0.62955634451653797</v>
      </c>
      <c r="E46" s="10">
        <v>0.97470000000000001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286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23.731634369336501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286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23.6678301639244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286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23.6233427393333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286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23.649366295961801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287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24.372037689153299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287</v>
      </c>
      <c r="B7">
        <f>IF('177T'!C7="", "", '177T'!C7)</f>
        <v>32.258969133136198</v>
      </c>
      <c r="C7">
        <f>IF('18S2'!C7="", "", '18S2'!C7)</f>
        <v>37.3888179209169</v>
      </c>
      <c r="D7">
        <f>IF(RNAseP!C7="", "", RNAseP!C7)</f>
        <v>24.382955794438001</v>
      </c>
      <c r="E7" s="3" t="str">
        <f>IF(B7=-1, "-1", IF(B7&lt;VLOOKUP("177T", Cutoff!$A$1:$B$4, 2, FALSE), "1", "0"))</f>
        <v>1</v>
      </c>
      <c r="F7" s="3" t="str">
        <f>IF(C7=-1, "-1", IF(C7&lt;VLOOKUP("18S2", Cutoff!$A$1:$B$4, 2, FALSE), "1", "0"))</f>
        <v>0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P</v>
      </c>
      <c r="I7" t="str" cm="1">
        <f t="array" ref="I7">INDEX(Decision!$E$1:$E$28, MATCH(E7&amp;F7&amp;G7, Decision!$A$1:$A$28&amp;Decision!$B$1:$B$28&amp;Decision!$C$1:$C$28, 0))</f>
        <v>DNA case &amp; RNA suspect</v>
      </c>
    </row>
    <row r="8" spans="1:9">
      <c r="A8">
        <f>IF(AND('177T'!B8 = '18S2'!B8, '177T'!B8 = RNAseP!B8, '177T'!B8 &lt;&gt; ""), '177T'!B8, IF('177T'!B8 = "", "", "Mismatch"))</f>
        <v>287</v>
      </c>
      <c r="B8">
        <f>IF('177T'!C8="", "", '177T'!C8)</f>
        <v>-1</v>
      </c>
      <c r="C8">
        <f>IF('18S2'!C8="", "", '18S2'!C8)</f>
        <v>-1</v>
      </c>
      <c r="D8">
        <f>IF(RNAseP!C8="", "", RNAseP!C8)</f>
        <v>24.386980494416498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287</v>
      </c>
      <c r="B9">
        <f>IF('177T'!C9="", "", '177T'!C9)</f>
        <v>-1</v>
      </c>
      <c r="C9">
        <f>IF('18S2'!C9="", "", '18S2'!C9)</f>
        <v>37.5323254243253</v>
      </c>
      <c r="D9">
        <f>IF(RNAseP!C9="", "", RNAseP!C9)</f>
        <v>24.34634054871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0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S</v>
      </c>
      <c r="I9" t="str" cm="1">
        <f t="array" ref="I9">INDEX(Decision!$E$1:$E$28, MATCH(E9&amp;F9&amp;G9, Decision!$A$1:$A$28&amp;Decision!$B$1:$B$28&amp;Decision!$C$1:$C$28, 0))</f>
        <v>RNA suspect</v>
      </c>
    </row>
    <row r="10" spans="1:9">
      <c r="A10">
        <f>IF(AND('177T'!B10 = '18S2'!B10, '177T'!B10 = RNAseP!B10, '177T'!B10 &lt;&gt; ""), '177T'!B10, IF('177T'!B10 = "", "", "Mismatch"))</f>
        <v>288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24.474111984889198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288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24.4814089948215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288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24.554195336007201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288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24.531136137869499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289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23.0399673831534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289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23.071586078389402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289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23.0431425838871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289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23.0411164628396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290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23.611664527135002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290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23.5667009373865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290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23.559423740422201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290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23.593878006904099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291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22.7388885644136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291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22.679458018127299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291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22.700258516416099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291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22.776577864980499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292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22.5345255506925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292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22.4247733597158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292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22.362656973768001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292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22.332506511900799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293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20.340724321777198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293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20.361155870051899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293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20.403133653050201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293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20.264870287588501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294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22.166677502505902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294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22.147687007160499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294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22.1655413688434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294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22.174478495463699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295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22.186255088680401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295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22.0691264772734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295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22.162433473848701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295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22.168406580777599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22.0066731640737</v>
      </c>
      <c r="C42">
        <f>IF('18S2'!C42="", "", '18S2'!C42)</f>
        <v>19.482634633933301</v>
      </c>
      <c r="D42">
        <f>IF(RNAseP!C42="", "", RNAseP!C42)</f>
        <v>35.022078271735197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21.795180109903299</v>
      </c>
      <c r="C43">
        <f>IF('18S2'!C43="", "", '18S2'!C43)</f>
        <v>19.442245573767199</v>
      </c>
      <c r="D43">
        <f>IF(RNAseP!C43="", "", RNAseP!C43)</f>
        <v>34.6271989601752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21.144676043251099</v>
      </c>
      <c r="C44">
        <f>IF('18S2'!C44="", "", '18S2'!C44)</f>
        <v>19.363702520200199</v>
      </c>
      <c r="D44">
        <f>IF(RNAseP!C44="", "", RNAseP!C44)</f>
        <v>35.349504433974701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21.0554601045929</v>
      </c>
      <c r="C45">
        <f>IF('18S2'!C45="", "", '18S2'!C45)</f>
        <v>19.130784191212101</v>
      </c>
      <c r="D45">
        <f>IF(RNAseP!C45="", "", RNAseP!C45)</f>
        <v>32.7734359480934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38.4296775311104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G17" sqref="G17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45950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286</v>
      </c>
      <c r="B16" s="11">
        <v>2501297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23,7 +/- 0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287</v>
      </c>
      <c r="B17" s="11">
        <v>2501293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R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>32,3</v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>37,5 +/- 0,1</v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24,4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288</v>
      </c>
      <c r="B18" s="11">
        <v>2501296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24,5 +/- 0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289</v>
      </c>
      <c r="B19" s="11">
        <v>2501299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 +/- 0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290</v>
      </c>
      <c r="B20" s="11">
        <v>2501271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23,6 +/- 0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291</v>
      </c>
      <c r="B21" s="11">
        <v>2501373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22,7 +/- 0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292</v>
      </c>
      <c r="B22" s="11">
        <v>2501892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22,4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293</v>
      </c>
      <c r="B23" s="11">
        <v>2501283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20,3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294</v>
      </c>
      <c r="B24" s="11">
        <v>2501213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22,2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295</v>
      </c>
      <c r="B25" s="11">
        <v>2501209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21,5 +/- 0,5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19,4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+/- 1,2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38,4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25" t="s">
        <v>59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24" t="s">
        <v>62</v>
      </c>
      <c r="D30" s="24"/>
      <c r="E30" s="20"/>
    </row>
    <row r="31" spans="1:12">
      <c r="A31" s="18" t="s">
        <v>20</v>
      </c>
      <c r="B31" s="18" t="s">
        <v>21</v>
      </c>
      <c r="C31" s="24" t="s">
        <v>63</v>
      </c>
      <c r="D31" s="24"/>
      <c r="E31" s="20"/>
    </row>
    <row r="32" spans="1:12">
      <c r="A32" s="18" t="s">
        <v>22</v>
      </c>
      <c r="B32" s="18" t="s">
        <v>64</v>
      </c>
      <c r="C32" s="24" t="s">
        <v>65</v>
      </c>
      <c r="D32" s="24"/>
      <c r="E32" s="20"/>
    </row>
    <row r="33" spans="1:5">
      <c r="A33" s="18" t="s">
        <v>66</v>
      </c>
      <c r="B33" s="18" t="s">
        <v>67</v>
      </c>
      <c r="C33" s="24" t="s">
        <v>68</v>
      </c>
      <c r="D33" s="24"/>
      <c r="E33" s="20"/>
    </row>
    <row r="34" spans="1:5">
      <c r="A34" s="18" t="s">
        <v>17</v>
      </c>
      <c r="B34" s="18" t="s">
        <v>69</v>
      </c>
      <c r="C34" s="24" t="s">
        <v>70</v>
      </c>
      <c r="D34" s="24"/>
      <c r="E34" s="20"/>
    </row>
    <row r="35" spans="1:5">
      <c r="A35" s="18" t="s">
        <v>71</v>
      </c>
      <c r="B35" s="18" t="s">
        <v>72</v>
      </c>
      <c r="C35" s="24" t="s">
        <v>73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286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23,7 +/- 0</v>
      </c>
    </row>
    <row r="3" spans="1:11">
      <c r="A3" s="3">
        <f>Report!A17</f>
        <v>287</v>
      </c>
      <c r="B3" s="3" t="str" cm="1">
        <f t="array" ref="B3">_xlfn.TEXTJOIN(", ", TRUE, IF(Analysis!$A$2:$A$82=A3, Analysis!$H$2:$H$82, ""))</f>
        <v>N, P, N, S</v>
      </c>
      <c r="C3" s="3" t="str" cm="1">
        <f t="array" ref="C3">_xlfn.TEXTJOIN(", ", TRUE, IF(Analysis!$A$2:$A$82=A3, Analysis!$I$2:$I$82, ""))</f>
        <v>negative, DNA case &amp; RNA suspect, negative, RNA suspect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Retest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>32,3</v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>37,5 +/- 0,1</v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24,4 +/- 0</v>
      </c>
    </row>
    <row r="4" spans="1:11">
      <c r="A4" s="3">
        <f>Report!A18</f>
        <v>288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24,5 +/- 0</v>
      </c>
    </row>
    <row r="5" spans="1:11">
      <c r="A5" s="3">
        <f>Report!A19</f>
        <v>289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 +/- 0</v>
      </c>
    </row>
    <row r="6" spans="1:11">
      <c r="A6" s="3">
        <f>Report!A20</f>
        <v>290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23,6 +/- 0</v>
      </c>
    </row>
    <row r="7" spans="1:11">
      <c r="A7" s="3">
        <f>Report!A21</f>
        <v>291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22,7 +/- 0</v>
      </c>
      <c r="K7" s="4"/>
    </row>
    <row r="8" spans="1:11">
      <c r="A8" s="3">
        <f>Report!A22</f>
        <v>292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22,4 +/- 0,1</v>
      </c>
    </row>
    <row r="9" spans="1:11">
      <c r="A9" s="3">
        <f>Report!A23</f>
        <v>293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20,3 +/- 0,1</v>
      </c>
    </row>
    <row r="10" spans="1:11">
      <c r="A10" s="3">
        <f>Report!A24</f>
        <v>294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22,2 +/- 0</v>
      </c>
    </row>
    <row r="11" spans="1:11">
      <c r="A11" s="3">
        <f>Report!A25</f>
        <v>295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21,5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19,4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+/- 1,2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OK, OK</v>
      </c>
      <c r="C13" s="3" t="str" cm="1">
        <f t="array" ref="C13">_xlfn.TEXTJOIN(", ", TRUE, IF(Analysis!$A$2:$A$82=A13, Analysis!$I$2:$I$82, ""))</f>
        <v>RNAseP,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38,4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2025-10-23T12:46:13+00:00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FD01D2-DAC3-42E8-B343-515470E1069B}"/>
</file>

<file path=customXml/itemProps2.xml><?xml version="1.0" encoding="utf-8"?>
<ds:datastoreItem xmlns:ds="http://schemas.openxmlformats.org/officeDocument/2006/customXml" ds:itemID="{256CA66A-282E-4AFE-B5CB-38C08BB4096D}"/>
</file>

<file path=customXml/itemProps3.xml><?xml version="1.0" encoding="utf-8"?>
<ds:datastoreItem xmlns:ds="http://schemas.openxmlformats.org/officeDocument/2006/customXml" ds:itemID="{DFAFD464-889A-48CF-AC57-2D1ED7DCB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