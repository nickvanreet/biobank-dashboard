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3 - Biologie Moléculaire/0302 - Résultats qPCR/"/>
    </mc:Choice>
  </mc:AlternateContent>
  <xr:revisionPtr revIDLastSave="2" documentId="8_{2BAE7530-EF7A-43D0-9AFB-C87AF433A422}" xr6:coauthVersionLast="47" xr6:coauthVersionMax="47" xr10:uidLastSave="{BF4280AD-6A07-4B2A-9B75-2946AF9CEC6A}"/>
  <bookViews>
    <workbookView xWindow="6840" yWindow="2265" windowWidth="21600" windowHeight="113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<sst xmlns="http://schemas.openxmlformats.org/spreadsheetml/2006/main" count="419" uniqueCount="74">
  <si>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</si>
  <si>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</si>
  <si>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</si>
  <si>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</si>
  <si>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</si>
  <si>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</si>
  <si>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</si>
  <si>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</si>
  <si>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</si>
  <si>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</si>
  <si>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</si>
  <si>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</si>
  <si>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</si>
  <si>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</si>
  <si>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</si>
  <si>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</si>
  <si>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</si>
  <si>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</si>
  <si>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</si>
  <si>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</si>
  <si>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</si>
  <si>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</si>
  <si>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</si>
  <si>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</si>
  <si>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</si>
  <si>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</si>
  <si>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</si>
  <si>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</si>
  <si>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</si>
  <si>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</si>
  <si>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</si>
  <si>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</si>
  <si>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</si>
  <si>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</si>
  <si>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</si>
  <si>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</si>
  <si>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</si>
  <si>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</si>
  <si>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</si>
  <si>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</si>
  <si>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</si>
  <si>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</si>
  <si>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</si>
  <si>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 xml:space="preserve">HENRIETTE </t>
  </si>
  <si>
    <t>Qrun file name</t>
  </si>
  <si>
    <t>2025-05-07 14.50.05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</si>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</sst>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0" borderId="0" xfId="0" quotePrefix="1"/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5" borderId="2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14" fontId="0" fillId="5" borderId="2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>
      <c r="A2" s="13">
        <v>1</v>
      </c>
      <c r="B2" s="13">
        <v>11</v>
      </c>
      <c r="C2" s="13">
        <v>-1</v>
      </c>
      <c r="D2" s="13">
        <v>-1</v>
      </c>
      <c r="E2" s="13"/>
      <c r="F2" s="13" t="s">
        <v>6</v>
      </c>
    </row>
    <row r="3" spans="1:6">
      <c r="A3" s="13">
        <v>2</v>
      </c>
      <c r="B3" s="13">
        <v>11</v>
      </c>
      <c r="C3" s="13">
        <v>-1</v>
      </c>
      <c r="D3" s="13">
        <v>-1</v>
      </c>
      <c r="E3" s="13"/>
      <c r="F3" s="13" t="s">
        <v>6</v>
      </c>
    </row>
    <row r="4" spans="1:6">
      <c r="A4" s="13">
        <v>3</v>
      </c>
      <c r="B4" s="13">
        <v>11</v>
      </c>
      <c r="C4" s="13">
        <v>-1</v>
      </c>
      <c r="D4" s="13">
        <v>-1</v>
      </c>
      <c r="E4" s="13"/>
      <c r="F4" s="13" t="s">
        <v>6</v>
      </c>
    </row>
    <row r="5" spans="1:6">
      <c r="A5" s="13">
        <v>4</v>
      </c>
      <c r="B5" s="13">
        <v>11</v>
      </c>
      <c r="C5" s="13">
        <v>-1</v>
      </c>
      <c r="D5" s="13">
        <v>-1</v>
      </c>
      <c r="E5" s="13"/>
      <c r="F5" s="13" t="s">
        <v>6</v>
      </c>
    </row>
    <row r="6" spans="1:6">
      <c r="A6" s="13">
        <v>5</v>
      </c>
      <c r="B6" s="13">
        <v>12</v>
      </c>
      <c r="C6" s="13">
        <v>-1</v>
      </c>
      <c r="D6" s="13">
        <v>-1</v>
      </c>
      <c r="E6" s="13"/>
      <c r="F6" s="13" t="s">
        <v>6</v>
      </c>
    </row>
    <row r="7" spans="1:6">
      <c r="A7" s="13">
        <v>6</v>
      </c>
      <c r="B7" s="13">
        <v>12</v>
      </c>
      <c r="C7" s="13">
        <v>-1</v>
      </c>
      <c r="D7" s="13">
        <v>-1</v>
      </c>
      <c r="E7" s="13"/>
      <c r="F7" s="13" t="s">
        <v>6</v>
      </c>
    </row>
    <row r="8" spans="1:6">
      <c r="A8" s="13">
        <v>7</v>
      </c>
      <c r="B8" s="13">
        <v>12</v>
      </c>
      <c r="C8" s="13">
        <v>-1</v>
      </c>
      <c r="D8" s="13">
        <v>-1</v>
      </c>
      <c r="E8" s="13"/>
      <c r="F8" s="13" t="s">
        <v>6</v>
      </c>
    </row>
    <row r="9" spans="1:6">
      <c r="A9" s="13">
        <v>8</v>
      </c>
      <c r="B9" s="13">
        <v>12</v>
      </c>
      <c r="C9" s="13">
        <v>-1</v>
      </c>
      <c r="D9" s="13">
        <v>-1</v>
      </c>
      <c r="E9" s="13"/>
      <c r="F9" s="13" t="s">
        <v>6</v>
      </c>
    </row>
    <row r="10" spans="1:6">
      <c r="A10" s="13">
        <v>9</v>
      </c>
      <c r="B10" s="13">
        <v>13</v>
      </c>
      <c r="C10" s="13">
        <v>-1</v>
      </c>
      <c r="D10" s="13">
        <v>-1</v>
      </c>
      <c r="E10" s="13"/>
      <c r="F10" s="13" t="s">
        <v>6</v>
      </c>
    </row>
    <row r="11" spans="1:6">
      <c r="A11" s="13">
        <v>10</v>
      </c>
      <c r="B11" s="13">
        <v>13</v>
      </c>
      <c r="C11" s="13">
        <v>-1</v>
      </c>
      <c r="D11" s="13">
        <v>-1</v>
      </c>
      <c r="E11" s="13"/>
      <c r="F11" s="13" t="s">
        <v>6</v>
      </c>
    </row>
    <row r="12" spans="1:6">
      <c r="A12" s="13">
        <v>11</v>
      </c>
      <c r="B12" s="13">
        <v>13</v>
      </c>
      <c r="C12" s="13">
        <v>-1</v>
      </c>
      <c r="D12" s="13">
        <v>-1</v>
      </c>
      <c r="E12" s="13"/>
      <c r="F12" s="13" t="s">
        <v>6</v>
      </c>
    </row>
    <row r="13" spans="1:6">
      <c r="A13" s="13">
        <v>12</v>
      </c>
      <c r="B13" s="13">
        <v>13</v>
      </c>
      <c r="C13" s="13">
        <v>-1</v>
      </c>
      <c r="D13" s="13">
        <v>-1</v>
      </c>
      <c r="E13" s="13"/>
      <c r="F13" s="13" t="s">
        <v>6</v>
      </c>
    </row>
    <row r="14" spans="1:6">
      <c r="A14" s="13">
        <v>13</v>
      </c>
      <c r="B14" s="13">
        <v>14</v>
      </c>
      <c r="C14" s="13">
        <v>-1</v>
      </c>
      <c r="D14" s="13">
        <v>-1</v>
      </c>
      <c r="E14" s="13"/>
      <c r="F14" s="13" t="s">
        <v>6</v>
      </c>
    </row>
    <row r="15" spans="1:6">
      <c r="A15" s="13">
        <v>14</v>
      </c>
      <c r="B15" s="13">
        <v>14</v>
      </c>
      <c r="C15" s="13">
        <v>-1</v>
      </c>
      <c r="D15" s="13">
        <v>-1</v>
      </c>
      <c r="E15" s="13"/>
      <c r="F15" s="13" t="s">
        <v>6</v>
      </c>
    </row>
    <row r="16" spans="1:6">
      <c r="A16" s="13">
        <v>15</v>
      </c>
      <c r="B16" s="13">
        <v>14</v>
      </c>
      <c r="C16" s="13">
        <v>-1</v>
      </c>
      <c r="D16" s="13">
        <v>-1</v>
      </c>
      <c r="E16" s="13"/>
      <c r="F16" s="13" t="s">
        <v>6</v>
      </c>
    </row>
    <row r="17" spans="1:6">
      <c r="A17" s="13">
        <v>16</v>
      </c>
      <c r="B17" s="13">
        <v>14</v>
      </c>
      <c r="C17" s="13">
        <v>-1</v>
      </c>
      <c r="D17" s="13">
        <v>-1</v>
      </c>
      <c r="E17" s="13"/>
      <c r="F17" s="13" t="s">
        <v>6</v>
      </c>
    </row>
    <row r="18" spans="1:6">
      <c r="A18" s="13">
        <v>17</v>
      </c>
      <c r="B18" s="13">
        <v>15</v>
      </c>
      <c r="C18" s="13">
        <v>-1</v>
      </c>
      <c r="D18" s="13">
        <v>-1</v>
      </c>
      <c r="E18" s="13"/>
      <c r="F18" s="13" t="s">
        <v>6</v>
      </c>
    </row>
    <row r="19" spans="1:6">
      <c r="A19" s="13">
        <v>18</v>
      </c>
      <c r="B19" s="13">
        <v>15</v>
      </c>
      <c r="C19" s="13">
        <v>-1</v>
      </c>
      <c r="D19" s="13">
        <v>-1</v>
      </c>
      <c r="E19" s="13"/>
      <c r="F19" s="13" t="s">
        <v>6</v>
      </c>
    </row>
    <row r="20" spans="1:6">
      <c r="A20" s="13">
        <v>19</v>
      </c>
      <c r="B20" s="13">
        <v>15</v>
      </c>
      <c r="C20" s="13">
        <v>-1</v>
      </c>
      <c r="D20" s="13">
        <v>-1</v>
      </c>
      <c r="E20" s="13"/>
      <c r="F20" s="13" t="s">
        <v>6</v>
      </c>
    </row>
    <row r="21" spans="1:6">
      <c r="A21" s="13">
        <v>20</v>
      </c>
      <c r="B21" s="13">
        <v>15</v>
      </c>
      <c r="C21" s="13">
        <v>-1</v>
      </c>
      <c r="D21" s="13">
        <v>-1</v>
      </c>
      <c r="E21" s="13"/>
      <c r="F21" s="13" t="s">
        <v>6</v>
      </c>
    </row>
    <row r="22" spans="1:6">
      <c r="A22" s="13">
        <v>21</v>
      </c>
      <c r="B22" s="13">
        <v>16</v>
      </c>
      <c r="C22" s="13">
        <v>-1</v>
      </c>
      <c r="D22" s="13">
        <v>-1</v>
      </c>
      <c r="E22" s="13"/>
      <c r="F22" s="13" t="s">
        <v>6</v>
      </c>
    </row>
    <row r="23" spans="1:6">
      <c r="A23" s="13">
        <v>22</v>
      </c>
      <c r="B23" s="13">
        <v>16</v>
      </c>
      <c r="C23" s="13">
        <v>-1</v>
      </c>
      <c r="D23" s="13">
        <v>-1</v>
      </c>
      <c r="E23" s="13"/>
      <c r="F23" s="13" t="s">
        <v>6</v>
      </c>
    </row>
    <row r="24" spans="1:6">
      <c r="A24" s="13">
        <v>23</v>
      </c>
      <c r="B24" s="13">
        <v>16</v>
      </c>
      <c r="C24" s="13">
        <v>-1</v>
      </c>
      <c r="D24" s="13">
        <v>-1</v>
      </c>
      <c r="E24" s="13"/>
      <c r="F24" s="13" t="s">
        <v>6</v>
      </c>
    </row>
    <row r="25" spans="1:6">
      <c r="A25" s="13">
        <v>24</v>
      </c>
      <c r="B25" s="13">
        <v>16</v>
      </c>
      <c r="C25" s="13">
        <v>-1</v>
      </c>
      <c r="D25" s="13">
        <v>-1</v>
      </c>
      <c r="E25" s="13"/>
      <c r="F25" s="13" t="s">
        <v>6</v>
      </c>
    </row>
    <row r="26" spans="1:6">
      <c r="A26" s="13">
        <v>25</v>
      </c>
      <c r="B26" s="13">
        <v>17</v>
      </c>
      <c r="C26" s="13">
        <v>-1</v>
      </c>
      <c r="D26" s="13">
        <v>-1</v>
      </c>
      <c r="E26" s="13"/>
      <c r="F26" s="13" t="s">
        <v>6</v>
      </c>
    </row>
    <row r="27" spans="1:6">
      <c r="A27" s="13">
        <v>26</v>
      </c>
      <c r="B27" s="13">
        <v>17</v>
      </c>
      <c r="C27" s="13">
        <v>-1</v>
      </c>
      <c r="D27" s="13">
        <v>-1</v>
      </c>
      <c r="E27" s="13"/>
      <c r="F27" s="13" t="s">
        <v>6</v>
      </c>
    </row>
    <row r="28" spans="1:6">
      <c r="A28" s="13">
        <v>27</v>
      </c>
      <c r="B28" s="13">
        <v>17</v>
      </c>
      <c r="C28" s="13">
        <v>-1</v>
      </c>
      <c r="D28" s="13">
        <v>-1</v>
      </c>
      <c r="E28" s="13"/>
      <c r="F28" s="13" t="s">
        <v>6</v>
      </c>
    </row>
    <row r="29" spans="1:6">
      <c r="A29" s="13">
        <v>28</v>
      </c>
      <c r="B29" s="13">
        <v>17</v>
      </c>
      <c r="C29" s="13">
        <v>-1</v>
      </c>
      <c r="D29" s="13">
        <v>-1</v>
      </c>
      <c r="E29" s="13"/>
      <c r="F29" s="13" t="s">
        <v>6</v>
      </c>
    </row>
    <row r="30" spans="1:6">
      <c r="A30" s="13">
        <v>29</v>
      </c>
      <c r="B30" s="13">
        <v>18</v>
      </c>
      <c r="C30" s="13">
        <v>-1</v>
      </c>
      <c r="D30" s="13">
        <v>-1</v>
      </c>
      <c r="E30" s="13"/>
      <c r="F30" s="13" t="s">
        <v>6</v>
      </c>
    </row>
    <row r="31" spans="1:6">
      <c r="A31" s="13">
        <v>30</v>
      </c>
      <c r="B31" s="13">
        <v>18</v>
      </c>
      <c r="C31" s="13">
        <v>-1</v>
      </c>
      <c r="D31" s="13">
        <v>-1</v>
      </c>
      <c r="E31" s="13"/>
      <c r="F31" s="13" t="s">
        <v>6</v>
      </c>
    </row>
    <row r="32" spans="1:6">
      <c r="A32" s="13">
        <v>31</v>
      </c>
      <c r="B32" s="13">
        <v>18</v>
      </c>
      <c r="C32" s="13">
        <v>-1</v>
      </c>
      <c r="D32" s="13">
        <v>-1</v>
      </c>
      <c r="E32" s="13"/>
      <c r="F32" s="13" t="s">
        <v>6</v>
      </c>
    </row>
    <row r="33" spans="1:6">
      <c r="A33" s="13">
        <v>32</v>
      </c>
      <c r="B33" s="13">
        <v>18</v>
      </c>
      <c r="C33" s="13">
        <v>-1</v>
      </c>
      <c r="D33" s="13">
        <v>-1</v>
      </c>
      <c r="E33" s="13"/>
      <c r="F33" s="13" t="s">
        <v>6</v>
      </c>
    </row>
    <row r="34" spans="1:6">
      <c r="A34" s="13">
        <v>33</v>
      </c>
      <c r="B34" s="13">
        <v>19</v>
      </c>
      <c r="C34" s="13">
        <v>-1</v>
      </c>
      <c r="D34" s="13">
        <v>-1</v>
      </c>
      <c r="E34" s="13"/>
      <c r="F34" s="13" t="s">
        <v>6</v>
      </c>
    </row>
    <row r="35" spans="1:6">
      <c r="A35" s="13">
        <v>34</v>
      </c>
      <c r="B35" s="13">
        <v>19</v>
      </c>
      <c r="C35" s="13">
        <v>-1</v>
      </c>
      <c r="D35" s="13">
        <v>-1</v>
      </c>
      <c r="E35" s="13"/>
      <c r="F35" s="13" t="s">
        <v>6</v>
      </c>
    </row>
    <row r="36" spans="1:6">
      <c r="A36" s="13">
        <v>35</v>
      </c>
      <c r="B36" s="13">
        <v>19</v>
      </c>
      <c r="C36" s="13">
        <v>-1</v>
      </c>
      <c r="D36" s="13">
        <v>-1</v>
      </c>
      <c r="E36" s="13"/>
      <c r="F36" s="13" t="s">
        <v>6</v>
      </c>
    </row>
    <row r="37" spans="1:6">
      <c r="A37" s="13">
        <v>36</v>
      </c>
      <c r="B37" s="13">
        <v>19</v>
      </c>
      <c r="C37" s="13">
        <v>-1</v>
      </c>
      <c r="D37" s="13">
        <v>-1</v>
      </c>
      <c r="E37" s="13"/>
      <c r="F37" s="13" t="s">
        <v>6</v>
      </c>
    </row>
    <row r="38" spans="1:6">
      <c r="A38" s="13">
        <v>37</v>
      </c>
      <c r="B38" s="13">
        <v>20</v>
      </c>
      <c r="C38" s="13">
        <v>-1</v>
      </c>
      <c r="D38" s="13">
        <v>-1</v>
      </c>
      <c r="E38" s="13"/>
      <c r="F38" s="13" t="s">
        <v>6</v>
      </c>
    </row>
    <row r="39" spans="1:6">
      <c r="A39" s="13">
        <v>38</v>
      </c>
      <c r="B39" s="13">
        <v>20</v>
      </c>
      <c r="C39" s="13">
        <v>-1</v>
      </c>
      <c r="D39" s="13">
        <v>-1</v>
      </c>
      <c r="E39" s="13"/>
      <c r="F39" s="13" t="s">
        <v>6</v>
      </c>
    </row>
    <row r="40" spans="1:6">
      <c r="A40" s="13">
        <v>39</v>
      </c>
      <c r="B40" s="13">
        <v>20</v>
      </c>
      <c r="C40" s="13">
        <v>-1</v>
      </c>
      <c r="D40" s="13">
        <v>-1</v>
      </c>
      <c r="E40" s="13"/>
      <c r="F40" s="13" t="s">
        <v>6</v>
      </c>
    </row>
    <row r="41" spans="1:6">
      <c r="A41" s="13">
        <v>40</v>
      </c>
      <c r="B41" s="13">
        <v>20</v>
      </c>
      <c r="C41" s="13">
        <v>-1</v>
      </c>
      <c r="D41" s="13">
        <v>-1</v>
      </c>
      <c r="E41" s="13"/>
      <c r="F41" s="13" t="s">
        <v>6</v>
      </c>
    </row>
    <row r="42" spans="1:6">
      <c r="A42" s="13">
        <v>41</v>
      </c>
      <c r="B42" s="13" t="s">
        <v>7</v>
      </c>
      <c r="C42" s="13">
        <v>23.068571823717299</v>
      </c>
      <c r="D42" s="13">
        <v>0.75986598633906899</v>
      </c>
      <c r="E42" s="13">
        <v>0.99997999999999998</v>
      </c>
      <c r="F42" s="13"/>
    </row>
    <row r="43" spans="1:6">
      <c r="A43" s="13">
        <v>42</v>
      </c>
      <c r="B43" s="13" t="s">
        <v>7</v>
      </c>
      <c r="C43" s="13">
        <v>22.4688182442083</v>
      </c>
      <c r="D43" s="13">
        <v>0.87295477964622303</v>
      </c>
      <c r="E43" s="13">
        <v>0.99939</v>
      </c>
      <c r="F43" s="13"/>
    </row>
    <row r="44" spans="1:6">
      <c r="A44" s="13">
        <v>43</v>
      </c>
      <c r="B44" s="13" t="s">
        <v>7</v>
      </c>
      <c r="C44" s="13">
        <v>23.147188786856798</v>
      </c>
      <c r="D44" s="13">
        <v>0.70171741198354898</v>
      </c>
      <c r="E44" s="13">
        <v>1</v>
      </c>
      <c r="F44" s="13"/>
    </row>
    <row r="45" spans="1:6">
      <c r="A45" s="13">
        <v>44</v>
      </c>
      <c r="B45" s="13" t="s">
        <v>7</v>
      </c>
      <c r="C45" s="13">
        <v>23.782043936153901</v>
      </c>
      <c r="D45" s="13">
        <v>0.77513174030898502</v>
      </c>
      <c r="E45" s="13">
        <v>0.99980000000000002</v>
      </c>
      <c r="F45" s="13"/>
    </row>
    <row r="46" spans="1:6">
      <c r="A46" s="13">
        <v>45</v>
      </c>
      <c r="B46" s="13" t="s">
        <v>8</v>
      </c>
      <c r="C46" s="13">
        <v>-1</v>
      </c>
      <c r="D46" s="13">
        <v>-1</v>
      </c>
      <c r="E46" s="13"/>
      <c r="F46" s="13" t="s">
        <v>6</v>
      </c>
    </row>
    <row r="47" spans="1:6">
      <c r="A47" s="13">
        <v>46</v>
      </c>
      <c r="B47" s="13" t="s">
        <v>8</v>
      </c>
      <c r="C47" s="13">
        <v>-1</v>
      </c>
      <c r="D47" s="13">
        <v>-1</v>
      </c>
      <c r="E47" s="13"/>
      <c r="F47" s="13" t="s">
        <v>6</v>
      </c>
    </row>
    <row r="48" spans="1:6">
      <c r="A48" s="13">
        <v>47</v>
      </c>
      <c r="B48" s="13" t="s">
        <v>8</v>
      </c>
      <c r="C48" s="13">
        <v>-1</v>
      </c>
      <c r="D48" s="13">
        <v>-1</v>
      </c>
      <c r="E48" s="13"/>
      <c r="F48" s="13" t="s">
        <v>6</v>
      </c>
    </row>
    <row r="49" spans="1:6">
      <c r="A49" s="13">
        <v>48</v>
      </c>
      <c r="B49" s="13" t="s">
        <v>8</v>
      </c>
      <c r="C49" s="13">
        <v>-1</v>
      </c>
      <c r="D49" s="13">
        <v>-1</v>
      </c>
      <c r="E49" s="13"/>
      <c r="F49" s="13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4">
        <v>1</v>
      </c>
      <c r="B2" s="14">
        <v>11</v>
      </c>
      <c r="C2" s="14">
        <v>-1</v>
      </c>
      <c r="D2" s="14">
        <v>-1</v>
      </c>
      <c r="E2" s="14"/>
      <c r="F2" s="14" t="s">
        <v>6</v>
      </c>
    </row>
    <row r="3" spans="1:6">
      <c r="A3" s="14">
        <v>2</v>
      </c>
      <c r="B3" s="14">
        <v>11</v>
      </c>
      <c r="C3" s="14">
        <v>-1</v>
      </c>
      <c r="D3" s="14">
        <v>-1</v>
      </c>
      <c r="E3" s="14"/>
      <c r="F3" s="14" t="s">
        <v>6</v>
      </c>
    </row>
    <row r="4" spans="1:6">
      <c r="A4" s="14">
        <v>3</v>
      </c>
      <c r="B4" s="14">
        <v>11</v>
      </c>
      <c r="C4" s="14">
        <v>-1</v>
      </c>
      <c r="D4" s="14">
        <v>-1</v>
      </c>
      <c r="E4" s="14"/>
      <c r="F4" s="14" t="s">
        <v>6</v>
      </c>
    </row>
    <row r="5" spans="1:6">
      <c r="A5" s="14">
        <v>4</v>
      </c>
      <c r="B5" s="14">
        <v>11</v>
      </c>
      <c r="C5" s="14">
        <v>-1</v>
      </c>
      <c r="D5" s="14">
        <v>-1</v>
      </c>
      <c r="E5" s="14"/>
      <c r="F5" s="14" t="s">
        <v>6</v>
      </c>
    </row>
    <row r="6" spans="1:6">
      <c r="A6" s="14">
        <v>5</v>
      </c>
      <c r="B6" s="14">
        <v>12</v>
      </c>
      <c r="C6" s="14">
        <v>-1</v>
      </c>
      <c r="D6" s="14">
        <v>-1</v>
      </c>
      <c r="E6" s="14"/>
      <c r="F6" s="14" t="s">
        <v>6</v>
      </c>
    </row>
    <row r="7" spans="1:6">
      <c r="A7" s="14">
        <v>6</v>
      </c>
      <c r="B7" s="14">
        <v>12</v>
      </c>
      <c r="C7" s="14">
        <v>-1</v>
      </c>
      <c r="D7" s="14">
        <v>-1</v>
      </c>
      <c r="E7" s="14"/>
      <c r="F7" s="14" t="s">
        <v>6</v>
      </c>
    </row>
    <row r="8" spans="1:6">
      <c r="A8" s="14">
        <v>7</v>
      </c>
      <c r="B8" s="14">
        <v>12</v>
      </c>
      <c r="C8" s="14">
        <v>-1</v>
      </c>
      <c r="D8" s="14">
        <v>-1</v>
      </c>
      <c r="E8" s="14"/>
      <c r="F8" s="14" t="s">
        <v>6</v>
      </c>
    </row>
    <row r="9" spans="1:6">
      <c r="A9" s="14">
        <v>8</v>
      </c>
      <c r="B9" s="14">
        <v>12</v>
      </c>
      <c r="C9" s="14">
        <v>-1</v>
      </c>
      <c r="D9" s="14">
        <v>-1</v>
      </c>
      <c r="E9" s="14"/>
      <c r="F9" s="14" t="s">
        <v>6</v>
      </c>
    </row>
    <row r="10" spans="1:6">
      <c r="A10" s="14">
        <v>9</v>
      </c>
      <c r="B10" s="14">
        <v>13</v>
      </c>
      <c r="C10" s="14">
        <v>-1</v>
      </c>
      <c r="D10" s="14">
        <v>-1</v>
      </c>
      <c r="E10" s="14"/>
      <c r="F10" s="14" t="s">
        <v>6</v>
      </c>
    </row>
    <row r="11" spans="1:6">
      <c r="A11" s="14">
        <v>10</v>
      </c>
      <c r="B11" s="14">
        <v>13</v>
      </c>
      <c r="C11" s="14">
        <v>-1</v>
      </c>
      <c r="D11" s="14">
        <v>-1</v>
      </c>
      <c r="E11" s="14"/>
      <c r="F11" s="14" t="s">
        <v>6</v>
      </c>
    </row>
    <row r="12" spans="1:6">
      <c r="A12" s="14">
        <v>11</v>
      </c>
      <c r="B12" s="14">
        <v>13</v>
      </c>
      <c r="C12" s="14">
        <v>-1</v>
      </c>
      <c r="D12" s="14">
        <v>-1</v>
      </c>
      <c r="E12" s="14"/>
      <c r="F12" s="14" t="s">
        <v>6</v>
      </c>
    </row>
    <row r="13" spans="1:6">
      <c r="A13" s="14">
        <v>12</v>
      </c>
      <c r="B13" s="14">
        <v>13</v>
      </c>
      <c r="C13" s="14">
        <v>-1</v>
      </c>
      <c r="D13" s="14">
        <v>-1</v>
      </c>
      <c r="E13" s="14"/>
      <c r="F13" s="14" t="s">
        <v>6</v>
      </c>
    </row>
    <row r="14" spans="1:6">
      <c r="A14" s="14">
        <v>13</v>
      </c>
      <c r="B14" s="14">
        <v>14</v>
      </c>
      <c r="C14" s="14">
        <v>-1</v>
      </c>
      <c r="D14" s="14">
        <v>-1</v>
      </c>
      <c r="E14" s="14"/>
      <c r="F14" s="14" t="s">
        <v>6</v>
      </c>
    </row>
    <row r="15" spans="1:6">
      <c r="A15" s="14">
        <v>14</v>
      </c>
      <c r="B15" s="14">
        <v>14</v>
      </c>
      <c r="C15" s="14">
        <v>-1</v>
      </c>
      <c r="D15" s="14">
        <v>-1</v>
      </c>
      <c r="E15" s="14"/>
      <c r="F15" s="14" t="s">
        <v>6</v>
      </c>
    </row>
    <row r="16" spans="1:6">
      <c r="A16" s="14">
        <v>15</v>
      </c>
      <c r="B16" s="14">
        <v>14</v>
      </c>
      <c r="C16" s="14">
        <v>-1</v>
      </c>
      <c r="D16" s="14">
        <v>-1</v>
      </c>
      <c r="E16" s="14"/>
      <c r="F16" s="14" t="s">
        <v>6</v>
      </c>
    </row>
    <row r="17" spans="1:6">
      <c r="A17" s="14">
        <v>16</v>
      </c>
      <c r="B17" s="14">
        <v>14</v>
      </c>
      <c r="C17" s="14">
        <v>-1</v>
      </c>
      <c r="D17" s="14">
        <v>-1</v>
      </c>
      <c r="E17" s="14"/>
      <c r="F17" s="14" t="s">
        <v>6</v>
      </c>
    </row>
    <row r="18" spans="1:6">
      <c r="A18" s="14">
        <v>17</v>
      </c>
      <c r="B18" s="14">
        <v>15</v>
      </c>
      <c r="C18" s="14">
        <v>-1</v>
      </c>
      <c r="D18" s="14">
        <v>-1</v>
      </c>
      <c r="E18" s="14"/>
      <c r="F18" s="14" t="s">
        <v>6</v>
      </c>
    </row>
    <row r="19" spans="1:6">
      <c r="A19" s="14">
        <v>18</v>
      </c>
      <c r="B19" s="14">
        <v>15</v>
      </c>
      <c r="C19" s="14">
        <v>-1</v>
      </c>
      <c r="D19" s="14">
        <v>-1</v>
      </c>
      <c r="E19" s="14"/>
      <c r="F19" s="14" t="s">
        <v>6</v>
      </c>
    </row>
    <row r="20" spans="1:6">
      <c r="A20" s="14">
        <v>19</v>
      </c>
      <c r="B20" s="14">
        <v>15</v>
      </c>
      <c r="C20" s="14">
        <v>-1</v>
      </c>
      <c r="D20" s="14">
        <v>-1</v>
      </c>
      <c r="E20" s="14"/>
      <c r="F20" s="14" t="s">
        <v>6</v>
      </c>
    </row>
    <row r="21" spans="1:6">
      <c r="A21" s="14">
        <v>20</v>
      </c>
      <c r="B21" s="14">
        <v>15</v>
      </c>
      <c r="C21" s="14">
        <v>-1</v>
      </c>
      <c r="D21" s="14">
        <v>-1</v>
      </c>
      <c r="E21" s="14"/>
      <c r="F21" s="14" t="s">
        <v>6</v>
      </c>
    </row>
    <row r="22" spans="1:6">
      <c r="A22" s="14">
        <v>21</v>
      </c>
      <c r="B22" s="14">
        <v>16</v>
      </c>
      <c r="C22" s="14">
        <v>-1</v>
      </c>
      <c r="D22" s="14">
        <v>-1</v>
      </c>
      <c r="E22" s="14"/>
      <c r="F22" s="14" t="s">
        <v>6</v>
      </c>
    </row>
    <row r="23" spans="1:6">
      <c r="A23" s="14">
        <v>22</v>
      </c>
      <c r="B23" s="14">
        <v>16</v>
      </c>
      <c r="C23" s="14">
        <v>-1</v>
      </c>
      <c r="D23" s="14">
        <v>-1</v>
      </c>
      <c r="E23" s="14"/>
      <c r="F23" s="14" t="s">
        <v>6</v>
      </c>
    </row>
    <row r="24" spans="1:6">
      <c r="A24" s="14">
        <v>23</v>
      </c>
      <c r="B24" s="14">
        <v>16</v>
      </c>
      <c r="C24" s="14">
        <v>-1</v>
      </c>
      <c r="D24" s="14">
        <v>-1</v>
      </c>
      <c r="E24" s="14"/>
      <c r="F24" s="14" t="s">
        <v>6</v>
      </c>
    </row>
    <row r="25" spans="1:6">
      <c r="A25" s="14">
        <v>24</v>
      </c>
      <c r="B25" s="14">
        <v>16</v>
      </c>
      <c r="C25" s="14">
        <v>-1</v>
      </c>
      <c r="D25" s="14">
        <v>-1</v>
      </c>
      <c r="E25" s="14"/>
      <c r="F25" s="14" t="s">
        <v>6</v>
      </c>
    </row>
    <row r="26" spans="1:6">
      <c r="A26" s="14">
        <v>25</v>
      </c>
      <c r="B26" s="14">
        <v>17</v>
      </c>
      <c r="C26" s="14">
        <v>-1</v>
      </c>
      <c r="D26" s="14">
        <v>-1</v>
      </c>
      <c r="E26" s="14"/>
      <c r="F26" s="14" t="s">
        <v>6</v>
      </c>
    </row>
    <row r="27" spans="1:6">
      <c r="A27" s="14">
        <v>26</v>
      </c>
      <c r="B27" s="14">
        <v>17</v>
      </c>
      <c r="C27" s="14">
        <v>-1</v>
      </c>
      <c r="D27" s="14">
        <v>-1</v>
      </c>
      <c r="E27" s="14"/>
      <c r="F27" s="14" t="s">
        <v>6</v>
      </c>
    </row>
    <row r="28" spans="1:6">
      <c r="A28" s="14">
        <v>27</v>
      </c>
      <c r="B28" s="14">
        <v>17</v>
      </c>
      <c r="C28" s="14">
        <v>-1</v>
      </c>
      <c r="D28" s="14">
        <v>-1</v>
      </c>
      <c r="E28" s="14"/>
      <c r="F28" s="14" t="s">
        <v>6</v>
      </c>
    </row>
    <row r="29" spans="1:6">
      <c r="A29" s="14">
        <v>28</v>
      </c>
      <c r="B29" s="14">
        <v>17</v>
      </c>
      <c r="C29" s="14">
        <v>-1</v>
      </c>
      <c r="D29" s="14">
        <v>-1</v>
      </c>
      <c r="E29" s="14"/>
      <c r="F29" s="14" t="s">
        <v>6</v>
      </c>
    </row>
    <row r="30" spans="1:6">
      <c r="A30" s="14">
        <v>29</v>
      </c>
      <c r="B30" s="14">
        <v>18</v>
      </c>
      <c r="C30" s="14">
        <v>-1</v>
      </c>
      <c r="D30" s="14">
        <v>-1</v>
      </c>
      <c r="E30" s="14"/>
      <c r="F30" s="14" t="s">
        <v>6</v>
      </c>
    </row>
    <row r="31" spans="1:6">
      <c r="A31" s="14">
        <v>30</v>
      </c>
      <c r="B31" s="14">
        <v>18</v>
      </c>
      <c r="C31" s="14">
        <v>-1</v>
      </c>
      <c r="D31" s="14">
        <v>-1</v>
      </c>
      <c r="E31" s="14"/>
      <c r="F31" s="14" t="s">
        <v>6</v>
      </c>
    </row>
    <row r="32" spans="1:6">
      <c r="A32" s="14">
        <v>31</v>
      </c>
      <c r="B32" s="14">
        <v>18</v>
      </c>
      <c r="C32" s="14">
        <v>-1</v>
      </c>
      <c r="D32" s="14">
        <v>-1</v>
      </c>
      <c r="E32" s="14"/>
      <c r="F32" s="14" t="s">
        <v>6</v>
      </c>
    </row>
    <row r="33" spans="1:6">
      <c r="A33" s="14">
        <v>32</v>
      </c>
      <c r="B33" s="14">
        <v>18</v>
      </c>
      <c r="C33" s="14">
        <v>-1</v>
      </c>
      <c r="D33" s="14">
        <v>-1</v>
      </c>
      <c r="E33" s="14"/>
      <c r="F33" s="14" t="s">
        <v>6</v>
      </c>
    </row>
    <row r="34" spans="1:6">
      <c r="A34" s="14">
        <v>33</v>
      </c>
      <c r="B34" s="14">
        <v>19</v>
      </c>
      <c r="C34" s="14">
        <v>-1</v>
      </c>
      <c r="D34" s="14">
        <v>-1</v>
      </c>
      <c r="E34" s="14"/>
      <c r="F34" s="14" t="s">
        <v>6</v>
      </c>
    </row>
    <row r="35" spans="1:6">
      <c r="A35" s="14">
        <v>34</v>
      </c>
      <c r="B35" s="14">
        <v>19</v>
      </c>
      <c r="C35" s="14">
        <v>-1</v>
      </c>
      <c r="D35" s="14">
        <v>-1</v>
      </c>
      <c r="E35" s="14"/>
      <c r="F35" s="14" t="s">
        <v>6</v>
      </c>
    </row>
    <row r="36" spans="1:6">
      <c r="A36" s="14">
        <v>35</v>
      </c>
      <c r="B36" s="14">
        <v>19</v>
      </c>
      <c r="C36" s="14">
        <v>-1</v>
      </c>
      <c r="D36" s="14">
        <v>-1</v>
      </c>
      <c r="E36" s="14"/>
      <c r="F36" s="14" t="s">
        <v>6</v>
      </c>
    </row>
    <row r="37" spans="1:6">
      <c r="A37" s="14">
        <v>36</v>
      </c>
      <c r="B37" s="14">
        <v>19</v>
      </c>
      <c r="C37" s="14">
        <v>-1</v>
      </c>
      <c r="D37" s="14">
        <v>-1</v>
      </c>
      <c r="E37" s="14"/>
      <c r="F37" s="14" t="s">
        <v>6</v>
      </c>
    </row>
    <row r="38" spans="1:6">
      <c r="A38" s="14">
        <v>37</v>
      </c>
      <c r="B38" s="14">
        <v>20</v>
      </c>
      <c r="C38" s="14">
        <v>-1</v>
      </c>
      <c r="D38" s="14">
        <v>-1</v>
      </c>
      <c r="E38" s="14"/>
      <c r="F38" s="14" t="s">
        <v>6</v>
      </c>
    </row>
    <row r="39" spans="1:6">
      <c r="A39" s="14">
        <v>38</v>
      </c>
      <c r="B39" s="14">
        <v>20</v>
      </c>
      <c r="C39" s="14">
        <v>-1</v>
      </c>
      <c r="D39" s="14">
        <v>-1</v>
      </c>
      <c r="E39" s="14"/>
      <c r="F39" s="14" t="s">
        <v>6</v>
      </c>
    </row>
    <row r="40" spans="1:6">
      <c r="A40" s="14">
        <v>39</v>
      </c>
      <c r="B40" s="14">
        <v>20</v>
      </c>
      <c r="C40" s="14">
        <v>-1</v>
      </c>
      <c r="D40" s="14">
        <v>-1</v>
      </c>
      <c r="E40" s="14"/>
      <c r="F40" s="14" t="s">
        <v>6</v>
      </c>
    </row>
    <row r="41" spans="1:6">
      <c r="A41" s="14">
        <v>40</v>
      </c>
      <c r="B41" s="14">
        <v>20</v>
      </c>
      <c r="C41" s="14">
        <v>-1</v>
      </c>
      <c r="D41" s="14">
        <v>-1</v>
      </c>
      <c r="E41" s="14"/>
      <c r="F41" s="14" t="s">
        <v>6</v>
      </c>
    </row>
    <row r="42" spans="1:6">
      <c r="A42" s="14">
        <v>41</v>
      </c>
      <c r="B42" s="14" t="s">
        <v>7</v>
      </c>
      <c r="C42" s="14">
        <v>19.9976881496085</v>
      </c>
      <c r="D42" s="14">
        <v>0.82516784747692096</v>
      </c>
      <c r="E42" s="14">
        <v>0.99782000000000004</v>
      </c>
      <c r="F42" s="14"/>
    </row>
    <row r="43" spans="1:6">
      <c r="A43" s="14">
        <v>42</v>
      </c>
      <c r="B43" s="14" t="s">
        <v>7</v>
      </c>
      <c r="C43" s="14">
        <v>19.8073007508107</v>
      </c>
      <c r="D43" s="14">
        <v>0.82036767157859003</v>
      </c>
      <c r="E43" s="14">
        <v>0.99761999999999995</v>
      </c>
      <c r="F43" s="14"/>
    </row>
    <row r="44" spans="1:6">
      <c r="A44" s="14">
        <v>43</v>
      </c>
      <c r="B44" s="14" t="s">
        <v>7</v>
      </c>
      <c r="C44" s="14">
        <v>20.121468005158999</v>
      </c>
      <c r="D44" s="14">
        <v>0.81270623463056002</v>
      </c>
      <c r="E44" s="14">
        <v>0.99792999999999998</v>
      </c>
      <c r="F44" s="14"/>
    </row>
    <row r="45" spans="1:6">
      <c r="A45" s="14">
        <v>44</v>
      </c>
      <c r="B45" s="14" t="s">
        <v>7</v>
      </c>
      <c r="C45" s="14">
        <v>20.209092522235899</v>
      </c>
      <c r="D45" s="14">
        <v>0.81403937395875503</v>
      </c>
      <c r="E45" s="14">
        <v>0.99814999999999998</v>
      </c>
      <c r="F45" s="14"/>
    </row>
    <row r="46" spans="1:6">
      <c r="A46" s="14">
        <v>45</v>
      </c>
      <c r="B46" s="14" t="s">
        <v>8</v>
      </c>
      <c r="C46" s="14">
        <v>-1</v>
      </c>
      <c r="D46" s="14">
        <v>-1</v>
      </c>
      <c r="E46" s="14"/>
      <c r="F46" s="14" t="s">
        <v>6</v>
      </c>
    </row>
    <row r="47" spans="1:6">
      <c r="A47" s="14">
        <v>46</v>
      </c>
      <c r="B47" s="14" t="s">
        <v>8</v>
      </c>
      <c r="C47" s="14">
        <v>-1</v>
      </c>
      <c r="D47" s="14">
        <v>-1</v>
      </c>
      <c r="E47" s="14"/>
      <c r="F47" s="14" t="s">
        <v>6</v>
      </c>
    </row>
    <row r="48" spans="1:6">
      <c r="A48" s="14">
        <v>47</v>
      </c>
      <c r="B48" s="14" t="s">
        <v>8</v>
      </c>
      <c r="C48" s="14">
        <v>-1</v>
      </c>
      <c r="D48" s="14">
        <v>-1</v>
      </c>
      <c r="E48" s="14"/>
      <c r="F48" s="14" t="s">
        <v>6</v>
      </c>
    </row>
    <row r="49" spans="1:6">
      <c r="A49" s="14">
        <v>48</v>
      </c>
      <c r="B49" s="14" t="s">
        <v>8</v>
      </c>
      <c r="C49" s="14">
        <v>-1</v>
      </c>
      <c r="D49" s="14">
        <v>-1</v>
      </c>
      <c r="E49" s="14"/>
      <c r="F49" s="14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5">
        <v>1</v>
      </c>
      <c r="B2" s="15">
        <v>11</v>
      </c>
      <c r="C2" s="15">
        <v>22.0503156286535</v>
      </c>
      <c r="D2" s="15">
        <v>1.01282077610406</v>
      </c>
      <c r="E2" s="15">
        <v>0.99861999999999995</v>
      </c>
      <c r="F2" s="15"/>
    </row>
    <row r="3" spans="1:6">
      <c r="A3" s="15">
        <v>2</v>
      </c>
      <c r="B3" s="15">
        <v>11</v>
      </c>
      <c r="C3" s="15">
        <v>22.024925556160898</v>
      </c>
      <c r="D3" s="15">
        <v>0.98805501650181604</v>
      </c>
      <c r="E3" s="15">
        <v>0.99878</v>
      </c>
      <c r="F3" s="15"/>
    </row>
    <row r="4" spans="1:6">
      <c r="A4" s="15">
        <v>3</v>
      </c>
      <c r="B4" s="15">
        <v>11</v>
      </c>
      <c r="C4" s="15">
        <v>22.136524266330898</v>
      </c>
      <c r="D4" s="15">
        <v>1.0162901481284501</v>
      </c>
      <c r="E4" s="15">
        <v>0.99851999999999996</v>
      </c>
      <c r="F4" s="15"/>
    </row>
    <row r="5" spans="1:6">
      <c r="A5" s="15">
        <v>4</v>
      </c>
      <c r="B5" s="15">
        <v>11</v>
      </c>
      <c r="C5" s="15">
        <v>22.1665302401024</v>
      </c>
      <c r="D5" s="15">
        <v>0.999760751985034</v>
      </c>
      <c r="E5" s="15">
        <v>0.99870999999999999</v>
      </c>
      <c r="F5" s="15"/>
    </row>
    <row r="6" spans="1:6">
      <c r="A6" s="15">
        <v>5</v>
      </c>
      <c r="B6" s="15">
        <v>12</v>
      </c>
      <c r="C6" s="15">
        <v>22.691036094559401</v>
      </c>
      <c r="D6" s="15">
        <v>0.90642757793473505</v>
      </c>
      <c r="E6" s="15">
        <v>0.99963000000000002</v>
      </c>
      <c r="F6" s="15"/>
    </row>
    <row r="7" spans="1:6">
      <c r="A7" s="15">
        <v>6</v>
      </c>
      <c r="B7" s="15">
        <v>12</v>
      </c>
      <c r="C7" s="15">
        <v>22.6599795677202</v>
      </c>
      <c r="D7" s="15">
        <v>0.93050216762229199</v>
      </c>
      <c r="E7" s="15">
        <v>0.99950000000000006</v>
      </c>
      <c r="F7" s="15"/>
    </row>
    <row r="8" spans="1:6">
      <c r="A8" s="15">
        <v>7</v>
      </c>
      <c r="B8" s="15">
        <v>12</v>
      </c>
      <c r="C8" s="15">
        <v>22.6582019664028</v>
      </c>
      <c r="D8" s="15">
        <v>0.914954636228555</v>
      </c>
      <c r="E8" s="15">
        <v>0.99963000000000002</v>
      </c>
      <c r="F8" s="15"/>
    </row>
    <row r="9" spans="1:6">
      <c r="A9" s="15">
        <v>8</v>
      </c>
      <c r="B9" s="15">
        <v>12</v>
      </c>
      <c r="C9" s="15">
        <v>22.689667917461701</v>
      </c>
      <c r="D9" s="15">
        <v>0.93425668374806403</v>
      </c>
      <c r="E9" s="15">
        <v>0.99946999999999997</v>
      </c>
      <c r="F9" s="15"/>
    </row>
    <row r="10" spans="1:6">
      <c r="A10" s="15">
        <v>9</v>
      </c>
      <c r="B10" s="15">
        <v>13</v>
      </c>
      <c r="C10" s="15">
        <v>20.192968291305299</v>
      </c>
      <c r="D10" s="15">
        <v>1.0241659645241601</v>
      </c>
      <c r="E10" s="15">
        <v>0.99870999999999999</v>
      </c>
      <c r="F10" s="15"/>
    </row>
    <row r="11" spans="1:6">
      <c r="A11" s="15">
        <v>10</v>
      </c>
      <c r="B11" s="15">
        <v>13</v>
      </c>
      <c r="C11" s="15">
        <v>20.168823304231399</v>
      </c>
      <c r="D11" s="15">
        <v>1.0387458712920301</v>
      </c>
      <c r="E11" s="15">
        <v>0.99839999999999995</v>
      </c>
      <c r="F11" s="15"/>
    </row>
    <row r="12" spans="1:6">
      <c r="A12" s="15">
        <v>11</v>
      </c>
      <c r="B12" s="15">
        <v>13</v>
      </c>
      <c r="C12" s="15">
        <v>20.116706358561999</v>
      </c>
      <c r="D12" s="15">
        <v>1.0387338611513901</v>
      </c>
      <c r="E12" s="15">
        <v>0.99829000000000001</v>
      </c>
      <c r="F12" s="15"/>
    </row>
    <row r="13" spans="1:6">
      <c r="A13" s="15">
        <v>12</v>
      </c>
      <c r="B13" s="15">
        <v>13</v>
      </c>
      <c r="C13" s="15">
        <v>19.999041096244898</v>
      </c>
      <c r="D13" s="15">
        <v>0.93558146515916496</v>
      </c>
      <c r="E13" s="15">
        <v>0.99927999999999995</v>
      </c>
      <c r="F13" s="15"/>
    </row>
    <row r="14" spans="1:6">
      <c r="A14" s="15">
        <v>13</v>
      </c>
      <c r="B14" s="15">
        <v>14</v>
      </c>
      <c r="C14" s="15">
        <v>23.391621561319599</v>
      </c>
      <c r="D14" s="15">
        <v>0.94394271424143705</v>
      </c>
      <c r="E14" s="15">
        <v>0.99960000000000004</v>
      </c>
      <c r="F14" s="15"/>
    </row>
    <row r="15" spans="1:6">
      <c r="A15" s="15">
        <v>14</v>
      </c>
      <c r="B15" s="15">
        <v>14</v>
      </c>
      <c r="C15" s="15">
        <v>23.2131877607676</v>
      </c>
      <c r="D15" s="15">
        <v>1.0100700548077901</v>
      </c>
      <c r="E15" s="15">
        <v>0.99892999999999998</v>
      </c>
      <c r="F15" s="15"/>
    </row>
    <row r="16" spans="1:6">
      <c r="A16" s="15">
        <v>15</v>
      </c>
      <c r="B16" s="15">
        <v>14</v>
      </c>
      <c r="C16" s="15">
        <v>23.387941430919302</v>
      </c>
      <c r="D16" s="15">
        <v>0.92075315209468001</v>
      </c>
      <c r="E16" s="15">
        <v>0.99970999999999999</v>
      </c>
      <c r="F16" s="15"/>
    </row>
    <row r="17" spans="1:6">
      <c r="A17" s="15">
        <v>16</v>
      </c>
      <c r="B17" s="15">
        <v>14</v>
      </c>
      <c r="C17" s="15">
        <v>23.154192069296698</v>
      </c>
      <c r="D17" s="15">
        <v>1.0183659411366099</v>
      </c>
      <c r="E17" s="15">
        <v>0.99878</v>
      </c>
      <c r="F17" s="15"/>
    </row>
    <row r="18" spans="1:6">
      <c r="A18" s="15">
        <v>17</v>
      </c>
      <c r="B18" s="15">
        <v>15</v>
      </c>
      <c r="C18" s="15">
        <v>22.234092390933601</v>
      </c>
      <c r="D18" s="15">
        <v>0.98219947623525095</v>
      </c>
      <c r="E18" s="15">
        <v>0.99911000000000005</v>
      </c>
      <c r="F18" s="15"/>
    </row>
    <row r="19" spans="1:6">
      <c r="A19" s="15">
        <v>18</v>
      </c>
      <c r="B19" s="15">
        <v>15</v>
      </c>
      <c r="C19" s="15">
        <v>22.207189957257</v>
      </c>
      <c r="D19" s="15">
        <v>0.97450405439475996</v>
      </c>
      <c r="E19" s="15">
        <v>0.999</v>
      </c>
      <c r="F19" s="15"/>
    </row>
    <row r="20" spans="1:6">
      <c r="A20" s="15">
        <v>19</v>
      </c>
      <c r="B20" s="15">
        <v>15</v>
      </c>
      <c r="C20" s="15">
        <v>22.212560058804598</v>
      </c>
      <c r="D20" s="15">
        <v>0.97705059487422197</v>
      </c>
      <c r="E20" s="15">
        <v>0.99909000000000003</v>
      </c>
      <c r="F20" s="15"/>
    </row>
    <row r="21" spans="1:6">
      <c r="A21" s="15">
        <v>20</v>
      </c>
      <c r="B21" s="15">
        <v>15</v>
      </c>
      <c r="C21" s="15">
        <v>22.1688281209005</v>
      </c>
      <c r="D21" s="15">
        <v>0.982698650042654</v>
      </c>
      <c r="E21" s="15">
        <v>0.99900999999999995</v>
      </c>
      <c r="F21" s="15"/>
    </row>
    <row r="22" spans="1:6">
      <c r="A22" s="15">
        <v>21</v>
      </c>
      <c r="B22" s="15">
        <v>16</v>
      </c>
      <c r="C22" s="15">
        <v>23.1805940004969</v>
      </c>
      <c r="D22" s="15">
        <v>0.97674279853351298</v>
      </c>
      <c r="E22" s="15">
        <v>0.99917</v>
      </c>
      <c r="F22" s="15"/>
    </row>
    <row r="23" spans="1:6">
      <c r="A23" s="15">
        <v>22</v>
      </c>
      <c r="B23" s="15">
        <v>16</v>
      </c>
      <c r="C23" s="15">
        <v>23.160289680825102</v>
      </c>
      <c r="D23" s="15">
        <v>0.95003340692917504</v>
      </c>
      <c r="E23" s="15">
        <v>0.99926999999999999</v>
      </c>
      <c r="F23" s="15"/>
    </row>
    <row r="24" spans="1:6">
      <c r="A24" s="15">
        <v>23</v>
      </c>
      <c r="B24" s="15">
        <v>16</v>
      </c>
      <c r="C24" s="15">
        <v>23.1555703011663</v>
      </c>
      <c r="D24" s="15">
        <v>0.92695253867401495</v>
      </c>
      <c r="E24" s="15">
        <v>0.99941999999999998</v>
      </c>
      <c r="F24" s="15"/>
    </row>
    <row r="25" spans="1:6">
      <c r="A25" s="15">
        <v>24</v>
      </c>
      <c r="B25" s="15">
        <v>16</v>
      </c>
      <c r="C25" s="15">
        <v>23.145763941795501</v>
      </c>
      <c r="D25" s="15">
        <v>0.95665362921045505</v>
      </c>
      <c r="E25" s="15">
        <v>0.99926000000000004</v>
      </c>
      <c r="F25" s="15"/>
    </row>
    <row r="26" spans="1:6">
      <c r="A26" s="15">
        <v>25</v>
      </c>
      <c r="B26" s="15">
        <v>17</v>
      </c>
      <c r="C26" s="15">
        <v>22.075720660410699</v>
      </c>
      <c r="D26" s="15">
        <v>0.99878743202154896</v>
      </c>
      <c r="E26" s="15">
        <v>0.99873000000000001</v>
      </c>
      <c r="F26" s="15"/>
    </row>
    <row r="27" spans="1:6">
      <c r="A27" s="15">
        <v>26</v>
      </c>
      <c r="B27" s="15">
        <v>17</v>
      </c>
      <c r="C27" s="15">
        <v>22.058174469059299</v>
      </c>
      <c r="D27" s="15">
        <v>0.96667835824643</v>
      </c>
      <c r="E27" s="15">
        <v>0.99897999999999998</v>
      </c>
      <c r="F27" s="15"/>
    </row>
    <row r="28" spans="1:6">
      <c r="A28" s="15">
        <v>27</v>
      </c>
      <c r="B28" s="15">
        <v>17</v>
      </c>
      <c r="C28" s="15">
        <v>22.108596364327099</v>
      </c>
      <c r="D28" s="15">
        <v>0.995216211608134</v>
      </c>
      <c r="E28" s="15">
        <v>0.99866999999999995</v>
      </c>
      <c r="F28" s="15"/>
    </row>
    <row r="29" spans="1:6">
      <c r="A29" s="15">
        <v>28</v>
      </c>
      <c r="B29" s="15">
        <v>17</v>
      </c>
      <c r="C29" s="15">
        <v>21.8041411004039</v>
      </c>
      <c r="D29" s="15">
        <v>0.914473329163629</v>
      </c>
      <c r="E29" s="15">
        <v>0.99944999999999995</v>
      </c>
      <c r="F29" s="15"/>
    </row>
    <row r="30" spans="1:6">
      <c r="A30" s="15">
        <v>29</v>
      </c>
      <c r="B30" s="15">
        <v>18</v>
      </c>
      <c r="C30" s="15">
        <v>21.674337075389602</v>
      </c>
      <c r="D30" s="15">
        <v>0.90947848847256896</v>
      </c>
      <c r="E30" s="15">
        <v>0.99958999999999998</v>
      </c>
      <c r="F30" s="15"/>
    </row>
    <row r="31" spans="1:6">
      <c r="A31" s="15">
        <v>30</v>
      </c>
      <c r="B31" s="15">
        <v>18</v>
      </c>
      <c r="C31" s="15">
        <v>21.704705054250201</v>
      </c>
      <c r="D31" s="15">
        <v>0.89414231652387899</v>
      </c>
      <c r="E31" s="15">
        <v>0.99961999999999995</v>
      </c>
      <c r="F31" s="15"/>
    </row>
    <row r="32" spans="1:6">
      <c r="A32" s="15">
        <v>31</v>
      </c>
      <c r="B32" s="15">
        <v>18</v>
      </c>
      <c r="C32" s="15">
        <v>21.709254165309499</v>
      </c>
      <c r="D32" s="15">
        <v>0.90515365799900105</v>
      </c>
      <c r="E32" s="15">
        <v>0.99958000000000002</v>
      </c>
      <c r="F32" s="15"/>
    </row>
    <row r="33" spans="1:6">
      <c r="A33" s="15">
        <v>32</v>
      </c>
      <c r="B33" s="15">
        <v>18</v>
      </c>
      <c r="C33" s="15">
        <v>21.7678855278585</v>
      </c>
      <c r="D33" s="15">
        <v>0.91298930774857501</v>
      </c>
      <c r="E33" s="15">
        <v>0.99944</v>
      </c>
      <c r="F33" s="15"/>
    </row>
    <row r="34" spans="1:6">
      <c r="A34" s="15">
        <v>33</v>
      </c>
      <c r="B34" s="15">
        <v>19</v>
      </c>
      <c r="C34" s="15">
        <v>21.427387909698101</v>
      </c>
      <c r="D34" s="15">
        <v>0.93500872225722298</v>
      </c>
      <c r="E34" s="15">
        <v>0.99961</v>
      </c>
      <c r="F34" s="15"/>
    </row>
    <row r="35" spans="1:6">
      <c r="A35" s="15">
        <v>34</v>
      </c>
      <c r="B35" s="15">
        <v>19</v>
      </c>
      <c r="C35" s="15">
        <v>21.398989540532099</v>
      </c>
      <c r="D35" s="15">
        <v>0.92679466735810501</v>
      </c>
      <c r="E35" s="15">
        <v>0.99960000000000004</v>
      </c>
      <c r="F35" s="15"/>
    </row>
    <row r="36" spans="1:6">
      <c r="A36" s="15">
        <v>35</v>
      </c>
      <c r="B36" s="15">
        <v>19</v>
      </c>
      <c r="C36" s="15">
        <v>21.482009171754999</v>
      </c>
      <c r="D36" s="15">
        <v>0.96873682401442895</v>
      </c>
      <c r="E36" s="15">
        <v>0.99943000000000004</v>
      </c>
      <c r="F36" s="15"/>
    </row>
    <row r="37" spans="1:6">
      <c r="A37" s="15">
        <v>36</v>
      </c>
      <c r="B37" s="15">
        <v>19</v>
      </c>
      <c r="C37" s="15">
        <v>21.360870412478899</v>
      </c>
      <c r="D37" s="15">
        <v>0.97222577517158204</v>
      </c>
      <c r="E37" s="15">
        <v>0.99943000000000004</v>
      </c>
      <c r="F37" s="15"/>
    </row>
    <row r="38" spans="1:6">
      <c r="A38" s="15">
        <v>37</v>
      </c>
      <c r="B38" s="15">
        <v>20</v>
      </c>
      <c r="C38" s="15">
        <v>21.401530743817499</v>
      </c>
      <c r="D38" s="15">
        <v>0.89832313582318601</v>
      </c>
      <c r="E38" s="15">
        <v>0.99963999999999997</v>
      </c>
      <c r="F38" s="15"/>
    </row>
    <row r="39" spans="1:6">
      <c r="A39" s="15">
        <v>38</v>
      </c>
      <c r="B39" s="15">
        <v>20</v>
      </c>
      <c r="C39" s="15">
        <v>21.3703792395352</v>
      </c>
      <c r="D39" s="15">
        <v>0.87672409545041996</v>
      </c>
      <c r="E39" s="15">
        <v>0.99973999999999996</v>
      </c>
      <c r="F39" s="15"/>
    </row>
    <row r="40" spans="1:6">
      <c r="A40" s="15">
        <v>39</v>
      </c>
      <c r="B40" s="15">
        <v>20</v>
      </c>
      <c r="C40" s="15">
        <v>21.424845723828501</v>
      </c>
      <c r="D40" s="15">
        <v>0.87053216907925401</v>
      </c>
      <c r="E40" s="15">
        <v>0.99972000000000005</v>
      </c>
      <c r="F40" s="15"/>
    </row>
    <row r="41" spans="1:6">
      <c r="A41" s="15">
        <v>40</v>
      </c>
      <c r="B41" s="15">
        <v>20</v>
      </c>
      <c r="C41" s="15">
        <v>21.450008000433002</v>
      </c>
      <c r="D41" s="15">
        <v>0.90282972954330398</v>
      </c>
      <c r="E41" s="15">
        <v>0.99965999999999999</v>
      </c>
      <c r="F41" s="15"/>
    </row>
    <row r="42" spans="1:6">
      <c r="A42" s="15">
        <v>41</v>
      </c>
      <c r="B42" s="15" t="s">
        <v>7</v>
      </c>
      <c r="C42" s="15">
        <v>35.085893940753699</v>
      </c>
      <c r="D42" s="15">
        <v>0.58133632766504095</v>
      </c>
      <c r="E42" s="15">
        <v>0.99951999999999996</v>
      </c>
      <c r="F42" s="15"/>
    </row>
    <row r="43" spans="1:6">
      <c r="A43" s="15">
        <v>42</v>
      </c>
      <c r="B43" s="15" t="s">
        <v>7</v>
      </c>
      <c r="C43" s="15">
        <v>33.724992822512</v>
      </c>
      <c r="D43" s="15">
        <v>0.64282400496427905</v>
      </c>
      <c r="E43" s="15">
        <v>0.99958000000000002</v>
      </c>
      <c r="F43" s="15"/>
    </row>
    <row r="44" spans="1:6">
      <c r="A44" s="15">
        <v>43</v>
      </c>
      <c r="B44" s="15" t="s">
        <v>7</v>
      </c>
      <c r="C44" s="15">
        <v>34.200295012384402</v>
      </c>
      <c r="D44" s="15">
        <v>0.58714799792825201</v>
      </c>
      <c r="E44" s="15">
        <v>0.99988999999999995</v>
      </c>
      <c r="F44" s="15"/>
    </row>
    <row r="45" spans="1:6">
      <c r="A45" s="15">
        <v>44</v>
      </c>
      <c r="B45" s="15" t="s">
        <v>7</v>
      </c>
      <c r="C45" s="15">
        <v>32.198235687791801</v>
      </c>
      <c r="D45" s="15">
        <v>0.70877998378538698</v>
      </c>
      <c r="E45" s="15">
        <v>0.99970000000000003</v>
      </c>
      <c r="F45" s="15"/>
    </row>
    <row r="46" spans="1:6">
      <c r="A46" s="15">
        <v>45</v>
      </c>
      <c r="B46" s="15" t="s">
        <v>8</v>
      </c>
      <c r="C46" s="15">
        <v>-1</v>
      </c>
      <c r="D46" s="15">
        <v>-1</v>
      </c>
      <c r="E46" s="15"/>
      <c r="F46" s="15" t="s">
        <v>6</v>
      </c>
    </row>
    <row r="47" spans="1:6">
      <c r="A47" s="15">
        <v>46</v>
      </c>
      <c r="B47" s="15" t="s">
        <v>8</v>
      </c>
      <c r="C47" s="15">
        <v>-1</v>
      </c>
      <c r="D47" s="15">
        <v>-1</v>
      </c>
      <c r="E47" s="15"/>
      <c r="F47" s="15" t="s">
        <v>6</v>
      </c>
    </row>
    <row r="48" spans="1:6">
      <c r="A48" s="15">
        <v>47</v>
      </c>
      <c r="B48" s="15" t="s">
        <v>8</v>
      </c>
      <c r="C48" s="15">
        <v>37.3083935781344</v>
      </c>
      <c r="D48" s="15">
        <v>0.326393184400951</v>
      </c>
      <c r="E48" s="15">
        <v>0.93886000000000003</v>
      </c>
      <c r="F48" s="15"/>
    </row>
    <row r="49" spans="1:6">
      <c r="A49" s="15">
        <v>48</v>
      </c>
      <c r="B49" s="15" t="s">
        <v>8</v>
      </c>
      <c r="C49" s="15">
        <v>-1</v>
      </c>
      <c r="D49" s="15">
        <v>-1</v>
      </c>
      <c r="E49" s="15"/>
      <c r="F49" s="15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11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22.0503156286535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11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22.024925556160898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11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22.136524266330898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11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22.1665302401024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12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22.691036094559401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12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22.6599795677202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12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22.6582019664028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12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22.689667917461701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20.192968291305299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20.168823304231399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20.116706358561999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19.999041096244898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23.391621561319599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23.2131877607676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23.387941430919302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23.154192069296698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22.234092390933601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22.207189957257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22.212560058804598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22.1688281209005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23.1805940004969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23.160289680825102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23.1555703011663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23.145763941795501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22.075720660410699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22.058174469059299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22.108596364327099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21.8041411004039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21.674337075389602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21.704705054250201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21.709254165309499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21.7678855278585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21.427387909698101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21.398989540532099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21.482009171754999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21.360870412478899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21.401530743817499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21.3703792395352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21.424845723828501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21.450008000433002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23.068571823717299</v>
      </c>
      <c r="C42">
        <f>IF('18S2'!C42="", "", '18S2'!C42)</f>
        <v>19.9976881496085</v>
      </c>
      <c r="D42">
        <f>IF(RNAseP!C42="", "", RNAseP!C42)</f>
        <v>35.085893940753699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22.4688182442083</v>
      </c>
      <c r="C43">
        <f>IF('18S2'!C43="", "", '18S2'!C43)</f>
        <v>19.8073007508107</v>
      </c>
      <c r="D43">
        <f>IF(RNAseP!C43="", "", RNAseP!C43)</f>
        <v>33.724992822512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23.147188786856798</v>
      </c>
      <c r="C44">
        <f>IF('18S2'!C44="", "", '18S2'!C44)</f>
        <v>20.121468005158999</v>
      </c>
      <c r="D44">
        <f>IF(RNAseP!C44="", "", RNAseP!C44)</f>
        <v>34.200295012384402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23.782043936153901</v>
      </c>
      <c r="C45">
        <f>IF('18S2'!C45="", "", '18S2'!C45)</f>
        <v>20.209092522235899</v>
      </c>
      <c r="D45">
        <f>IF(RNAseP!C45="", "", RNAseP!C45)</f>
        <v>32.198235687791801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37.3083935781344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7" workbookViewId="0">
      <selection activeCell="B14" sqref="B14"/>
    </sheetView>
  </sheetViews>
  <sheetFormatPr defaultColWidth="9.140625" defaultRowHeight="15"/>
  <cols>
    <col min="1" max="1" width="13.42578125" style="3" bestFit="1" customWidth="1"/>
    <col min="2" max="2" width="13.42578125" style="3" customWidth="1"/>
    <col min="3" max="3" width="13.42578125" customWidth="1"/>
    <col min="4" max="6" width="14.85546875" customWidth="1"/>
    <col min="7" max="8" width="13.42578125" customWidth="1"/>
  </cols>
  <sheetData>
    <row r="1" spans="1:8" ht="18.75">
      <c r="A1" s="20" t="s">
        <v>40</v>
      </c>
      <c r="B1" s="20"/>
    </row>
    <row r="3" spans="1:8">
      <c r="A3" s="21" t="s">
        <v>41</v>
      </c>
      <c r="B3" s="22"/>
      <c r="C3" s="26">
        <v>45784</v>
      </c>
      <c r="D3" s="24"/>
      <c r="E3" s="24"/>
      <c r="F3" s="25"/>
    </row>
    <row r="4" spans="1:8">
      <c r="A4" s="21" t="s">
        <v>42</v>
      </c>
      <c r="B4" s="22"/>
      <c r="C4" s="23" t="s">
        <v>43</v>
      </c>
      <c r="D4" s="24"/>
      <c r="E4" s="24"/>
      <c r="F4" s="25"/>
    </row>
    <row r="5" spans="1:8">
      <c r="A5" s="21" t="s">
        <v>44</v>
      </c>
      <c r="B5" s="22"/>
      <c r="C5" s="23" t="s">
        <v>45</v>
      </c>
      <c r="D5" s="24"/>
      <c r="E5" s="24"/>
      <c r="F5" s="25"/>
    </row>
    <row r="6" spans="1:8">
      <c r="A6" s="21" t="s">
        <v>46</v>
      </c>
      <c r="B6" s="22"/>
      <c r="C6" s="23">
        <v>301</v>
      </c>
      <c r="D6" s="24"/>
      <c r="E6" s="24"/>
      <c r="F6" s="25"/>
    </row>
    <row r="7" spans="1:8">
      <c r="A7" s="21" t="s">
        <v>47</v>
      </c>
      <c r="B7" s="22"/>
      <c r="C7" s="23">
        <v>66262118</v>
      </c>
      <c r="D7" s="24"/>
      <c r="E7" s="24"/>
      <c r="F7" s="25"/>
    </row>
    <row r="8" spans="1:8">
      <c r="A8" s="21" t="s">
        <v>48</v>
      </c>
      <c r="B8" s="22"/>
      <c r="C8" s="26">
        <v>45771</v>
      </c>
      <c r="D8" s="24"/>
      <c r="E8" s="24"/>
      <c r="F8" s="25"/>
    </row>
    <row r="9" spans="1:8">
      <c r="A9" s="21" t="s">
        <v>49</v>
      </c>
      <c r="B9" s="22"/>
      <c r="C9" s="26">
        <v>45771</v>
      </c>
      <c r="D9" s="24"/>
      <c r="E9" s="24"/>
      <c r="F9" s="25"/>
    </row>
    <row r="10" spans="1:8">
      <c r="A10" s="21" t="s">
        <v>50</v>
      </c>
      <c r="B10" s="22"/>
      <c r="C10" s="26">
        <v>45771</v>
      </c>
      <c r="D10" s="24"/>
      <c r="E10" s="24"/>
      <c r="F10" s="25"/>
    </row>
    <row r="11" spans="1:8">
      <c r="A11" s="21" t="s">
        <v>51</v>
      </c>
      <c r="B11" s="22"/>
      <c r="C11" s="23">
        <v>2311257</v>
      </c>
      <c r="D11" s="24"/>
      <c r="E11" s="24"/>
      <c r="F11" s="25"/>
    </row>
    <row r="12" spans="1:8">
      <c r="A12" s="21" t="s">
        <v>52</v>
      </c>
      <c r="B12" s="22"/>
      <c r="C12" s="23">
        <v>45771</v>
      </c>
      <c r="D12" s="24"/>
      <c r="E12" s="24"/>
      <c r="F12" s="25"/>
    </row>
    <row r="15" spans="1:8" ht="15.75" thickBot="1">
      <c r="A15" s="8" t="str" cm="1">
        <f t="array" ref="A15">IF(INDEX(Analysis!A:A,MATCH(0,COUNTIF($A$14:A14,Analysis!A:A),0))="","",INDEX(Analysis!A:A,MATCH(0,COUNTIF($A$14:A14,Analysis!A:A),0)))</f>
        <v>Sample</v>
      </c>
      <c r="B15" s="8" t="s">
        <v>53</v>
      </c>
      <c r="C15" s="8" t="s">
        <v>54</v>
      </c>
      <c r="D15" s="9" t="s">
        <v>9</v>
      </c>
      <c r="E15" s="10" t="s">
        <v>10</v>
      </c>
      <c r="F15" s="11" t="s">
        <v>11</v>
      </c>
      <c r="H15" s="16"/>
    </row>
    <row r="16" spans="1:8" ht="15.75" thickBot="1">
      <c r="A16" s="12" cm="1">
        <f t="array" ref="A16">IF(INDEX(Analysis!A:A,MATCH(0,COUNTIF($A$14:A15,Analysis!A:A),0))="","",INDEX(Analysis!A:A,MATCH(0,COUNTIF($A$14:A15,Analysis!A:A),0)))</f>
        <v>11</v>
      </c>
      <c r="B16" s="17">
        <v>2400845</v>
      </c>
      <c r="C16" s="12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12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12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12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22,1 +/- 0,1</v>
      </c>
    </row>
    <row r="17" spans="1:12" ht="15.75" thickBot="1">
      <c r="A17" s="12" cm="1">
        <f t="array" ref="A17">IF(INDEX(Analysis!A:A,MATCH(0,COUNTIF($A$14:A16,Analysis!A:A),0))="","",INDEX(Analysis!A:A,MATCH(0,COUNTIF($A$14:A16,Analysis!A:A),0)))</f>
        <v>12</v>
      </c>
      <c r="B17" s="17">
        <v>2402913</v>
      </c>
      <c r="C17" s="12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12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12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12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22,7 +/- 0</v>
      </c>
      <c r="J17" s="16"/>
    </row>
    <row r="18" spans="1:12" ht="15.75" thickBot="1">
      <c r="A18" s="12" cm="1">
        <f t="array" ref="A18">IF(INDEX(Analysis!A:A,MATCH(0,COUNTIF($A$14:A17,Analysis!A:A),0))="","",INDEX(Analysis!A:A,MATCH(0,COUNTIF($A$14:A17,Analysis!A:A),0)))</f>
        <v>13</v>
      </c>
      <c r="B18" s="17">
        <v>2402284</v>
      </c>
      <c r="C18" s="12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12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12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12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20,1 +/- 0,1</v>
      </c>
    </row>
    <row r="19" spans="1:12" ht="15.75" thickBot="1">
      <c r="A19" s="12" cm="1">
        <f t="array" ref="A19">IF(INDEX(Analysis!A:A,MATCH(0,COUNTIF($A$14:A18,Analysis!A:A),0))="","",INDEX(Analysis!A:A,MATCH(0,COUNTIF($A$14:A18,Analysis!A:A),0)))</f>
        <v>14</v>
      </c>
      <c r="B19" s="17">
        <v>2402407</v>
      </c>
      <c r="C19" s="12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12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12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12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23,3 +/- 0,1</v>
      </c>
    </row>
    <row r="20" spans="1:12" ht="15.75" thickBot="1">
      <c r="A20" s="12" cm="1">
        <f t="array" ref="A20">IF(INDEX(Analysis!A:A,MATCH(0,COUNTIF($A$14:A19,Analysis!A:A),0))="","",INDEX(Analysis!A:A,MATCH(0,COUNTIF($A$14:A19,Analysis!A:A),0)))</f>
        <v>15</v>
      </c>
      <c r="B20" s="17">
        <v>2400748</v>
      </c>
      <c r="C20" s="12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12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12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12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22,2 +/- 0</v>
      </c>
    </row>
    <row r="21" spans="1:12" ht="15.75" thickBot="1">
      <c r="A21" s="12" cm="1">
        <f t="array" ref="A21">IF(INDEX(Analysis!A:A,MATCH(0,COUNTIF($A$14:A20,Analysis!A:A),0))="","",INDEX(Analysis!A:A,MATCH(0,COUNTIF($A$14:A20,Analysis!A:A),0)))</f>
        <v>16</v>
      </c>
      <c r="B21" s="17">
        <v>2402952</v>
      </c>
      <c r="C21" s="12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12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12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12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23,2 +/- 0</v>
      </c>
      <c r="L21" s="4"/>
    </row>
    <row r="22" spans="1:12" ht="15.75" thickBot="1">
      <c r="A22" s="12" cm="1">
        <f t="array" ref="A22">IF(INDEX(Analysis!A:A,MATCH(0,COUNTIF($A$14:A21,Analysis!A:A),0))="","",INDEX(Analysis!A:A,MATCH(0,COUNTIF($A$14:A21,Analysis!A:A),0)))</f>
        <v>17</v>
      </c>
      <c r="B22" s="17">
        <v>2402410</v>
      </c>
      <c r="C22" s="12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12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12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12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 +/- 0,1</v>
      </c>
    </row>
    <row r="23" spans="1:12" ht="15.75" thickBot="1">
      <c r="A23" s="12" cm="1">
        <f t="array" ref="A23">IF(INDEX(Analysis!A:A,MATCH(0,COUNTIF($A$14:A22,Analysis!A:A),0))="","",INDEX(Analysis!A:A,MATCH(0,COUNTIF($A$14:A22,Analysis!A:A),0)))</f>
        <v>18</v>
      </c>
      <c r="B23" s="17">
        <v>2402291</v>
      </c>
      <c r="C23" s="12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12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12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12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21,7 +/- 0</v>
      </c>
    </row>
    <row r="24" spans="1:12" ht="15.75" thickBot="1">
      <c r="A24" s="12" cm="1">
        <f t="array" ref="A24">IF(INDEX(Analysis!A:A,MATCH(0,COUNTIF($A$14:A23,Analysis!A:A),0))="","",INDEX(Analysis!A:A,MATCH(0,COUNTIF($A$14:A23,Analysis!A:A),0)))</f>
        <v>19</v>
      </c>
      <c r="B24" s="17">
        <v>2402287</v>
      </c>
      <c r="C24" s="12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12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12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12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21,4 +/- 0,1</v>
      </c>
    </row>
    <row r="25" spans="1:12" ht="15.75" thickBot="1">
      <c r="A25" s="12" cm="1">
        <f t="array" ref="A25">IF(INDEX(Analysis!A:A,MATCH(0,COUNTIF($A$14:A24,Analysis!A:A),0))="","",INDEX(Analysis!A:A,MATCH(0,COUNTIF($A$14:A24,Analysis!A:A),0)))</f>
        <v>20</v>
      </c>
      <c r="B25" s="17">
        <v>2402298</v>
      </c>
      <c r="C25" s="12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12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12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12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</v>
      </c>
    </row>
    <row r="26" spans="1:12">
      <c r="A26" s="12" t="str" cm="1">
        <f t="array" ref="A26">IF(INDEX(Analysis!A:A,MATCH(0,COUNTIF($A$14:A25,Analysis!A:A),0))="","",INDEX(Analysis!A:A,MATCH(0,COUNTIF($A$14:A25,Analysis!A:A),0)))</f>
        <v>CP</v>
      </c>
      <c r="B26" s="12"/>
      <c r="C26" s="12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12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23,1 +/- 0,5</v>
      </c>
      <c r="E26" s="12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 +/- 0,2</v>
      </c>
      <c r="F26" s="12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33,8 +/- 1,2</v>
      </c>
    </row>
    <row r="27" spans="1:12">
      <c r="A27" s="12" t="str" cm="1">
        <f t="array" ref="A27">IF(INDEX(Analysis!A:A,MATCH(0,COUNTIF($A$14:A26,Analysis!A:A),0))="","",INDEX(Analysis!A:A,MATCH(0,COUNTIF($A$14:A26,Analysis!A:A),0)))</f>
        <v>CN</v>
      </c>
      <c r="B27" s="12"/>
      <c r="C27" s="12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12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12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12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</v>
      </c>
    </row>
    <row r="28" spans="1:12">
      <c r="C28" s="3"/>
      <c r="D28" s="3"/>
      <c r="E28" s="3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8" t="s">
        <v>55</v>
      </c>
      <c r="B29" s="8" t="s">
        <v>56</v>
      </c>
      <c r="C29" s="19" t="s">
        <v>57</v>
      </c>
      <c r="D29" s="19"/>
      <c r="E29" s="3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2" t="s">
        <v>58</v>
      </c>
      <c r="B30" s="12" t="s">
        <v>59</v>
      </c>
      <c r="C30" s="18" t="s">
        <v>60</v>
      </c>
      <c r="D30" s="18"/>
      <c r="E30" s="3"/>
    </row>
    <row r="31" spans="1:12">
      <c r="A31" s="12" t="s">
        <v>20</v>
      </c>
      <c r="B31" s="12" t="s">
        <v>21</v>
      </c>
      <c r="C31" s="18" t="s">
        <v>61</v>
      </c>
      <c r="D31" s="18"/>
      <c r="E31" s="3"/>
    </row>
    <row r="32" spans="1:12">
      <c r="A32" s="12" t="s">
        <v>22</v>
      </c>
      <c r="B32" s="12" t="s">
        <v>62</v>
      </c>
      <c r="C32" s="18" t="s">
        <v>63</v>
      </c>
      <c r="D32" s="18"/>
      <c r="E32" s="3"/>
    </row>
    <row r="33" spans="1:5">
      <c r="A33" s="12" t="s">
        <v>64</v>
      </c>
      <c r="B33" s="12" t="s">
        <v>65</v>
      </c>
      <c r="C33" s="18" t="s">
        <v>66</v>
      </c>
      <c r="D33" s="18"/>
      <c r="E33" s="3"/>
    </row>
    <row r="34" spans="1:5">
      <c r="A34" s="12" t="s">
        <v>17</v>
      </c>
      <c r="B34" s="12" t="s">
        <v>67</v>
      </c>
      <c r="C34" s="18" t="s">
        <v>68</v>
      </c>
      <c r="D34" s="18"/>
      <c r="E34" s="3"/>
    </row>
    <row r="35" spans="1:5">
      <c r="A35" s="12" t="s">
        <v>69</v>
      </c>
      <c r="B35" s="12" t="s">
        <v>70</v>
      </c>
      <c r="C35" s="18" t="s">
        <v>71</v>
      </c>
      <c r="D35" s="18"/>
      <c r="E35" s="3"/>
    </row>
    <row r="36" spans="1:5">
      <c r="C36" s="3"/>
      <c r="D36" s="3"/>
      <c r="E36" s="3"/>
    </row>
    <row r="37" spans="1:5">
      <c r="C37" s="3"/>
      <c r="D37" s="3"/>
      <c r="E37" s="3"/>
    </row>
    <row r="38" spans="1:5">
      <c r="C38" s="3"/>
      <c r="D38" s="3"/>
      <c r="E38" s="3"/>
    </row>
    <row r="39" spans="1:5">
      <c r="C39" s="3"/>
      <c r="D39" s="3"/>
      <c r="E39" s="3"/>
    </row>
    <row r="40" spans="1:5">
      <c r="C40" s="3"/>
      <c r="D40" s="3"/>
      <c r="E40" s="3"/>
    </row>
    <row r="41" spans="1:5">
      <c r="C41" s="3"/>
      <c r="D41" s="3"/>
      <c r="E41" s="3"/>
    </row>
    <row r="42" spans="1:5">
      <c r="C42" s="3"/>
      <c r="D42" s="3"/>
      <c r="E42" s="3"/>
    </row>
    <row r="43" spans="1:5">
      <c r="C43" s="3"/>
      <c r="D43" s="3"/>
      <c r="E43" s="3"/>
    </row>
    <row r="44" spans="1:5">
      <c r="C44" s="3"/>
      <c r="D44" s="3"/>
      <c r="E44" s="3"/>
    </row>
    <row r="45" spans="1:5">
      <c r="C45" s="3"/>
      <c r="D45" s="3"/>
      <c r="E45" s="3"/>
    </row>
    <row r="46" spans="1:5">
      <c r="C46" s="3"/>
      <c r="D46" s="3"/>
      <c r="E46" s="3"/>
    </row>
    <row r="47" spans="1:5">
      <c r="C47" s="3"/>
      <c r="D47" s="3"/>
      <c r="E47" s="3"/>
    </row>
    <row r="48" spans="1:5">
      <c r="C48" s="3"/>
      <c r="D48" s="3"/>
      <c r="E48" s="3"/>
    </row>
    <row r="49" spans="3:5">
      <c r="C49" s="3"/>
      <c r="D49" s="3"/>
      <c r="E49" s="3"/>
    </row>
    <row r="50" spans="3:5">
      <c r="C50" s="3"/>
      <c r="D50" s="3"/>
      <c r="E50" s="3"/>
    </row>
    <row r="51" spans="3:5">
      <c r="C51" s="3"/>
      <c r="D51" s="3"/>
      <c r="E51" s="3"/>
    </row>
    <row r="52" spans="3:5">
      <c r="C52" s="3"/>
      <c r="D52" s="3"/>
      <c r="E52" s="3"/>
    </row>
    <row r="53" spans="3:5">
      <c r="C53" s="3"/>
      <c r="D53" s="3"/>
      <c r="E53" s="3"/>
    </row>
    <row r="54" spans="3:5">
      <c r="C54" s="3"/>
      <c r="D54" s="3"/>
      <c r="E54" s="3"/>
    </row>
    <row r="55" spans="3:5">
      <c r="C55" s="3"/>
      <c r="D55" s="3"/>
      <c r="E55" s="3"/>
    </row>
    <row r="56" spans="3:5">
      <c r="C56" s="3"/>
      <c r="D56" s="3"/>
      <c r="E56" s="3"/>
    </row>
    <row r="57" spans="3:5">
      <c r="C57" s="3"/>
      <c r="D57" s="3"/>
      <c r="E57" s="3"/>
    </row>
    <row r="58" spans="3:5">
      <c r="C58" s="3"/>
      <c r="D58" s="3"/>
      <c r="E58" s="3"/>
    </row>
  </sheetData>
  <sheetProtection selectLockedCells="1"/>
  <mergeCells count="28">
    <mergeCell ref="A12:B12"/>
    <mergeCell ref="C10:F10"/>
    <mergeCell ref="C11:F11"/>
    <mergeCell ref="C12:F12"/>
    <mergeCell ref="A7:B7"/>
    <mergeCell ref="A8:B8"/>
    <mergeCell ref="A9:B9"/>
    <mergeCell ref="C7:F7"/>
    <mergeCell ref="C8:F8"/>
    <mergeCell ref="C9:F9"/>
    <mergeCell ref="A1:B1"/>
    <mergeCell ref="A6:B6"/>
    <mergeCell ref="C6:F6"/>
    <mergeCell ref="A10:B10"/>
    <mergeCell ref="A11:B11"/>
    <mergeCell ref="C5:F5"/>
    <mergeCell ref="C4:F4"/>
    <mergeCell ref="C3:F3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8" priority="4" operator="equal">
      <formula>"OK"</formula>
    </cfRule>
    <cfRule type="cellIs" dxfId="7" priority="5" operator="equal">
      <formula>"N"</formula>
    </cfRule>
    <cfRule type="cellIs" dxfId="6" priority="6" operator="equal">
      <formula>"C"</formula>
    </cfRule>
  </conditionalFormatting>
  <conditionalFormatting sqref="C16:C25">
    <cfRule type="cellIs" dxfId="5" priority="1" operator="equal">
      <formula>"R"</formula>
    </cfRule>
    <cfRule type="cellIs" dxfId="4" priority="3" operator="equal">
      <formula>"P"</formula>
    </cfRule>
  </conditionalFormatting>
  <conditionalFormatting sqref="C16:C27">
    <cfRule type="cellIs" dxfId="3" priority="2" operator="equal">
      <formula>"S"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72</v>
      </c>
      <c r="C1" s="2" t="s">
        <v>73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22,1 +/- 0,1</v>
      </c>
    </row>
    <row r="3" spans="1:11">
      <c r="A3" s="3">
        <f>Report!A17</f>
        <v>12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22,7 +/- 0</v>
      </c>
    </row>
    <row r="4" spans="1:11">
      <c r="A4" s="3">
        <f>Report!A18</f>
        <v>13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20,1 +/- 0,1</v>
      </c>
    </row>
    <row r="5" spans="1:11">
      <c r="A5" s="3">
        <f>Report!A19</f>
        <v>14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23,3 +/- 0,1</v>
      </c>
    </row>
    <row r="6" spans="1:11">
      <c r="A6" s="3">
        <f>Report!A20</f>
        <v>15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22,2 +/- 0</v>
      </c>
    </row>
    <row r="7" spans="1:11">
      <c r="A7" s="3">
        <f>Report!A21</f>
        <v>16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23,2 +/- 0</v>
      </c>
      <c r="K7" s="4"/>
    </row>
    <row r="8" spans="1:11">
      <c r="A8" s="3">
        <f>Report!A22</f>
        <v>17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 +/- 0,1</v>
      </c>
    </row>
    <row r="9" spans="1:11">
      <c r="A9" s="3">
        <f>Report!A23</f>
        <v>18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21,7 +/- 0</v>
      </c>
    </row>
    <row r="10" spans="1:11">
      <c r="A10" s="3">
        <f>Report!A24</f>
        <v>19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21,4 +/- 0,1</v>
      </c>
    </row>
    <row r="11" spans="1:11">
      <c r="A11" s="3">
        <f>Report!A25</f>
        <v>20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23,1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33,8 +/- 1,2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F, OK</v>
      </c>
      <c r="C13" s="3" t="str" cm="1">
        <f t="array" ref="C13">_xlfn.TEXTJOIN(", ", TRUE, IF(Analysis!$A$2:$A$82=A13, Analysis!$I$2:$I$82, ""))</f>
        <v>clean,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2025-05-07T16:14:38+00:00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A54E3-1DD0-46EE-B13B-57C153B2AF0B}"/>
</file>

<file path=customXml/itemProps2.xml><?xml version="1.0" encoding="utf-8"?>
<ds:datastoreItem xmlns:ds="http://schemas.openxmlformats.org/officeDocument/2006/customXml" ds:itemID="{5FE86A95-763D-4C99-9119-829DF9F6F051}"/>
</file>

<file path=customXml/itemProps3.xml><?xml version="1.0" encoding="utf-8"?>
<ds:datastoreItem xmlns:ds="http://schemas.openxmlformats.org/officeDocument/2006/customXml" ds:itemID="{0BF60CC4-C1A3-4B25-9610-574B7B51F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crtdipumba</cp:lastModifiedBy>
  <cp:revision/>
  <dcterms:created xsi:type="dcterms:W3CDTF">2024-04-13T12:12:20Z</dcterms:created>
  <dcterms:modified xsi:type="dcterms:W3CDTF">2025-06-13T07:59:21Z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