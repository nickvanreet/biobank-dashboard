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0" documentId="13_ncr:1_{73445AF1-A563-4F5B-A424-3AD389129A58}" xr6:coauthVersionLast="47" xr6:coauthVersionMax="47" xr10:uidLastSave="{00000000-0000-0000-0000-000000000000}"/>
  <workbookProtection workbookAlgorithmName="SHA-512" workbookHashValue="Vhxmj3xuLF5Mc+deNGD0Jre9VvwRnJhK/CdAkyCiLPdXMBVNojYnJQyWJkZAxhgBuS7BYKWVfxneH7LnISnjsg==" workbookSaltValue="GVQ32A6ce01GJd2Z43T0RA==" workbookSpinCount="100000" lockStructure="1"/>
  <bookViews>
    <workbookView xWindow="-120" yWindow="-120" windowWidth="29040" windowHeight="15840" tabRatio="809" firstSheet="6" activeTab="6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Area" localSheetId="6">Repeatability!$B$2:$D$27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8" i="1"/>
  <c r="C7" i="1"/>
  <c r="F5" i="1"/>
  <c r="C5" i="1"/>
  <c r="C6" i="1"/>
  <c r="B6" i="3"/>
  <c r="C19" i="2"/>
  <c r="C20" i="2"/>
  <c r="C21" i="2"/>
  <c r="C22" i="2"/>
  <c r="C18" i="2"/>
  <c r="C11" i="2"/>
  <c r="C12" i="2"/>
  <c r="C13" i="2"/>
  <c r="C14" i="2"/>
  <c r="C15" i="2"/>
  <c r="C16" i="2"/>
  <c r="C17" i="2"/>
  <c r="C10" i="2"/>
  <c r="C3" i="2"/>
  <c r="C4" i="2"/>
  <c r="C5" i="2"/>
  <c r="C6" i="2"/>
  <c r="C7" i="2"/>
  <c r="C8" i="2"/>
  <c r="C9" i="2"/>
  <c r="D27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G4" i="10" l="1"/>
  <c r="G2" i="10"/>
  <c r="G3" i="10"/>
  <c r="D2" i="2"/>
  <c r="B7" i="3"/>
  <c r="C7" i="11" s="1"/>
  <c r="B19" i="3"/>
  <c r="C19" i="11" s="1"/>
  <c r="B25" i="3"/>
  <c r="C25" i="11" s="1"/>
  <c r="B29" i="3"/>
  <c r="C4" i="10" s="1"/>
  <c r="C6" i="11" l="1"/>
  <c r="B26" i="3"/>
  <c r="C26" i="11" s="1"/>
  <c r="B24" i="3"/>
  <c r="C24" i="11" s="1"/>
  <c r="B14" i="3"/>
  <c r="C14" i="11" s="1"/>
  <c r="B23" i="3"/>
  <c r="C23" i="11" s="1"/>
  <c r="B27" i="3"/>
  <c r="C3" i="10" s="1"/>
  <c r="B28" i="3"/>
  <c r="B22" i="3"/>
  <c r="C22" i="11" s="1"/>
  <c r="B15" i="3"/>
  <c r="C15" i="11" s="1"/>
  <c r="B16" i="3"/>
  <c r="C16" i="11" s="1"/>
  <c r="B17" i="3"/>
  <c r="C17" i="11" s="1"/>
  <c r="B18" i="3"/>
  <c r="C18" i="11" s="1"/>
  <c r="B20" i="3"/>
  <c r="C20" i="11" s="1"/>
  <c r="B21" i="3"/>
  <c r="C21" i="11" s="1"/>
  <c r="B8" i="3"/>
  <c r="C8" i="11" s="1"/>
  <c r="B9" i="3"/>
  <c r="C9" i="11" s="1"/>
  <c r="B10" i="3"/>
  <c r="C10" i="11" s="1"/>
  <c r="B11" i="3"/>
  <c r="C11" i="11" s="1"/>
  <c r="B12" i="3"/>
  <c r="C12" i="11" s="1"/>
  <c r="B13" i="3"/>
  <c r="C13" i="11" s="1"/>
  <c r="C2" i="10" l="1"/>
  <c r="C27" i="11"/>
  <c r="E2" i="2"/>
  <c r="D4" i="10"/>
  <c r="D3" i="10"/>
  <c r="D2" i="10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E2" i="10" l="1"/>
  <c r="F2" i="10" s="1"/>
  <c r="F2" i="2"/>
  <c r="H2" i="2" s="1"/>
  <c r="I2" i="2" s="1"/>
  <c r="E3" i="10"/>
  <c r="F3" i="10" s="1"/>
  <c r="E4" i="10"/>
  <c r="F4" i="10" s="1"/>
  <c r="G2" i="2" l="1"/>
  <c r="E17" i="2"/>
  <c r="E7" i="2" l="1"/>
  <c r="E15" i="2"/>
  <c r="E5" i="2"/>
  <c r="E13" i="2"/>
  <c r="E22" i="2"/>
  <c r="E20" i="2"/>
  <c r="E9" i="2"/>
  <c r="E16" i="2"/>
  <c r="E12" i="2"/>
  <c r="E10" i="2"/>
  <c r="E8" i="2"/>
  <c r="E6" i="2"/>
  <c r="E4" i="2"/>
  <c r="E18" i="2"/>
  <c r="E19" i="2"/>
  <c r="E14" i="2"/>
  <c r="E21" i="2"/>
  <c r="E11" i="2"/>
  <c r="E3" i="2"/>
  <c r="F3" i="2" s="1"/>
  <c r="H3" i="2" l="1"/>
  <c r="I3" i="2" s="1"/>
  <c r="G3" i="2"/>
  <c r="F4" i="2"/>
  <c r="F12" i="2"/>
  <c r="F11" i="2"/>
  <c r="F6" i="2"/>
  <c r="F16" i="2"/>
  <c r="F22" i="2"/>
  <c r="F15" i="2"/>
  <c r="F5" i="2"/>
  <c r="F14" i="2"/>
  <c r="F19" i="2"/>
  <c r="F8" i="2"/>
  <c r="F7" i="2"/>
  <c r="F20" i="2"/>
  <c r="F21" i="2"/>
  <c r="F18" i="2"/>
  <c r="F10" i="2"/>
  <c r="F9" i="2"/>
  <c r="F13" i="2"/>
  <c r="F17" i="2"/>
  <c r="H17" i="2" l="1"/>
  <c r="I17" i="2" s="1"/>
  <c r="G17" i="2"/>
  <c r="G6" i="2"/>
  <c r="H6" i="2"/>
  <c r="I6" i="2" s="1"/>
  <c r="H8" i="2"/>
  <c r="I8" i="2" s="1"/>
  <c r="G8" i="2"/>
  <c r="H11" i="2"/>
  <c r="I11" i="2" s="1"/>
  <c r="G11" i="2"/>
  <c r="H20" i="2"/>
  <c r="I20" i="2" s="1"/>
  <c r="G20" i="2"/>
  <c r="H12" i="2"/>
  <c r="I12" i="2" s="1"/>
  <c r="G12" i="2"/>
  <c r="H18" i="2"/>
  <c r="I18" i="2" s="1"/>
  <c r="G18" i="2"/>
  <c r="H5" i="2"/>
  <c r="I5" i="2" s="1"/>
  <c r="G5" i="2"/>
  <c r="H13" i="2"/>
  <c r="I13" i="2" s="1"/>
  <c r="G13" i="2"/>
  <c r="H21" i="2"/>
  <c r="I21" i="2" s="1"/>
  <c r="G21" i="2"/>
  <c r="H15" i="2"/>
  <c r="I15" i="2" s="1"/>
  <c r="G15" i="2"/>
  <c r="H9" i="2"/>
  <c r="I9" i="2" s="1"/>
  <c r="G9" i="2"/>
  <c r="H19" i="2"/>
  <c r="I19" i="2" s="1"/>
  <c r="G19" i="2"/>
  <c r="H22" i="2"/>
  <c r="I22" i="2" s="1"/>
  <c r="G22" i="2"/>
  <c r="G10" i="2"/>
  <c r="H10" i="2"/>
  <c r="I10" i="2" s="1"/>
  <c r="H7" i="2"/>
  <c r="I7" i="2" s="1"/>
  <c r="G7" i="2"/>
  <c r="H14" i="2"/>
  <c r="I14" i="2" s="1"/>
  <c r="G14" i="2"/>
  <c r="H16" i="2"/>
  <c r="I16" i="2" s="1"/>
  <c r="G16" i="2"/>
  <c r="H4" i="2"/>
  <c r="I4" i="2" s="1"/>
  <c r="G4" i="2"/>
</calcChain>
</file>

<file path=xl/sharedStrings.xml><?xml version="1.0" encoding="utf-8"?>
<sst xmlns="http://schemas.openxmlformats.org/spreadsheetml/2006/main" count="188" uniqueCount="114">
  <si>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</si>
  <si>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</si>
  <si>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</si>
  <si>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Date</t>
  </si>
  <si>
    <t>Operator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</si>
  <si>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</si>
  <si>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</si>
  <si>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</si>
  <si>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</si>
  <si>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</si>
  <si>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</si>
  <si>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</si>
  <si>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</si>
  <si>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</si>
  <si>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</si>
  <si>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</si>
  <si>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</si>
  <si>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</si>
  <si>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</si>
  <si>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</si>
  <si>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</si>
  <si>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</si>
  <si>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Deepwell plate (numéro labo Dipumba)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</si>
  <si>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</si>
  <si>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</si>
  <si>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</si>
  <si>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</si>
  <si>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</si>
  <si>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</si>
  <si>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</si>
  <si>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</si>
  <si>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</si>
  <si>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</si>
  <si>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</si>
  <si>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Plaque ELISA</t>
  </si>
  <si>
    <t>Sample code</t>
  </si>
  <si>
    <t>Comments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</si>
  <si>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</si>
  <si>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</si>
  <si>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</si>
  <si>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</si>
  <si>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</si>
  <si>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</si>
  <si>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</si>
  <si>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</si>
  <si>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</si>
  <si>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</si>
  <si>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</si>
  <si>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</si>
  <si>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</si>
  <si>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</si>
  <si>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</si>
  <si>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</si>
  <si>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</si>
  <si>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</si>
  <si>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</si>
  <si>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</si>
  <si>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</si>
  <si>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CC1</t>
  </si>
  <si>
    <t>PC1</t>
  </si>
  <si>
    <t>NC1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</si>
  <si>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</si>
  <si>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</si>
  <si>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</si>
  <si>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</si>
  <si>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</si>
  <si>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</si>
  <si>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</si>
  <si>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</si>
  <si>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</si>
  <si>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</si>
  <si>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</si>
  <si>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Plaque:</t>
  </si>
  <si>
    <t xml:space="preserve">Deepwell 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</si>
  <si>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</si>
  <si>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</si>
  <si>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</si>
  <si>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</si>
  <si>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</si>
  <si>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</si>
  <si>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</si>
  <si>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</si>
  <si>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Validation (Echec/Valide)</t>
  </si>
  <si>
    <t>A1/A4/A7 ou A10</t>
  </si>
  <si>
    <t>B1/B4/B7 ou B10</t>
  </si>
  <si>
    <t>C1/C4/C7 ou C10</t>
  </si>
  <si>
    <t>D1/D4/D7 ou D10</t>
  </si>
  <si>
    <t>E1/E4/E7 ou E10</t>
  </si>
  <si>
    <t>F1/F4/F7 ou F10</t>
  </si>
  <si>
    <t>G1/G4/G7 ou G10</t>
  </si>
  <si>
    <t>H1/H4/H7 ou H10</t>
  </si>
  <si>
    <t>A2/A5/A8 ou A11</t>
  </si>
  <si>
    <t>B2/B5/B8 ou B11</t>
  </si>
  <si>
    <t>C2/C5/C8 ou C11</t>
  </si>
  <si>
    <t>D2/D5/D8 ou D11</t>
  </si>
  <si>
    <t>E2/E5/E8 ou E11</t>
  </si>
  <si>
    <t>F2/F5/F8 ou F11</t>
  </si>
  <si>
    <t>G2/G5/G8 ou G11</t>
  </si>
  <si>
    <t>H2/H5/H8 ou H11</t>
  </si>
  <si>
    <t>A3/A6/A9 ou A12</t>
  </si>
  <si>
    <t>B3/B6/B9 ou B12</t>
  </si>
  <si>
    <t>C3/C6/C9 ou C12</t>
  </si>
  <si>
    <t>D3/D6/D9 ou D12</t>
  </si>
  <si>
    <t>E3/E6/E9 ou E12</t>
  </si>
  <si>
    <t>Sample Code</t>
  </si>
  <si>
    <t>Result</t>
  </si>
  <si>
    <t>G3/G6/G9 ou G12</t>
  </si>
  <si>
    <t>PC</t>
  </si>
  <si>
    <t>F3/F6/F9 ou F12</t>
  </si>
  <si>
    <t>H3/H6/H9 ou H12</t>
  </si>
  <si>
    <t>NC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</si>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</sst>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top"/>
    </xf>
    <xf numFmtId="0" fontId="7" fillId="9" borderId="26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9" borderId="1" xfId="0" applyFill="1" applyBorder="1" applyAlignment="1" applyProtection="1">
      <alignment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7" fillId="11" borderId="26" xfId="0" applyFont="1" applyFill="1" applyBorder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9" borderId="26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5" sqref="C5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/>
    </row>
    <row r="6" spans="1:6" ht="18.75">
      <c r="A6" s="2"/>
      <c r="B6" s="40" t="s">
        <v>3</v>
      </c>
      <c r="C6" s="23"/>
    </row>
    <row r="7" spans="1:6" ht="18.75">
      <c r="A7" s="2"/>
      <c r="B7" s="40" t="s">
        <v>4</v>
      </c>
      <c r="C7" s="24"/>
    </row>
    <row r="8" spans="1:6" ht="18.75">
      <c r="A8" s="2"/>
    </row>
    <row r="9" spans="1:6" ht="18.75">
      <c r="A9" s="2" t="s">
        <v>5</v>
      </c>
    </row>
    <row r="11" spans="1:6">
      <c r="B11" s="40" t="s">
        <v>6</v>
      </c>
      <c r="C11" s="23"/>
    </row>
    <row r="12" spans="1:6">
      <c r="B12" s="40" t="s">
        <v>7</v>
      </c>
      <c r="C12" s="23"/>
    </row>
    <row r="14" spans="1:6" ht="18.75">
      <c r="A14" s="2" t="s">
        <v>8</v>
      </c>
    </row>
    <row r="16" spans="1:6">
      <c r="B16" s="40" t="s">
        <v>9</v>
      </c>
      <c r="C16" s="24"/>
    </row>
    <row r="17" spans="1:3">
      <c r="B17" s="40" t="s">
        <v>10</v>
      </c>
      <c r="C17" s="24"/>
    </row>
    <row r="18" spans="1:3">
      <c r="B18" s="40" t="s">
        <v>11</v>
      </c>
      <c r="C18" s="24"/>
    </row>
    <row r="19" spans="1:3">
      <c r="B19" s="40" t="s">
        <v>12</v>
      </c>
      <c r="C19" s="24"/>
    </row>
    <row r="21" spans="1:3" ht="18.75">
      <c r="A21" s="2" t="s">
        <v>13</v>
      </c>
    </row>
    <row r="23" spans="1:3">
      <c r="B23" s="40" t="s">
        <v>14</v>
      </c>
      <c r="C23" s="24" t="s">
        <v>15</v>
      </c>
    </row>
    <row r="24" spans="1:3">
      <c r="B24" s="40" t="s">
        <v>16</v>
      </c>
      <c r="C24" s="24" t="s">
        <v>17</v>
      </c>
    </row>
    <row r="25" spans="1:3">
      <c r="B25" s="40" t="s">
        <v>18</v>
      </c>
      <c r="C25" s="23"/>
    </row>
    <row r="26" spans="1:3">
      <c r="B26" s="40" t="s">
        <v>19</v>
      </c>
      <c r="C26" s="23"/>
    </row>
    <row r="28" spans="1:3" ht="18.75">
      <c r="A28" s="2" t="s">
        <v>20</v>
      </c>
      <c r="C28" s="24"/>
    </row>
  </sheetData>
  <sheetProtection algorithmName="SHA-512" hashValue="73JiFGr4DKLNOI/WH1DrBW8c3/YzFssFPoBO/n4NkwX0Sq19xQz2X6NODEav3sup2sK4E5JNzaVE2qb8OWz/Rw==" saltValue="9GltHPVdmBSzWfEj1W+uCQ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zoomScaleNormal="100" workbookViewId="0">
      <selection activeCell="F5" sqref="F5"/>
    </sheetView>
  </sheetViews>
  <sheetFormatPr defaultColWidth="10.85546875" defaultRowHeight="15"/>
  <sheetData>
    <row r="1" spans="1:9" ht="18.75">
      <c r="A1" s="14" t="s">
        <v>0</v>
      </c>
      <c r="B1" s="14"/>
      <c r="C1" s="14"/>
    </row>
    <row r="2" spans="1:9" ht="18.600000000000001" customHeight="1">
      <c r="A2" s="14"/>
      <c r="B2" s="14"/>
      <c r="C2" s="14"/>
    </row>
    <row r="3" spans="1:9" ht="18.75">
      <c r="A3" s="14" t="s">
        <v>21</v>
      </c>
      <c r="B3" s="14"/>
      <c r="C3" s="14"/>
      <c r="F3" s="14" t="s">
        <v>22</v>
      </c>
      <c r="G3" s="14"/>
      <c r="H3" s="14"/>
    </row>
    <row r="5" spans="1:9" s="37" customFormat="1">
      <c r="B5" s="7">
        <v>1</v>
      </c>
      <c r="C5" s="7">
        <v>2</v>
      </c>
      <c r="D5" s="7">
        <v>3</v>
      </c>
      <c r="G5" s="7">
        <v>1</v>
      </c>
      <c r="H5" s="7">
        <v>2</v>
      </c>
      <c r="I5" s="7">
        <v>3</v>
      </c>
    </row>
    <row r="6" spans="1:9">
      <c r="A6" s="7" t="s">
        <v>23</v>
      </c>
      <c r="B6" s="65">
        <v>2400833</v>
      </c>
      <c r="C6" s="65">
        <v>2402965</v>
      </c>
      <c r="D6" s="65">
        <v>2500158</v>
      </c>
      <c r="F6" s="7" t="s">
        <v>23</v>
      </c>
      <c r="G6" s="66">
        <v>85</v>
      </c>
      <c r="H6" s="66">
        <v>93</v>
      </c>
      <c r="I6" s="66">
        <v>101</v>
      </c>
    </row>
    <row r="7" spans="1:9">
      <c r="A7" s="7" t="s">
        <v>24</v>
      </c>
      <c r="B7" s="65">
        <v>2400830</v>
      </c>
      <c r="C7" s="65">
        <v>2400785</v>
      </c>
      <c r="D7" s="65">
        <v>2500115</v>
      </c>
      <c r="F7" s="7" t="s">
        <v>24</v>
      </c>
      <c r="G7" s="66">
        <v>86</v>
      </c>
      <c r="H7" s="66">
        <v>94</v>
      </c>
      <c r="I7" s="66">
        <v>102</v>
      </c>
    </row>
    <row r="8" spans="1:9">
      <c r="A8" s="7" t="s">
        <v>25</v>
      </c>
      <c r="B8" s="65">
        <v>2400899</v>
      </c>
      <c r="C8" s="65">
        <v>2402579</v>
      </c>
      <c r="D8" s="65">
        <v>2400788</v>
      </c>
      <c r="F8" s="7" t="s">
        <v>25</v>
      </c>
      <c r="G8" s="66">
        <v>87</v>
      </c>
      <c r="H8" s="66">
        <v>95</v>
      </c>
      <c r="I8" s="66">
        <v>103</v>
      </c>
    </row>
    <row r="9" spans="1:9">
      <c r="A9" s="7" t="s">
        <v>26</v>
      </c>
      <c r="B9" s="65">
        <v>2402768</v>
      </c>
      <c r="C9" s="65">
        <v>2500033</v>
      </c>
      <c r="D9" s="65">
        <v>2402772</v>
      </c>
      <c r="F9" s="7" t="s">
        <v>26</v>
      </c>
      <c r="G9" s="66">
        <v>88</v>
      </c>
      <c r="H9" s="66">
        <v>96</v>
      </c>
      <c r="I9" s="66">
        <v>104</v>
      </c>
    </row>
    <row r="10" spans="1:9">
      <c r="A10" s="7" t="s">
        <v>27</v>
      </c>
      <c r="B10" s="65">
        <v>2402775</v>
      </c>
      <c r="C10" s="65">
        <v>2402783</v>
      </c>
      <c r="D10" s="65">
        <v>2400834</v>
      </c>
      <c r="F10" s="7" t="s">
        <v>27</v>
      </c>
      <c r="G10" s="66">
        <v>89</v>
      </c>
      <c r="H10" s="66">
        <v>97</v>
      </c>
      <c r="I10" s="66">
        <v>105</v>
      </c>
    </row>
    <row r="11" spans="1:9">
      <c r="A11" s="7" t="s">
        <v>28</v>
      </c>
      <c r="B11" s="65">
        <v>2402766</v>
      </c>
      <c r="C11" s="65">
        <v>2500163</v>
      </c>
      <c r="D11" s="46" t="s">
        <v>29</v>
      </c>
      <c r="F11" s="7" t="s">
        <v>28</v>
      </c>
      <c r="G11" s="66">
        <v>90</v>
      </c>
      <c r="H11" s="66">
        <v>98</v>
      </c>
      <c r="I11" s="46" t="s">
        <v>29</v>
      </c>
    </row>
    <row r="12" spans="1:9">
      <c r="A12" s="7" t="s">
        <v>30</v>
      </c>
      <c r="B12" s="65">
        <v>2500112</v>
      </c>
      <c r="C12" s="65">
        <v>2500165</v>
      </c>
      <c r="D12" s="47" t="s">
        <v>31</v>
      </c>
      <c r="F12" s="7" t="s">
        <v>30</v>
      </c>
      <c r="G12" s="66">
        <v>91</v>
      </c>
      <c r="H12" s="66">
        <v>99</v>
      </c>
      <c r="I12" s="47" t="s">
        <v>31</v>
      </c>
    </row>
    <row r="13" spans="1:9">
      <c r="A13" s="7" t="s">
        <v>32</v>
      </c>
      <c r="B13" s="65">
        <v>2500075</v>
      </c>
      <c r="C13" s="65">
        <v>2500164</v>
      </c>
      <c r="D13" s="48" t="s">
        <v>33</v>
      </c>
      <c r="F13" s="7" t="s">
        <v>32</v>
      </c>
      <c r="G13" s="66">
        <v>92</v>
      </c>
      <c r="H13" s="66">
        <v>100</v>
      </c>
      <c r="I13" s="48" t="s">
        <v>33</v>
      </c>
    </row>
    <row r="14" spans="1:9" ht="18.600000000000001" customHeight="1"/>
  </sheetData>
  <sheetProtection algorithmName="SHA-512" hashValue="Z4aC4LowwLQEEDgRN9IU+yyT3C8yFmmjPnVv5c+w2hBDh2ZJmOqvwVBPVXB8/Qkk38Wf3KLw6svD44IM2509Ug==" saltValue="4QoNQI9u4m9eW1+YXV1OJA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>
      <selection activeCell="C6" sqref="C6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</cols>
  <sheetData>
    <row r="1" spans="1:3" ht="18.75">
      <c r="A1" s="14" t="s">
        <v>0</v>
      </c>
      <c r="B1" s="14"/>
      <c r="C1" s="14"/>
    </row>
    <row r="2" spans="1:3" ht="18.75">
      <c r="A2" s="2"/>
      <c r="B2" s="2"/>
      <c r="C2" s="2"/>
    </row>
    <row r="3" spans="1:3" ht="18.75">
      <c r="A3" s="2" t="s">
        <v>34</v>
      </c>
      <c r="B3" s="2"/>
      <c r="C3" s="2"/>
    </row>
    <row r="4" spans="1:3" ht="20.100000000000001" customHeight="1" thickBot="1">
      <c r="A4" s="6"/>
      <c r="B4" s="6"/>
      <c r="C4" s="6"/>
    </row>
    <row r="5" spans="1:3" ht="17.25" thickTop="1" thickBot="1">
      <c r="A5" s="15"/>
      <c r="B5" s="19" t="s">
        <v>35</v>
      </c>
      <c r="C5" s="20" t="s">
        <v>36</v>
      </c>
    </row>
    <row r="6" spans="1:3" ht="20.100000000000001" customHeight="1" thickTop="1">
      <c r="A6" s="21" t="s">
        <v>37</v>
      </c>
      <c r="B6" s="49">
        <f>IF(Deepwell!B6="","",Deepwell!B6)</f>
        <v>2400833</v>
      </c>
      <c r="C6" s="18"/>
    </row>
    <row r="7" spans="1:3" ht="20.100000000000001" customHeight="1">
      <c r="A7" s="22" t="s">
        <v>38</v>
      </c>
      <c r="B7" s="50">
        <f>IF(Deepwell!B7="","",Deepwell!B7)</f>
        <v>2400830</v>
      </c>
      <c r="C7" s="18"/>
    </row>
    <row r="8" spans="1:3" ht="20.100000000000001" customHeight="1">
      <c r="A8" s="22" t="s">
        <v>39</v>
      </c>
      <c r="B8" s="50">
        <f>IF(Deepwell!B8="","",Deepwell!B8)</f>
        <v>2400899</v>
      </c>
      <c r="C8" s="18"/>
    </row>
    <row r="9" spans="1:3" ht="20.100000000000001" customHeight="1">
      <c r="A9" s="22" t="s">
        <v>40</v>
      </c>
      <c r="B9" s="50">
        <f>IF(Deepwell!B9="","",Deepwell!B9)</f>
        <v>2402768</v>
      </c>
      <c r="C9" s="18"/>
    </row>
    <row r="10" spans="1:3" ht="20.100000000000001" customHeight="1">
      <c r="A10" s="22" t="s">
        <v>41</v>
      </c>
      <c r="B10" s="50">
        <f>IF(Deepwell!B10="","",Deepwell!B10)</f>
        <v>2402775</v>
      </c>
      <c r="C10" s="18"/>
    </row>
    <row r="11" spans="1:3" ht="20.100000000000001" customHeight="1">
      <c r="A11" s="22" t="s">
        <v>42</v>
      </c>
      <c r="B11" s="50">
        <f>IF(Deepwell!B11="","",Deepwell!B11)</f>
        <v>2402766</v>
      </c>
      <c r="C11" s="18"/>
    </row>
    <row r="12" spans="1:3" ht="20.100000000000001" customHeight="1">
      <c r="A12" s="22" t="s">
        <v>43</v>
      </c>
      <c r="B12" s="50">
        <f>IF(Deepwell!B12="","",Deepwell!B12)</f>
        <v>2500112</v>
      </c>
      <c r="C12" s="18"/>
    </row>
    <row r="13" spans="1:3" ht="20.100000000000001" customHeight="1">
      <c r="A13" s="22" t="s">
        <v>44</v>
      </c>
      <c r="B13" s="50">
        <f>IF(Deepwell!B13="","",Deepwell!B13)</f>
        <v>2500075</v>
      </c>
      <c r="C13" s="18"/>
    </row>
    <row r="14" spans="1:3" ht="20.100000000000001" customHeight="1">
      <c r="A14" s="22" t="s">
        <v>45</v>
      </c>
      <c r="B14" s="50">
        <f>IF(Deepwell!C6="","",Deepwell!C6)</f>
        <v>2402965</v>
      </c>
      <c r="C14" s="18"/>
    </row>
    <row r="15" spans="1:3" ht="20.100000000000001" customHeight="1">
      <c r="A15" s="22" t="s">
        <v>46</v>
      </c>
      <c r="B15" s="50">
        <f>IF(Deepwell!C7="","",Deepwell!C7)</f>
        <v>2400785</v>
      </c>
      <c r="C15" s="18"/>
    </row>
    <row r="16" spans="1:3" ht="20.100000000000001" customHeight="1">
      <c r="A16" s="22" t="s">
        <v>47</v>
      </c>
      <c r="B16" s="50">
        <f>IF(Deepwell!C8="","",Deepwell!C8)</f>
        <v>2402579</v>
      </c>
      <c r="C16" s="18"/>
    </row>
    <row r="17" spans="1:3" ht="20.100000000000001" customHeight="1">
      <c r="A17" s="22" t="s">
        <v>48</v>
      </c>
      <c r="B17" s="50">
        <f>IF(Deepwell!C9="","",Deepwell!C9)</f>
        <v>2500033</v>
      </c>
      <c r="C17" s="18"/>
    </row>
    <row r="18" spans="1:3" ht="20.100000000000001" customHeight="1">
      <c r="A18" s="22" t="s">
        <v>49</v>
      </c>
      <c r="B18" s="50">
        <f>IF(Deepwell!C10="","",Deepwell!C10)</f>
        <v>2402783</v>
      </c>
      <c r="C18" s="18"/>
    </row>
    <row r="19" spans="1:3" ht="20.100000000000001" customHeight="1">
      <c r="A19" s="22" t="s">
        <v>50</v>
      </c>
      <c r="B19" s="50">
        <f>IF(Deepwell!C11="","",Deepwell!C11)</f>
        <v>2500163</v>
      </c>
      <c r="C19" s="18"/>
    </row>
    <row r="20" spans="1:3" ht="20.100000000000001" customHeight="1">
      <c r="A20" s="22" t="s">
        <v>51</v>
      </c>
      <c r="B20" s="50">
        <f>IF(Deepwell!C12="","",Deepwell!C12)</f>
        <v>2500165</v>
      </c>
      <c r="C20" s="18"/>
    </row>
    <row r="21" spans="1:3" ht="20.100000000000001" customHeight="1">
      <c r="A21" s="22" t="s">
        <v>52</v>
      </c>
      <c r="B21" s="50">
        <f>IF(Deepwell!C13="","",Deepwell!C13)</f>
        <v>2500164</v>
      </c>
      <c r="C21" s="18"/>
    </row>
    <row r="22" spans="1:3" ht="20.100000000000001" customHeight="1">
      <c r="A22" s="22" t="s">
        <v>53</v>
      </c>
      <c r="B22" s="50">
        <f>IF(Deepwell!D6="","",Deepwell!D6)</f>
        <v>2500158</v>
      </c>
      <c r="C22" s="18"/>
    </row>
    <row r="23" spans="1:3" ht="20.100000000000001" customHeight="1">
      <c r="A23" s="22" t="s">
        <v>54</v>
      </c>
      <c r="B23" s="50">
        <f>IF(Deepwell!D7="","",Deepwell!D7)</f>
        <v>2500115</v>
      </c>
      <c r="C23" s="18"/>
    </row>
    <row r="24" spans="1:3" ht="20.100000000000001" customHeight="1">
      <c r="A24" s="22" t="s">
        <v>55</v>
      </c>
      <c r="B24" s="50">
        <f>IF(Deepwell!D8="","",Deepwell!D8)</f>
        <v>2400788</v>
      </c>
      <c r="C24" s="18"/>
    </row>
    <row r="25" spans="1:3" ht="20.100000000000001" customHeight="1">
      <c r="A25" s="22" t="s">
        <v>56</v>
      </c>
      <c r="B25" s="50">
        <f>IF(Deepwell!D9="","",Deepwell!D9)</f>
        <v>2402772</v>
      </c>
      <c r="C25" s="18"/>
    </row>
    <row r="26" spans="1:3" ht="20.100000000000001" customHeight="1">
      <c r="A26" s="22" t="s">
        <v>57</v>
      </c>
      <c r="B26" s="50">
        <f>IF(Deepwell!D10="","",Deepwell!D10)</f>
        <v>2400834</v>
      </c>
      <c r="C26" s="18"/>
    </row>
    <row r="27" spans="1:3" ht="20.100000000000001" customHeight="1">
      <c r="A27" s="22" t="s">
        <v>58</v>
      </c>
      <c r="B27" s="50" t="str">
        <f>IF(Deepwell!D11="","",Deepwell!D11)</f>
        <v>CC</v>
      </c>
      <c r="C27" s="16"/>
    </row>
    <row r="28" spans="1:3" ht="20.100000000000001" customHeight="1">
      <c r="A28" s="38" t="s">
        <v>59</v>
      </c>
      <c r="B28" s="50" t="str">
        <f>IF(Deepwell!D12="","",Deepwell!D12)</f>
        <v>CP</v>
      </c>
      <c r="C28" s="16"/>
    </row>
    <row r="29" spans="1:3" ht="20.100000000000001" customHeight="1" thickBot="1">
      <c r="A29" s="39" t="s">
        <v>60</v>
      </c>
      <c r="B29" s="51" t="str">
        <f>IF(Deepwell!D13="","",Deepwell!D13)</f>
        <v>CN</v>
      </c>
      <c r="C29" s="17"/>
    </row>
    <row r="30" spans="1:3" ht="15.75" thickTop="1"/>
    <row r="31" spans="1:3">
      <c r="A31" t="s">
        <v>61</v>
      </c>
    </row>
    <row r="32" spans="1:3">
      <c r="A32" t="s">
        <v>62</v>
      </c>
    </row>
    <row r="33" spans="1:1">
      <c r="A33" t="s">
        <v>63</v>
      </c>
    </row>
  </sheetData>
  <sheetProtection algorithmName="SHA-512" hashValue="B19Rq+S4Kwc+TdANnPk7dWbrpjS8iLQfdXsrDB9bySYgJPoflncnJJ4bt03qFG8PC7G7l4xoUTd5H+Fgbr0s0Q==" saltValue="v0hZNknkq1jVCwzE9WjCcA==" spinCount="100000" sheet="1" selectLockedCells="1"/>
  <phoneticPr fontId="6" type="noConversion"/>
  <pageMargins left="0.7" right="0.7" top="0.75" bottom="0.75" header="0.3" footer="0.3"/>
  <pageSetup paperSize="9" orientation="portrait" r:id="rId1"/>
  <ignoredErrors>
    <ignoredError sqref="B6 B26:B29 B8:B2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21"/>
  <sheetViews>
    <sheetView zoomScale="90" zoomScaleNormal="90" workbookViewId="0">
      <selection activeCell="B14" sqref="B14:M21"/>
    </sheetView>
  </sheetViews>
  <sheetFormatPr defaultColWidth="10.85546875" defaultRowHeight="15"/>
  <cols>
    <col min="1" max="1" width="5.42578125" customWidth="1"/>
    <col min="2" max="13" width="12.140625" customWidth="1"/>
  </cols>
  <sheetData>
    <row r="1" spans="1:17" ht="18.75">
      <c r="A1" s="2" t="s">
        <v>0</v>
      </c>
      <c r="B1" s="2"/>
      <c r="C1" s="2"/>
    </row>
    <row r="2" spans="1:17" ht="15" customHeight="1">
      <c r="A2" s="2"/>
      <c r="B2" s="2"/>
      <c r="C2" s="2"/>
    </row>
    <row r="3" spans="1:17" ht="18.75">
      <c r="A3" s="2" t="s">
        <v>64</v>
      </c>
      <c r="B3" s="2"/>
      <c r="C3" s="2"/>
    </row>
    <row r="4" spans="1:17" ht="15" customHeight="1">
      <c r="A4" s="2"/>
      <c r="B4" s="2"/>
      <c r="C4" s="2"/>
    </row>
    <row r="5" spans="1:17" ht="20.100000000000001" customHeight="1">
      <c r="A5" s="74" t="s">
        <v>65</v>
      </c>
      <c r="B5" s="75"/>
      <c r="C5" s="62" t="str">
        <f>IF(Batch!C6="","",Batch!C6)</f>
        <v/>
      </c>
      <c r="E5" s="25" t="s">
        <v>66</v>
      </c>
      <c r="F5" s="77" t="str">
        <f>IF(Batch!C5="","",Batch!C5)</f>
        <v/>
      </c>
      <c r="G5" s="78"/>
      <c r="H5" s="79"/>
    </row>
    <row r="6" spans="1:17" ht="20.100000000000001" customHeight="1">
      <c r="A6" s="74" t="s">
        <v>67</v>
      </c>
      <c r="B6" s="75"/>
      <c r="C6" s="62" t="str">
        <f>IF(Batch!C7="","",Batch!C7)</f>
        <v/>
      </c>
    </row>
    <row r="7" spans="1:17" ht="20.100000000000001" customHeight="1">
      <c r="A7" s="74" t="s">
        <v>68</v>
      </c>
      <c r="B7" s="75"/>
      <c r="C7" s="63" t="str">
        <f>IF(Batch!C18="","",Batch!C18)</f>
        <v/>
      </c>
    </row>
    <row r="8" spans="1:17" ht="20.100000000000001" customHeight="1">
      <c r="A8" s="74" t="s">
        <v>69</v>
      </c>
      <c r="B8" s="75"/>
      <c r="C8" s="63" t="str">
        <f>IF(Batch!C28="","",Batch!C28)</f>
        <v/>
      </c>
    </row>
    <row r="9" spans="1:17" ht="17.100000000000001" customHeight="1">
      <c r="A9" s="76" t="s">
        <v>70</v>
      </c>
      <c r="B9" s="76"/>
      <c r="C9" s="64" t="s">
        <v>71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72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23</v>
      </c>
      <c r="B14" s="27">
        <v>0.47299999999999998</v>
      </c>
      <c r="C14" s="28">
        <v>5.0000000000000001E-3</v>
      </c>
      <c r="D14" s="28">
        <v>0.105</v>
      </c>
      <c r="E14" s="28">
        <v>0.52200000000000002</v>
      </c>
      <c r="F14" s="28">
        <v>0.93100000000000005</v>
      </c>
      <c r="G14" s="28">
        <v>0.16300000000000001</v>
      </c>
      <c r="H14" s="28">
        <v>0.22500000000000001</v>
      </c>
      <c r="I14" s="28">
        <v>0.114</v>
      </c>
      <c r="J14" s="28">
        <v>0.122</v>
      </c>
      <c r="K14" s="28">
        <v>0.26200000000000001</v>
      </c>
      <c r="L14" s="28">
        <v>0.106</v>
      </c>
      <c r="M14" s="29">
        <v>0.158</v>
      </c>
      <c r="N14"/>
      <c r="O14" s="13"/>
      <c r="P14" s="13"/>
      <c r="Q14" s="13"/>
    </row>
    <row r="15" spans="1:17" s="8" customFormat="1">
      <c r="A15" s="12" t="s">
        <v>24</v>
      </c>
      <c r="B15" s="30">
        <v>0.29699999999999999</v>
      </c>
      <c r="C15" s="31">
        <v>3.0000000000000001E-3</v>
      </c>
      <c r="D15" s="31">
        <v>3.4000000000000002E-2</v>
      </c>
      <c r="E15" s="31">
        <v>0.32400000000000001</v>
      </c>
      <c r="F15" s="31">
        <v>0.253</v>
      </c>
      <c r="G15" s="31">
        <v>4.3999999999999997E-2</v>
      </c>
      <c r="H15" s="31">
        <v>0.124</v>
      </c>
      <c r="I15" s="31">
        <v>6.9000000000000006E-2</v>
      </c>
      <c r="J15" s="31">
        <v>4.8000000000000001E-2</v>
      </c>
      <c r="K15" s="31">
        <v>0.13800000000000001</v>
      </c>
      <c r="L15" s="31">
        <v>7.0999999999999994E-2</v>
      </c>
      <c r="M15" s="32">
        <v>6.0999999999999999E-2</v>
      </c>
      <c r="N15"/>
      <c r="O15" s="13"/>
      <c r="P15" s="13"/>
      <c r="Q15" s="13"/>
    </row>
    <row r="16" spans="1:17" s="8" customFormat="1">
      <c r="A16" s="12" t="s">
        <v>25</v>
      </c>
      <c r="B16" s="30">
        <v>0.46</v>
      </c>
      <c r="C16" s="31">
        <v>1.323</v>
      </c>
      <c r="D16" s="31">
        <v>0.38</v>
      </c>
      <c r="E16" s="31">
        <v>0.84699999999999998</v>
      </c>
      <c r="F16" s="31">
        <v>1.466</v>
      </c>
      <c r="G16" s="31">
        <v>0.379</v>
      </c>
      <c r="H16" s="31">
        <v>0.45100000000000001</v>
      </c>
      <c r="I16" s="31">
        <v>0.375</v>
      </c>
      <c r="J16" s="31">
        <v>7.5999999999999998E-2</v>
      </c>
      <c r="K16" s="31">
        <v>0.45700000000000002</v>
      </c>
      <c r="L16" s="31">
        <v>0.36599999999999999</v>
      </c>
      <c r="M16" s="32">
        <v>9.1999999999999998E-2</v>
      </c>
      <c r="N16"/>
      <c r="O16" s="13"/>
      <c r="P16" s="13"/>
      <c r="Q16" s="13"/>
    </row>
    <row r="17" spans="1:39" s="8" customFormat="1">
      <c r="A17" s="12" t="s">
        <v>26</v>
      </c>
      <c r="B17" s="30">
        <v>0.41399999999999998</v>
      </c>
      <c r="C17" s="31">
        <v>0.15</v>
      </c>
      <c r="D17" s="31">
        <v>3.2509999999999999</v>
      </c>
      <c r="E17" s="31">
        <v>0.434</v>
      </c>
      <c r="F17" s="31">
        <v>0.16500000000000001</v>
      </c>
      <c r="G17" s="31">
        <v>3.5489999999999999</v>
      </c>
      <c r="H17" s="31">
        <v>0.185</v>
      </c>
      <c r="I17" s="31">
        <v>0.11600000000000001</v>
      </c>
      <c r="J17" s="31">
        <v>0.54200000000000004</v>
      </c>
      <c r="K17" s="31">
        <v>0.17899999999999999</v>
      </c>
      <c r="L17" s="31">
        <v>0.122</v>
      </c>
      <c r="M17" s="32">
        <v>0.56799999999999995</v>
      </c>
      <c r="N17"/>
      <c r="O17" s="13"/>
      <c r="P17" s="13"/>
      <c r="Q17" s="13"/>
    </row>
    <row r="18" spans="1:39" s="8" customFormat="1">
      <c r="A18" s="12" t="s">
        <v>27</v>
      </c>
      <c r="B18" s="30">
        <v>0.26300000000000001</v>
      </c>
      <c r="C18" s="31">
        <v>0.78800000000000003</v>
      </c>
      <c r="D18" s="31">
        <v>0.62</v>
      </c>
      <c r="E18" s="31">
        <v>0.501</v>
      </c>
      <c r="F18" s="31">
        <v>0.85799999999999998</v>
      </c>
      <c r="G18" s="31">
        <v>0.64200000000000002</v>
      </c>
      <c r="H18" s="31">
        <v>0.185</v>
      </c>
      <c r="I18" s="31">
        <v>0.124</v>
      </c>
      <c r="J18" s="31">
        <v>0.161</v>
      </c>
      <c r="K18" s="31">
        <v>0.189</v>
      </c>
      <c r="L18" s="31">
        <v>0.13500000000000001</v>
      </c>
      <c r="M18" s="32">
        <v>0.17399999999999999</v>
      </c>
      <c r="N18"/>
      <c r="O18" s="13"/>
      <c r="P18" s="13"/>
      <c r="Q18" s="13"/>
    </row>
    <row r="19" spans="1:39" s="8" customFormat="1">
      <c r="A19" s="12" t="s">
        <v>28</v>
      </c>
      <c r="B19" s="30">
        <v>0.17399999999999999</v>
      </c>
      <c r="C19" s="31">
        <v>1.24</v>
      </c>
      <c r="D19" s="31">
        <v>1.2999999999999999E-2</v>
      </c>
      <c r="E19" s="31">
        <v>0.26400000000000001</v>
      </c>
      <c r="F19" s="31">
        <v>1.1579999999999999</v>
      </c>
      <c r="G19" s="31">
        <v>1.7000000000000001E-2</v>
      </c>
      <c r="H19" s="31">
        <v>0.313</v>
      </c>
      <c r="I19" s="31">
        <v>6.4000000000000001E-2</v>
      </c>
      <c r="J19" s="31">
        <v>1.4E-2</v>
      </c>
      <c r="K19" s="31">
        <v>0.309</v>
      </c>
      <c r="L19" s="31">
        <v>6.6000000000000003E-2</v>
      </c>
      <c r="M19" s="32">
        <v>8.9999999999999993E-3</v>
      </c>
      <c r="N19"/>
      <c r="O19" s="13"/>
      <c r="P19" s="13"/>
      <c r="Q19" s="13"/>
    </row>
    <row r="20" spans="1:39" s="8" customFormat="1">
      <c r="A20" s="12" t="s">
        <v>30</v>
      </c>
      <c r="B20" s="30">
        <v>2.6320000000000001</v>
      </c>
      <c r="C20" s="31">
        <v>1.726</v>
      </c>
      <c r="D20" s="31">
        <v>3.6190000000000002</v>
      </c>
      <c r="E20" s="31">
        <v>3.7679999999999998</v>
      </c>
      <c r="F20" s="31">
        <v>1.8540000000000001</v>
      </c>
      <c r="G20" s="31">
        <v>3.5150000000000001</v>
      </c>
      <c r="H20" s="31">
        <v>0.216</v>
      </c>
      <c r="I20" s="31">
        <v>0.16800000000000001</v>
      </c>
      <c r="J20" s="31">
        <v>2.1000000000000001E-2</v>
      </c>
      <c r="K20" s="31">
        <v>0.25</v>
      </c>
      <c r="L20" s="31">
        <v>0.16600000000000001</v>
      </c>
      <c r="M20" s="32">
        <v>1.7999999999999999E-2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32</v>
      </c>
      <c r="B21" s="33">
        <v>0.24099999999999999</v>
      </c>
      <c r="C21" s="34">
        <v>0.93100000000000005</v>
      </c>
      <c r="D21" s="34">
        <v>6.0999999999999999E-2</v>
      </c>
      <c r="E21" s="34">
        <v>0.307</v>
      </c>
      <c r="F21" s="34">
        <v>0.98199999999999998</v>
      </c>
      <c r="G21" s="34">
        <v>0.06</v>
      </c>
      <c r="H21" s="34">
        <v>0.28199999999999997</v>
      </c>
      <c r="I21" s="34">
        <v>1.75</v>
      </c>
      <c r="J21" s="34">
        <v>0.106</v>
      </c>
      <c r="K21" s="34">
        <v>0.41099999999999998</v>
      </c>
      <c r="L21" s="34">
        <v>1.613</v>
      </c>
      <c r="M21" s="35">
        <v>0.108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</sheetData>
  <sheetProtection algorithmName="SHA-512" hashValue="ekvrytN/aKFkizO0sOU+1mRGEg1wbxW/BFd1qUfXjev5IYUi9H2cK8f22V5cI9j7AKQI7pwFaNmekSQ1c/PITw==" saltValue="yJpmJCBWiimiW2qQomxk0Q==" spinCount="100000" sheet="1" selectLockedCells="1"/>
  <mergeCells count="6">
    <mergeCell ref="A8:B8"/>
    <mergeCell ref="A9:B9"/>
    <mergeCell ref="F5:H5"/>
    <mergeCell ref="A5:B5"/>
    <mergeCell ref="A6:B6"/>
    <mergeCell ref="A7:B7"/>
  </mergeCells>
  <pageMargins left="0.7" right="0.7" top="0.75" bottom="0.75" header="0.3" footer="0.3"/>
  <pageSetup paperSize="9"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3"/>
  <sheetViews>
    <sheetView zoomScaleNormal="100" workbookViewId="0">
      <selection activeCell="K2" sqref="K2"/>
    </sheetView>
  </sheetViews>
  <sheetFormatPr defaultColWidth="10.85546875" defaultRowHeight="15"/>
  <cols>
    <col min="1" max="1" width="15.7109375" style="8" bestFit="1" customWidth="1"/>
    <col min="2" max="2" width="8.140625" style="8" bestFit="1" customWidth="1"/>
    <col min="3" max="3" width="11.85546875" style="8" customWidth="1"/>
    <col min="4" max="4" width="18.42578125" style="8" customWidth="1"/>
    <col min="5" max="5" width="11.140625" style="8" customWidth="1"/>
    <col min="6" max="6" width="12.7109375" style="8" customWidth="1"/>
    <col min="7" max="8" width="12.42578125" style="8" bestFit="1" customWidth="1"/>
    <col min="9" max="9" width="12.42578125" style="8" customWidth="1"/>
    <col min="10" max="10" width="24.42578125" style="8" customWidth="1"/>
    <col min="11" max="11" width="23.85546875" style="8" bestFit="1" customWidth="1"/>
    <col min="12" max="13" width="10.85546875" style="8"/>
    <col min="14" max="14" width="11.5703125" style="8" bestFit="1" customWidth="1"/>
    <col min="15" max="16384" width="10.85546875" style="8"/>
  </cols>
  <sheetData>
    <row r="1" spans="1:11" ht="63" customHeight="1" thickBot="1">
      <c r="A1" s="67" t="s">
        <v>73</v>
      </c>
      <c r="B1" s="67" t="s">
        <v>74</v>
      </c>
      <c r="C1" s="68" t="s">
        <v>75</v>
      </c>
      <c r="D1" s="68" t="s">
        <v>76</v>
      </c>
      <c r="E1" s="69" t="s">
        <v>77</v>
      </c>
      <c r="F1" s="67" t="s">
        <v>78</v>
      </c>
      <c r="G1" s="67" t="s">
        <v>79</v>
      </c>
      <c r="H1" s="67" t="s">
        <v>80</v>
      </c>
      <c r="I1" s="68" t="s">
        <v>81</v>
      </c>
      <c r="J1" s="68" t="s">
        <v>36</v>
      </c>
      <c r="K1" s="73" t="s">
        <v>82</v>
      </c>
    </row>
    <row r="2" spans="1:11" ht="15" customHeight="1" thickBot="1">
      <c r="A2" s="70" t="s">
        <v>83</v>
      </c>
      <c r="B2" s="70" t="s">
        <v>37</v>
      </c>
      <c r="C2" s="41">
        <f>IF(Deepwell!G6="","",Deepwell!G6)</f>
        <v>85</v>
      </c>
      <c r="D2" s="42">
        <f>IF(ELISA!B6="","",ELISA!B6)</f>
        <v>2400833</v>
      </c>
      <c r="E2" s="43">
        <f>IF('450 nm - 600 nm'!B14="","",(('450 nm - 600 nm'!B14+'450 nm - 600 nm'!E14)/2)-(('450 nm - 600 nm'!H14+'450 nm - 600 nm'!K14)/2))</f>
        <v>0.254</v>
      </c>
      <c r="F2" s="44">
        <f>IF(E2="","",(E2-Controls!$D$4)/(Controls!$D$2-Controls!$D$4))</f>
        <v>8.3611574846967157E-2</v>
      </c>
      <c r="G2" s="41" t="str">
        <f t="shared" ref="G2" si="0">IF(F2="","",IF(F2&gt;=60%,"POS","NEG"))</f>
        <v>NEG</v>
      </c>
      <c r="H2" s="41" t="str">
        <f>IF(F2="","",IF(F2&gt;=50%,"POS","NEG"))</f>
        <v>NEG</v>
      </c>
      <c r="I2" s="41" t="str">
        <f>IF(H2="POS","P",IF(H2="NEG","N",""))</f>
        <v>N</v>
      </c>
      <c r="J2" s="71"/>
      <c r="K2" s="71"/>
    </row>
    <row r="3" spans="1:11" ht="15" customHeight="1" thickBot="1">
      <c r="A3" s="70" t="s">
        <v>84</v>
      </c>
      <c r="B3" s="70" t="s">
        <v>38</v>
      </c>
      <c r="C3" s="41">
        <f>IF(Deepwell!G7="","",Deepwell!G7)</f>
        <v>86</v>
      </c>
      <c r="D3" s="42">
        <f>IF(ELISA!B7="","",ELISA!B7)</f>
        <v>2400830</v>
      </c>
      <c r="E3" s="43">
        <f>IF('450 nm - 600 nm'!B15="","",(('450 nm - 600 nm'!B15+'450 nm - 600 nm'!E15)/2)-(('450 nm - 600 nm'!H15+'450 nm - 600 nm'!K15)/2))</f>
        <v>0.17949999999999999</v>
      </c>
      <c r="F3" s="44">
        <f>IF(E3="","",(E3-Controls!$D$4)/(Controls!$D$2-Controls!$D$4))</f>
        <v>6.2882582081246516E-2</v>
      </c>
      <c r="G3" s="41" t="str">
        <f t="shared" ref="G3:G22" si="1">IF(F3="","",IF(F3&gt;=60%,"POS","NEG"))</f>
        <v>NEG</v>
      </c>
      <c r="H3" s="41" t="str">
        <f t="shared" ref="H3:H22" si="2">IF(F3="","",IF(F3&gt;=50%,"POS","NEG"))</f>
        <v>NEG</v>
      </c>
      <c r="I3" s="41" t="str">
        <f t="shared" ref="I3:I22" si="3">IF(H3="POS","P",IF(H3="NEG","N",""))</f>
        <v>N</v>
      </c>
      <c r="J3" s="71"/>
      <c r="K3" s="71"/>
    </row>
    <row r="4" spans="1:11" ht="15" customHeight="1" thickBot="1">
      <c r="A4" s="70" t="s">
        <v>85</v>
      </c>
      <c r="B4" s="70" t="s">
        <v>39</v>
      </c>
      <c r="C4" s="41">
        <f>IF(Deepwell!G8="","",Deepwell!G8)</f>
        <v>87</v>
      </c>
      <c r="D4" s="42">
        <f>IF(ELISA!B8="","",ELISA!B8)</f>
        <v>2400899</v>
      </c>
      <c r="E4" s="43">
        <f>IF('450 nm - 600 nm'!B16="","",(('450 nm - 600 nm'!B16+'450 nm - 600 nm'!E16)/2)-(('450 nm - 600 nm'!H16+'450 nm - 600 nm'!K16)/2))</f>
        <v>0.19949999999999996</v>
      </c>
      <c r="F4" s="44">
        <f>IF(E4="","",(E4-Controls!$D$4)/(Controls!$D$2-Controls!$D$4))</f>
        <v>6.8447412353923182E-2</v>
      </c>
      <c r="G4" s="41" t="str">
        <f t="shared" si="1"/>
        <v>NEG</v>
      </c>
      <c r="H4" s="41" t="str">
        <f t="shared" si="2"/>
        <v>NEG</v>
      </c>
      <c r="I4" s="41" t="str">
        <f t="shared" si="3"/>
        <v>N</v>
      </c>
      <c r="J4" s="71"/>
      <c r="K4" s="71"/>
    </row>
    <row r="5" spans="1:11" ht="15" customHeight="1" thickBot="1">
      <c r="A5" s="70" t="s">
        <v>86</v>
      </c>
      <c r="B5" s="70" t="s">
        <v>40</v>
      </c>
      <c r="C5" s="41">
        <f>IF(Deepwell!G9="","",Deepwell!G9)</f>
        <v>88</v>
      </c>
      <c r="D5" s="42">
        <f>IF(ELISA!B9="","",ELISA!B9)</f>
        <v>2402768</v>
      </c>
      <c r="E5" s="43">
        <f>IF('450 nm - 600 nm'!B17="","",(('450 nm - 600 nm'!B17+'450 nm - 600 nm'!E17)/2)-(('450 nm - 600 nm'!H17+'450 nm - 600 nm'!K17)/2))</f>
        <v>0.24199999999999999</v>
      </c>
      <c r="F5" s="44">
        <f>IF(E5="","",(E5-Controls!$D$4)/(Controls!$D$2-Controls!$D$4))</f>
        <v>8.0272676683361147E-2</v>
      </c>
      <c r="G5" s="41" t="str">
        <f t="shared" si="1"/>
        <v>NEG</v>
      </c>
      <c r="H5" s="41" t="str">
        <f t="shared" si="2"/>
        <v>NEG</v>
      </c>
      <c r="I5" s="41" t="str">
        <f t="shared" si="3"/>
        <v>N</v>
      </c>
      <c r="J5" s="71"/>
      <c r="K5" s="71"/>
    </row>
    <row r="6" spans="1:11" ht="15" customHeight="1" thickBot="1">
      <c r="A6" s="70" t="s">
        <v>87</v>
      </c>
      <c r="B6" s="70" t="s">
        <v>41</v>
      </c>
      <c r="C6" s="41">
        <f>IF(Deepwell!G10="","",Deepwell!G10)</f>
        <v>89</v>
      </c>
      <c r="D6" s="42">
        <f>IF(ELISA!B10="","",ELISA!B10)</f>
        <v>2402775</v>
      </c>
      <c r="E6" s="43">
        <f>IF('450 nm - 600 nm'!B18="","",(('450 nm - 600 nm'!B18+'450 nm - 600 nm'!E18)/2)-(('450 nm - 600 nm'!H18+'450 nm - 600 nm'!K18)/2))</f>
        <v>0.19500000000000001</v>
      </c>
      <c r="F6" s="44">
        <f>IF(E6="","",(E6-Controls!$D$4)/(Controls!$D$2-Controls!$D$4))</f>
        <v>6.7195325542570947E-2</v>
      </c>
      <c r="G6" s="41" t="str">
        <f t="shared" si="1"/>
        <v>NEG</v>
      </c>
      <c r="H6" s="41" t="str">
        <f t="shared" si="2"/>
        <v>NEG</v>
      </c>
      <c r="I6" s="41" t="str">
        <f t="shared" si="3"/>
        <v>N</v>
      </c>
      <c r="J6" s="71"/>
      <c r="K6" s="71"/>
    </row>
    <row r="7" spans="1:11" ht="15" customHeight="1" thickBot="1">
      <c r="A7" s="70" t="s">
        <v>88</v>
      </c>
      <c r="B7" s="70" t="s">
        <v>42</v>
      </c>
      <c r="C7" s="41">
        <f>IF(Deepwell!G11="","",Deepwell!G11)</f>
        <v>90</v>
      </c>
      <c r="D7" s="42">
        <f>IF(ELISA!B11="","",ELISA!B11)</f>
        <v>2402766</v>
      </c>
      <c r="E7" s="43">
        <f>IF('450 nm - 600 nm'!B19="","",(('450 nm - 600 nm'!B19+'450 nm - 600 nm'!E19)/2)-(('450 nm - 600 nm'!H19+'450 nm - 600 nm'!K19)/2))</f>
        <v>-9.1999999999999998E-2</v>
      </c>
      <c r="F7" s="44">
        <f>IF(E7="","",(E7-Controls!$D$4)/(Controls!$D$2-Controls!$D$4))</f>
        <v>-1.2659988870339454E-2</v>
      </c>
      <c r="G7" s="41" t="str">
        <f t="shared" si="1"/>
        <v>NEG</v>
      </c>
      <c r="H7" s="41" t="str">
        <f t="shared" si="2"/>
        <v>NEG</v>
      </c>
      <c r="I7" s="41" t="str">
        <f t="shared" si="3"/>
        <v>N</v>
      </c>
      <c r="J7" s="71"/>
      <c r="K7" s="71"/>
    </row>
    <row r="8" spans="1:11" ht="15" customHeight="1" thickBot="1">
      <c r="A8" s="70" t="s">
        <v>89</v>
      </c>
      <c r="B8" s="70" t="s">
        <v>43</v>
      </c>
      <c r="C8" s="41">
        <f>IF(Deepwell!G12="","",Deepwell!G12)</f>
        <v>91</v>
      </c>
      <c r="D8" s="42">
        <f>IF(ELISA!B12="","",ELISA!B12)</f>
        <v>2500112</v>
      </c>
      <c r="E8" s="43">
        <f>IF('450 nm - 600 nm'!B20="","",(('450 nm - 600 nm'!B20+'450 nm - 600 nm'!E20)/2)-(('450 nm - 600 nm'!H20+'450 nm - 600 nm'!K20)/2))</f>
        <v>2.9670000000000001</v>
      </c>
      <c r="F8" s="44">
        <f>IF(E8="","",(E8-Controls!$D$4)/(Controls!$D$2-Controls!$D$4))</f>
        <v>0.83848080133555924</v>
      </c>
      <c r="G8" s="41" t="str">
        <f t="shared" si="1"/>
        <v>POS</v>
      </c>
      <c r="H8" s="41" t="str">
        <f t="shared" si="2"/>
        <v>POS</v>
      </c>
      <c r="I8" s="41" t="str">
        <f t="shared" si="3"/>
        <v>P</v>
      </c>
      <c r="J8" s="71"/>
      <c r="K8" s="71"/>
    </row>
    <row r="9" spans="1:11" ht="15" customHeight="1" thickBot="1">
      <c r="A9" s="70" t="s">
        <v>90</v>
      </c>
      <c r="B9" s="70" t="s">
        <v>44</v>
      </c>
      <c r="C9" s="41">
        <f>IF(Deepwell!G13="","",Deepwell!G13)</f>
        <v>92</v>
      </c>
      <c r="D9" s="42">
        <f>IF(ELISA!B13="","",ELISA!B13)</f>
        <v>2500075</v>
      </c>
      <c r="E9" s="43">
        <f>IF('450 nm - 600 nm'!B21="","",(('450 nm - 600 nm'!B21+'450 nm - 600 nm'!E21)/2)-(('450 nm - 600 nm'!H21+'450 nm - 600 nm'!K21)/2))</f>
        <v>-7.2499999999999953E-2</v>
      </c>
      <c r="F9" s="44">
        <f>IF(E9="","",(E9-Controls!$D$4)/(Controls!$D$2-Controls!$D$4))</f>
        <v>-7.2342793544796745E-3</v>
      </c>
      <c r="G9" s="41" t="str">
        <f t="shared" si="1"/>
        <v>NEG</v>
      </c>
      <c r="H9" s="41" t="str">
        <f t="shared" si="2"/>
        <v>NEG</v>
      </c>
      <c r="I9" s="41" t="str">
        <f t="shared" si="3"/>
        <v>N</v>
      </c>
      <c r="J9" s="71"/>
      <c r="K9" s="71"/>
    </row>
    <row r="10" spans="1:11" ht="15" customHeight="1" thickBot="1">
      <c r="A10" s="70" t="s">
        <v>91</v>
      </c>
      <c r="B10" s="70" t="s">
        <v>45</v>
      </c>
      <c r="C10" s="41">
        <f>IF(Deepwell!H6="","",Deepwell!H6)</f>
        <v>93</v>
      </c>
      <c r="D10" s="42">
        <f>IF(ELISA!B14="","",ELISA!B14)</f>
        <v>2402965</v>
      </c>
      <c r="E10" s="43">
        <f>IF('450 nm - 600 nm'!C14="","",(('450 nm - 600 nm'!C14+'450 nm - 600 nm'!F14)/2)-(('450 nm - 600 nm'!I14+'450 nm - 600 nm'!L14)/2))</f>
        <v>0.35800000000000004</v>
      </c>
      <c r="F10" s="44">
        <f>IF(E10="","",(E10-Controls!$D$4)/(Controls!$D$2-Controls!$D$4))</f>
        <v>0.11254869226488592</v>
      </c>
      <c r="G10" s="41" t="str">
        <f t="shared" si="1"/>
        <v>NEG</v>
      </c>
      <c r="H10" s="41" t="str">
        <f t="shared" si="2"/>
        <v>NEG</v>
      </c>
      <c r="I10" s="41" t="str">
        <f t="shared" si="3"/>
        <v>N</v>
      </c>
      <c r="J10" s="71"/>
      <c r="K10" s="71"/>
    </row>
    <row r="11" spans="1:11" ht="15" customHeight="1" thickBot="1">
      <c r="A11" s="70" t="s">
        <v>92</v>
      </c>
      <c r="B11" s="70" t="s">
        <v>46</v>
      </c>
      <c r="C11" s="41">
        <f>IF(Deepwell!H7="","",Deepwell!H7)</f>
        <v>94</v>
      </c>
      <c r="D11" s="42">
        <f>IF(ELISA!B15="","",ELISA!B15)</f>
        <v>2400785</v>
      </c>
      <c r="E11" s="43">
        <f>IF('450 nm - 600 nm'!C15="","",(('450 nm - 600 nm'!C15+'450 nm - 600 nm'!F15)/2)-(('450 nm - 600 nm'!I15+'450 nm - 600 nm'!L15)/2))</f>
        <v>5.7999999999999996E-2</v>
      </c>
      <c r="F11" s="44">
        <f>IF(E11="","",(E11-Controls!$D$4)/(Controls!$D$2-Controls!$D$4))</f>
        <v>2.9076238174735668E-2</v>
      </c>
      <c r="G11" s="41" t="str">
        <f t="shared" si="1"/>
        <v>NEG</v>
      </c>
      <c r="H11" s="41" t="str">
        <f t="shared" si="2"/>
        <v>NEG</v>
      </c>
      <c r="I11" s="41" t="str">
        <f t="shared" si="3"/>
        <v>N</v>
      </c>
      <c r="J11" s="71"/>
      <c r="K11" s="71"/>
    </row>
    <row r="12" spans="1:11" ht="15" customHeight="1" thickBot="1">
      <c r="A12" s="70" t="s">
        <v>93</v>
      </c>
      <c r="B12" s="70" t="s">
        <v>47</v>
      </c>
      <c r="C12" s="41">
        <f>IF(Deepwell!H8="","",Deepwell!H8)</f>
        <v>95</v>
      </c>
      <c r="D12" s="42">
        <f>IF(ELISA!B16="","",ELISA!B16)</f>
        <v>2402579</v>
      </c>
      <c r="E12" s="43">
        <f>IF('450 nm - 600 nm'!C16="","",(('450 nm - 600 nm'!C16+'450 nm - 600 nm'!F16)/2)-(('450 nm - 600 nm'!I16+'450 nm - 600 nm'!L16)/2))</f>
        <v>1.0239999999999998</v>
      </c>
      <c r="F12" s="44">
        <f>IF(E12="","",(E12-Controls!$D$4)/(Controls!$D$2-Controls!$D$4))</f>
        <v>0.29785754034501938</v>
      </c>
      <c r="G12" s="41" t="str">
        <f t="shared" si="1"/>
        <v>NEG</v>
      </c>
      <c r="H12" s="41" t="str">
        <f t="shared" si="2"/>
        <v>NEG</v>
      </c>
      <c r="I12" s="41" t="str">
        <f t="shared" si="3"/>
        <v>N</v>
      </c>
      <c r="J12" s="71"/>
      <c r="K12" s="71"/>
    </row>
    <row r="13" spans="1:11" ht="15" customHeight="1" thickBot="1">
      <c r="A13" s="70" t="s">
        <v>94</v>
      </c>
      <c r="B13" s="70" t="s">
        <v>48</v>
      </c>
      <c r="C13" s="41">
        <f>IF(Deepwell!H9="","",Deepwell!H9)</f>
        <v>96</v>
      </c>
      <c r="D13" s="42">
        <f>IF(ELISA!B17="","",ELISA!B17)</f>
        <v>2500033</v>
      </c>
      <c r="E13" s="43">
        <f>IF('450 nm - 600 nm'!C17="","",(('450 nm - 600 nm'!C17+'450 nm - 600 nm'!F17)/2)-(('450 nm - 600 nm'!I17+'450 nm - 600 nm'!L17)/2))</f>
        <v>3.8500000000000006E-2</v>
      </c>
      <c r="F13" s="44">
        <f>IF(E13="","",(E13-Controls!$D$4)/(Controls!$D$2-Controls!$D$4))</f>
        <v>2.3650528658875902E-2</v>
      </c>
      <c r="G13" s="41" t="str">
        <f t="shared" si="1"/>
        <v>NEG</v>
      </c>
      <c r="H13" s="41" t="str">
        <f t="shared" si="2"/>
        <v>NEG</v>
      </c>
      <c r="I13" s="41" t="str">
        <f t="shared" si="3"/>
        <v>N</v>
      </c>
      <c r="J13" s="71"/>
      <c r="K13" s="71"/>
    </row>
    <row r="14" spans="1:11" ht="15" customHeight="1" thickBot="1">
      <c r="A14" s="70" t="s">
        <v>95</v>
      </c>
      <c r="B14" s="70" t="s">
        <v>49</v>
      </c>
      <c r="C14" s="41">
        <f>IF(Deepwell!H10="","",Deepwell!H10)</f>
        <v>97</v>
      </c>
      <c r="D14" s="42">
        <f>IF(ELISA!B18="","",ELISA!B18)</f>
        <v>2402783</v>
      </c>
      <c r="E14" s="43">
        <f>IF('450 nm - 600 nm'!C18="","",(('450 nm - 600 nm'!C18+'450 nm - 600 nm'!F18)/2)-(('450 nm - 600 nm'!I18+'450 nm - 600 nm'!L18)/2))</f>
        <v>0.69350000000000001</v>
      </c>
      <c r="F14" s="44">
        <f>IF(E14="","",(E14-Controls!$D$4)/(Controls!$D$2-Controls!$D$4))</f>
        <v>0.20589872008903726</v>
      </c>
      <c r="G14" s="41" t="str">
        <f t="shared" si="1"/>
        <v>NEG</v>
      </c>
      <c r="H14" s="41" t="str">
        <f t="shared" si="2"/>
        <v>NEG</v>
      </c>
      <c r="I14" s="41" t="str">
        <f t="shared" si="3"/>
        <v>N</v>
      </c>
      <c r="J14" s="71"/>
      <c r="K14" s="71"/>
    </row>
    <row r="15" spans="1:11" ht="15" customHeight="1" thickBot="1">
      <c r="A15" s="70" t="s">
        <v>96</v>
      </c>
      <c r="B15" s="70" t="s">
        <v>50</v>
      </c>
      <c r="C15" s="41">
        <f>IF(Deepwell!H11="","",Deepwell!H11)</f>
        <v>98</v>
      </c>
      <c r="D15" s="42">
        <f>IF(ELISA!B19="","",ELISA!B19)</f>
        <v>2500163</v>
      </c>
      <c r="E15" s="43">
        <f>IF('450 nm - 600 nm'!C19="","",(('450 nm - 600 nm'!C19+'450 nm - 600 nm'!F19)/2)-(('450 nm - 600 nm'!I19+'450 nm - 600 nm'!L19)/2))</f>
        <v>1.1339999999999999</v>
      </c>
      <c r="F15" s="44">
        <f>IF(E15="","",(E15-Controls!$D$4)/(Controls!$D$2-Controls!$D$4))</f>
        <v>0.3284641068447412</v>
      </c>
      <c r="G15" s="41" t="str">
        <f t="shared" si="1"/>
        <v>NEG</v>
      </c>
      <c r="H15" s="41" t="str">
        <f t="shared" si="2"/>
        <v>NEG</v>
      </c>
      <c r="I15" s="41" t="str">
        <f t="shared" si="3"/>
        <v>N</v>
      </c>
      <c r="J15" s="71"/>
      <c r="K15" s="71"/>
    </row>
    <row r="16" spans="1:11" ht="15" customHeight="1" thickBot="1">
      <c r="A16" s="70" t="s">
        <v>97</v>
      </c>
      <c r="B16" s="70" t="s">
        <v>51</v>
      </c>
      <c r="C16" s="41">
        <f>IF(Deepwell!H12="","",Deepwell!H12)</f>
        <v>99</v>
      </c>
      <c r="D16" s="42">
        <f>IF(ELISA!B20="","",ELISA!B20)</f>
        <v>2500165</v>
      </c>
      <c r="E16" s="43">
        <f>IF('450 nm - 600 nm'!C20="","",(('450 nm - 600 nm'!C20+'450 nm - 600 nm'!F20)/2)-(('450 nm - 600 nm'!I20+'450 nm - 600 nm'!L20)/2))</f>
        <v>1.623</v>
      </c>
      <c r="F16" s="44">
        <f>IF(E16="","",(E16-Controls!$D$4)/(Controls!$D$2-Controls!$D$4))</f>
        <v>0.46452420701168612</v>
      </c>
      <c r="G16" s="41" t="str">
        <f t="shared" si="1"/>
        <v>NEG</v>
      </c>
      <c r="H16" s="41" t="str">
        <f t="shared" si="2"/>
        <v>NEG</v>
      </c>
      <c r="I16" s="41" t="str">
        <f t="shared" si="3"/>
        <v>N</v>
      </c>
      <c r="J16" s="71"/>
      <c r="K16" s="71"/>
    </row>
    <row r="17" spans="1:11" ht="15" customHeight="1" thickBot="1">
      <c r="A17" s="70" t="s">
        <v>98</v>
      </c>
      <c r="B17" s="70" t="s">
        <v>52</v>
      </c>
      <c r="C17" s="41">
        <f>IF(Deepwell!H13="","",Deepwell!H13)</f>
        <v>100</v>
      </c>
      <c r="D17" s="42">
        <f>IF(ELISA!B21="","",ELISA!B21)</f>
        <v>2500164</v>
      </c>
      <c r="E17" s="43">
        <f>IF('450 nm - 600 nm'!C21="","",(('450 nm - 600 nm'!C21+'450 nm - 600 nm'!F21)/2)-(('450 nm - 600 nm'!I21+'450 nm - 600 nm'!L21)/2))</f>
        <v>-0.72499999999999998</v>
      </c>
      <c r="F17" s="44">
        <f>IF(E17="","",(E17-Controls!$D$4)/(Controls!$D$2-Controls!$D$4))</f>
        <v>-0.18878686700055647</v>
      </c>
      <c r="G17" s="41" t="str">
        <f t="shared" si="1"/>
        <v>NEG</v>
      </c>
      <c r="H17" s="41" t="str">
        <f t="shared" si="2"/>
        <v>NEG</v>
      </c>
      <c r="I17" s="41" t="str">
        <f t="shared" si="3"/>
        <v>N</v>
      </c>
      <c r="J17" s="71"/>
      <c r="K17" s="71"/>
    </row>
    <row r="18" spans="1:11" ht="15" customHeight="1" thickBot="1">
      <c r="A18" s="70" t="s">
        <v>99</v>
      </c>
      <c r="B18" s="70" t="s">
        <v>53</v>
      </c>
      <c r="C18" s="41">
        <f>IF(Deepwell!I6="","",Deepwell!I6)</f>
        <v>101</v>
      </c>
      <c r="D18" s="42">
        <f>IF(ELISA!B22="","",ELISA!B22)</f>
        <v>2500158</v>
      </c>
      <c r="E18" s="43">
        <f>IF('450 nm - 600 nm'!D14="","",(('450 nm - 600 nm'!D14+'450 nm - 600 nm'!G14)/2)-(('450 nm - 600 nm'!J14+'450 nm - 600 nm'!M14)/2))</f>
        <v>-6.0000000000000053E-3</v>
      </c>
      <c r="F18" s="44">
        <f>IF(E18="","",(E18-Controls!$D$4)/(Controls!$D$2-Controls!$D$4))</f>
        <v>1.1268781302170282E-2</v>
      </c>
      <c r="G18" s="41" t="str">
        <f t="shared" si="1"/>
        <v>NEG</v>
      </c>
      <c r="H18" s="41" t="str">
        <f t="shared" si="2"/>
        <v>NEG</v>
      </c>
      <c r="I18" s="41" t="str">
        <f t="shared" si="3"/>
        <v>N</v>
      </c>
      <c r="J18" s="71"/>
      <c r="K18" s="71"/>
    </row>
    <row r="19" spans="1:11" ht="15" customHeight="1" thickBot="1">
      <c r="A19" s="70" t="s">
        <v>100</v>
      </c>
      <c r="B19" s="70" t="s">
        <v>54</v>
      </c>
      <c r="C19" s="41">
        <f>IF(Deepwell!I7="","",Deepwell!I7)</f>
        <v>102</v>
      </c>
      <c r="D19" s="42">
        <f>IF(ELISA!B23="","",ELISA!B23)</f>
        <v>2500115</v>
      </c>
      <c r="E19" s="43">
        <f>IF('450 nm - 600 nm'!D15="","",(('450 nm - 600 nm'!D15+'450 nm - 600 nm'!G15)/2)-(('450 nm - 600 nm'!J15+'450 nm - 600 nm'!M15)/2))</f>
        <v>-1.55E-2</v>
      </c>
      <c r="F19" s="44">
        <f>IF(E19="","",(E19-Controls!$D$4)/(Controls!$D$2-Controls!$D$4))</f>
        <v>8.6254869226488583E-3</v>
      </c>
      <c r="G19" s="41" t="str">
        <f t="shared" si="1"/>
        <v>NEG</v>
      </c>
      <c r="H19" s="41" t="str">
        <f t="shared" si="2"/>
        <v>NEG</v>
      </c>
      <c r="I19" s="41" t="str">
        <f t="shared" si="3"/>
        <v>N</v>
      </c>
      <c r="J19" s="71"/>
      <c r="K19" s="71"/>
    </row>
    <row r="20" spans="1:11" ht="15" customHeight="1" thickBot="1">
      <c r="A20" s="70" t="s">
        <v>101</v>
      </c>
      <c r="B20" s="70" t="s">
        <v>55</v>
      </c>
      <c r="C20" s="41">
        <f>IF(Deepwell!I8="","",Deepwell!I8)</f>
        <v>103</v>
      </c>
      <c r="D20" s="42">
        <f>IF(ELISA!B24="","",ELISA!B24)</f>
        <v>2400788</v>
      </c>
      <c r="E20" s="43">
        <f>IF('450 nm - 600 nm'!D16="","",(('450 nm - 600 nm'!D16+'450 nm - 600 nm'!G16)/2)-(('450 nm - 600 nm'!J16+'450 nm - 600 nm'!M16)/2))</f>
        <v>0.29549999999999998</v>
      </c>
      <c r="F20" s="44">
        <f>IF(E20="","",(E20-Controls!$D$4)/(Controls!$D$2-Controls!$D$4))</f>
        <v>9.5158597662771266E-2</v>
      </c>
      <c r="G20" s="41" t="str">
        <f t="shared" si="1"/>
        <v>NEG</v>
      </c>
      <c r="H20" s="41" t="str">
        <f t="shared" si="2"/>
        <v>NEG</v>
      </c>
      <c r="I20" s="41" t="str">
        <f t="shared" si="3"/>
        <v>N</v>
      </c>
      <c r="J20" s="71"/>
      <c r="K20" s="71"/>
    </row>
    <row r="21" spans="1:11" ht="15" customHeight="1" thickBot="1">
      <c r="A21" s="70" t="s">
        <v>102</v>
      </c>
      <c r="B21" s="70" t="s">
        <v>56</v>
      </c>
      <c r="C21" s="41">
        <f>IF(Deepwell!I9="","",Deepwell!I9)</f>
        <v>104</v>
      </c>
      <c r="D21" s="42">
        <f>IF(ELISA!B25="","",ELISA!B25)</f>
        <v>2402772</v>
      </c>
      <c r="E21" s="43">
        <f>IF('450 nm - 600 nm'!D17="","",(('450 nm - 600 nm'!D17+'450 nm - 600 nm'!G17)/2)-(('450 nm - 600 nm'!J17+'450 nm - 600 nm'!M17)/2))</f>
        <v>2.8449999999999998</v>
      </c>
      <c r="F21" s="44">
        <f>IF(E21="","",(E21-Controls!$D$4)/(Controls!$D$2-Controls!$D$4))</f>
        <v>0.80453533667223132</v>
      </c>
      <c r="G21" s="41" t="str">
        <f t="shared" si="1"/>
        <v>POS</v>
      </c>
      <c r="H21" s="41" t="str">
        <f t="shared" si="2"/>
        <v>POS</v>
      </c>
      <c r="I21" s="41" t="str">
        <f t="shared" si="3"/>
        <v>P</v>
      </c>
      <c r="J21" s="71"/>
      <c r="K21" s="71"/>
    </row>
    <row r="22" spans="1:11" ht="15" customHeight="1" thickBot="1">
      <c r="A22" s="70" t="s">
        <v>103</v>
      </c>
      <c r="B22" s="70" t="s">
        <v>57</v>
      </c>
      <c r="C22" s="41">
        <f>IF(Deepwell!I10="","",Deepwell!I10)</f>
        <v>105</v>
      </c>
      <c r="D22" s="42">
        <f>IF(ELISA!B26="","",ELISA!B26)</f>
        <v>2400834</v>
      </c>
      <c r="E22" s="43">
        <f>IF('450 nm - 600 nm'!D18="","",(('450 nm - 600 nm'!D18+'450 nm - 600 nm'!G18)/2)-(('450 nm - 600 nm'!J18+'450 nm - 600 nm'!M18)/2))</f>
        <v>0.46350000000000002</v>
      </c>
      <c r="F22" s="44">
        <f>IF(E22="","",(E22-Controls!$D$4)/(Controls!$D$2-Controls!$D$4))</f>
        <v>0.14190317195325541</v>
      </c>
      <c r="G22" s="41" t="str">
        <f t="shared" si="1"/>
        <v>NEG</v>
      </c>
      <c r="H22" s="41" t="str">
        <f t="shared" si="2"/>
        <v>NEG</v>
      </c>
      <c r="I22" s="41" t="str">
        <f t="shared" si="3"/>
        <v>N</v>
      </c>
      <c r="J22" s="71"/>
      <c r="K22" s="71"/>
    </row>
    <row r="23" spans="1:11">
      <c r="C23" s="72"/>
    </row>
  </sheetData>
  <sheetProtection algorithmName="SHA-512" hashValue="Gm8YcWG4HpsNmNxPXoCu6cLfvFDtq6faItyAOemQqrgmACjEUrgFYGhj6/j7tDA5jc1GsiR1RcETjI8Y8R52/A==" saltValue="0IBl3CA4/TnoiivOPTULtg==" spinCount="100000" sheet="1" objects="1" scenarios="1"/>
  <protectedRanges>
    <protectedRange sqref="J2:K22" name="Range1"/>
  </protectedRanges>
  <autoFilter ref="A1:K1" xr:uid="{00000000-0001-0000-0500-000000000000}"/>
  <phoneticPr fontId="6" type="noConversion"/>
  <conditionalFormatting sqref="F2:F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H22">
    <cfRule type="containsText" dxfId="11" priority="4" operator="containsText" text="NEG">
      <formula>NOT(ISERROR(SEARCH("NEG",G2)))</formula>
    </cfRule>
    <cfRule type="containsText" dxfId="10" priority="26" operator="containsText" text="POS">
      <formula>NOT(ISERROR(SEARCH("POS",G2)))</formula>
    </cfRule>
  </conditionalFormatting>
  <conditionalFormatting sqref="I2:I22">
    <cfRule type="containsText" dxfId="9" priority="3" operator="containsText" text="P">
      <formula>NOT(ISERROR(SEARCH("P",I2)))</formula>
    </cfRule>
    <cfRule type="containsText" dxfId="8" priority="25" operator="containsText" text="N">
      <formula>NOT(ISERROR(SEARCH("N",I2)))</formula>
    </cfRule>
  </conditionalFormatting>
  <conditionalFormatting sqref="K2:K22">
    <cfRule type="cellIs" dxfId="7" priority="1" operator="equal">
      <formula>"v"</formula>
    </cfRule>
    <cfRule type="cellIs" dxfId="6" priority="2" operator="equal">
      <formula>"e"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G4"/>
  <sheetViews>
    <sheetView workbookViewId="0"/>
  </sheetViews>
  <sheetFormatPr defaultColWidth="10.85546875" defaultRowHeight="15"/>
  <cols>
    <col min="1" max="1" width="15.7109375" bestFit="1" customWidth="1"/>
    <col min="2" max="2" width="8.140625" bestFit="1" customWidth="1"/>
    <col min="3" max="3" width="18.42578125" customWidth="1"/>
    <col min="4" max="4" width="11.140625" customWidth="1"/>
    <col min="5" max="5" width="12.7109375" customWidth="1"/>
    <col min="6" max="6" width="11.42578125" customWidth="1"/>
    <col min="7" max="7" width="24.42578125" customWidth="1"/>
    <col min="8" max="8" width="2.7109375" customWidth="1"/>
    <col min="12" max="12" width="11.5703125" bestFit="1" customWidth="1"/>
  </cols>
  <sheetData>
    <row r="1" spans="1:7" ht="21.75" customHeight="1" thickBot="1">
      <c r="A1" s="59" t="s">
        <v>73</v>
      </c>
      <c r="B1" s="59" t="s">
        <v>74</v>
      </c>
      <c r="C1" s="59" t="s">
        <v>104</v>
      </c>
      <c r="D1" s="60" t="s">
        <v>77</v>
      </c>
      <c r="E1" s="59" t="s">
        <v>78</v>
      </c>
      <c r="F1" s="59" t="s">
        <v>105</v>
      </c>
      <c r="G1" s="61" t="s">
        <v>36</v>
      </c>
    </row>
    <row r="2" spans="1:7" ht="15" customHeight="1" thickBot="1">
      <c r="A2" s="41" t="s">
        <v>106</v>
      </c>
      <c r="B2" s="41" t="s">
        <v>107</v>
      </c>
      <c r="C2" s="42" t="str">
        <f>IF(ELISA!B28="","",ELISA!B28)</f>
        <v>CP</v>
      </c>
      <c r="D2" s="43">
        <f>IF('450 nm - 600 nm'!D20="","",(('450 nm - 600 nm'!D20+'450 nm - 600 nm'!G20)/2)-(('450 nm - 600 nm'!J20+'450 nm - 600 nm'!M20)/2))</f>
        <v>3.5475000000000003</v>
      </c>
      <c r="E2" s="44">
        <f>IF(D2="","",(D2-$D$4)/($D$2-$D$4))</f>
        <v>1</v>
      </c>
      <c r="F2" s="41" t="str">
        <f>IF(E2="","",IF(E2&gt;=50%,"POS","NEG"))</f>
        <v>POS</v>
      </c>
      <c r="G2" s="45" t="str">
        <f>IF(ELISA!C28="","",ELISA!C28)</f>
        <v/>
      </c>
    </row>
    <row r="3" spans="1:7" ht="15" customHeight="1" thickBot="1">
      <c r="A3" s="41" t="s">
        <v>108</v>
      </c>
      <c r="B3" s="41" t="s">
        <v>29</v>
      </c>
      <c r="C3" s="42" t="str">
        <f>IF(ELISA!B27="","",ELISA!B27)</f>
        <v>CC</v>
      </c>
      <c r="D3" s="43">
        <f>IF('450 nm - 600 nm'!D19="","",(('450 nm - 600 nm'!D19+'450 nm - 600 nm'!G19)/2)-(('450 nm - 600 nm'!J19+'450 nm - 600 nm'!M19)/2))</f>
        <v>3.4999999999999996E-3</v>
      </c>
      <c r="E3" s="44">
        <f>IF(D3="","",(D3-$D$4)/($D$2-$D$4))</f>
        <v>1.3912075681691708E-2</v>
      </c>
      <c r="F3" s="41" t="str">
        <f>IF(E3="","",IF(E3&gt;=50%,"POS","NEG"))</f>
        <v>NEG</v>
      </c>
      <c r="G3" s="45" t="str">
        <f>IF(ELISA!C27="","",ELISA!C27)</f>
        <v/>
      </c>
    </row>
    <row r="4" spans="1:7" ht="15" customHeight="1" thickBot="1">
      <c r="A4" s="41" t="s">
        <v>109</v>
      </c>
      <c r="B4" s="41" t="s">
        <v>110</v>
      </c>
      <c r="C4" s="42" t="str">
        <f>IF(ELISA!B29="","",ELISA!B29)</f>
        <v>CN</v>
      </c>
      <c r="D4" s="43">
        <f>IF('450 nm - 600 nm'!D21="","",(('450 nm - 600 nm'!D21+'450 nm - 600 nm'!G21)/2)-(('450 nm - 600 nm'!J21+'450 nm - 600 nm'!M21)/2))</f>
        <v>-4.65E-2</v>
      </c>
      <c r="E4" s="44">
        <f>IF(D4="","",(D4-$D$4)/($D$2-$D$4))</f>
        <v>0</v>
      </c>
      <c r="F4" s="41" t="str">
        <f t="shared" ref="F4" si="0">IF(E4="","",IF(E4&gt;=50%,"POS","NEG"))</f>
        <v>NEG</v>
      </c>
      <c r="G4" s="45" t="str">
        <f>IF(ELISA!C29="","",ELISA!C29)</f>
        <v/>
      </c>
    </row>
  </sheetData>
  <sheetProtection algorithmName="SHA-512" hashValue="WZnYg0wE4Npkkfe0gfe9PNMlIfEYpFO77blOhpXFlOzYQ8AZTAMWCUjR1zscQLoQy4/2J7RBdlMQRQr1ZWy9cg==" saltValue="PcPGjGUvSfDfnONUq/110g==" spinCount="100000" sheet="1" objects="1" scenarios="1"/>
  <conditionalFormatting sqref="D2:D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E4">
    <cfRule type="cellIs" dxfId="5" priority="74" operator="between">
      <formula>30</formula>
      <formula>200</formula>
    </cfRule>
    <cfRule type="cellIs" dxfId="4" priority="75" operator="between">
      <formula>25</formula>
      <formula>29</formula>
    </cfRule>
  </conditionalFormatting>
  <conditionalFormatting sqref="F2:F4">
    <cfRule type="containsText" dxfId="3" priority="27" operator="containsText" text="NEG">
      <formula>NOT(ISERROR(SEARCH("NEG",F2)))</formula>
    </cfRule>
    <cfRule type="containsText" dxfId="2" priority="28" operator="containsText" text="POS">
      <formula>NOT(ISERROR(SEARCH("POS",F2)))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27"/>
  <sheetViews>
    <sheetView tabSelected="1" zoomScaleNormal="100" workbookViewId="0"/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2" t="s">
        <v>111</v>
      </c>
      <c r="C2" s="53">
        <v>30</v>
      </c>
    </row>
    <row r="3" spans="2:4" ht="15.75" thickBot="1"/>
    <row r="4" spans="2:4" ht="15.75" thickBot="1">
      <c r="B4" s="80" t="s">
        <v>74</v>
      </c>
      <c r="C4" s="80" t="s">
        <v>104</v>
      </c>
      <c r="D4" s="58" t="s">
        <v>112</v>
      </c>
    </row>
    <row r="5" spans="2:4" ht="15.75" thickBot="1">
      <c r="B5" s="80"/>
      <c r="C5" s="80"/>
      <c r="D5" s="57" t="s">
        <v>113</v>
      </c>
    </row>
    <row r="6" spans="2:4" ht="15.75" thickBot="1">
      <c r="B6" s="54" t="s">
        <v>37</v>
      </c>
      <c r="C6" s="55">
        <f>IF(ELISA!B6="","",ELISA!B6)</f>
        <v>2400833</v>
      </c>
      <c r="D6" s="55" t="str">
        <f>IF('450 nm - 600 nm'!B14="","",IF(ABS(1-('450 nm - 600 nm'!B14/'450 nm - 600 nm'!E14))&lt;($C$2/100),"OK","NOK"))</f>
        <v>OK</v>
      </c>
    </row>
    <row r="7" spans="2:4" ht="15.75" thickBot="1">
      <c r="B7" s="41" t="s">
        <v>38</v>
      </c>
      <c r="C7" s="42">
        <f>IF(ELISA!B7="","",ELISA!B7)</f>
        <v>2400830</v>
      </c>
      <c r="D7" s="55" t="str">
        <f>IF('450 nm - 600 nm'!B15="","",IF(ABS(1-('450 nm - 600 nm'!B15/'450 nm - 600 nm'!E15))&lt;($C$2/100),"OK","NOK"))</f>
        <v>OK</v>
      </c>
    </row>
    <row r="8" spans="2:4" ht="15.75" thickBot="1">
      <c r="B8" s="41" t="s">
        <v>39</v>
      </c>
      <c r="C8" s="42">
        <f>IF(ELISA!B8="","",ELISA!B8)</f>
        <v>2400899</v>
      </c>
      <c r="D8" s="55" t="str">
        <f>IF('450 nm - 600 nm'!B16="","",IF(ABS(1-('450 nm - 600 nm'!B16/'450 nm - 600 nm'!E16))&lt;($C$2/100),"OK","NOK"))</f>
        <v>NOK</v>
      </c>
    </row>
    <row r="9" spans="2:4" ht="15.75" thickBot="1">
      <c r="B9" s="41" t="s">
        <v>40</v>
      </c>
      <c r="C9" s="42">
        <f>IF(ELISA!B9="","",ELISA!B9)</f>
        <v>2402768</v>
      </c>
      <c r="D9" s="55" t="str">
        <f>IF('450 nm - 600 nm'!B17="","",IF(ABS(1-('450 nm - 600 nm'!B17/'450 nm - 600 nm'!E17))&lt;($C$2/100),"OK","NOK"))</f>
        <v>OK</v>
      </c>
    </row>
    <row r="10" spans="2:4" ht="15.75" thickBot="1">
      <c r="B10" s="41" t="s">
        <v>41</v>
      </c>
      <c r="C10" s="42">
        <f>IF(ELISA!B10="","",ELISA!B10)</f>
        <v>2402775</v>
      </c>
      <c r="D10" s="55" t="str">
        <f>IF('450 nm - 600 nm'!B18="","",IF(ABS(1-('450 nm - 600 nm'!B18/'450 nm - 600 nm'!E18))&lt;($C$2/100),"OK","NOK"))</f>
        <v>NOK</v>
      </c>
    </row>
    <row r="11" spans="2:4" ht="15.75" thickBot="1">
      <c r="B11" s="41" t="s">
        <v>42</v>
      </c>
      <c r="C11" s="42">
        <f>IF(ELISA!B11="","",ELISA!B11)</f>
        <v>2402766</v>
      </c>
      <c r="D11" s="55" t="str">
        <f>IF('450 nm - 600 nm'!B19="","",IF(ABS(1-('450 nm - 600 nm'!B19/'450 nm - 600 nm'!E19))&lt;($C$2/100),"OK","NOK"))</f>
        <v>NOK</v>
      </c>
    </row>
    <row r="12" spans="2:4" ht="15.75" thickBot="1">
      <c r="B12" s="41" t="s">
        <v>43</v>
      </c>
      <c r="C12" s="42">
        <f>IF(ELISA!B12="","",ELISA!B12)</f>
        <v>2500112</v>
      </c>
      <c r="D12" s="55" t="str">
        <f>IF('450 nm - 600 nm'!B20="","",IF(ABS(1-('450 nm - 600 nm'!B20/'450 nm - 600 nm'!E20))&lt;($C$2/100),"OK","NOK"))</f>
        <v>NOK</v>
      </c>
    </row>
    <row r="13" spans="2:4" ht="15.75" thickBot="1">
      <c r="B13" s="41" t="s">
        <v>44</v>
      </c>
      <c r="C13" s="42">
        <f>IF(ELISA!B13="","",ELISA!B13)</f>
        <v>2500075</v>
      </c>
      <c r="D13" s="55" t="str">
        <f>IF('450 nm - 600 nm'!B21="","",IF(ABS(1-('450 nm - 600 nm'!B21/'450 nm - 600 nm'!E21))&lt;($C$2/100),"OK","NOK"))</f>
        <v>OK</v>
      </c>
    </row>
    <row r="14" spans="2:4" ht="15.75" thickBot="1">
      <c r="B14" s="41" t="s">
        <v>45</v>
      </c>
      <c r="C14" s="42">
        <f>IF(ELISA!B14="","",ELISA!B14)</f>
        <v>2402965</v>
      </c>
      <c r="D14" s="55" t="str">
        <f>IF('450 nm - 600 nm'!C14="","",IF(ABS(1-('450 nm - 600 nm'!C14/'450 nm - 600 nm'!F14))&lt;($C$2/100),"OK","NOK"))</f>
        <v>NOK</v>
      </c>
    </row>
    <row r="15" spans="2:4" ht="15.75" thickBot="1">
      <c r="B15" s="41" t="s">
        <v>46</v>
      </c>
      <c r="C15" s="42">
        <f>IF(ELISA!B15="","",ELISA!B15)</f>
        <v>2400785</v>
      </c>
      <c r="D15" s="55" t="str">
        <f>IF('450 nm - 600 nm'!C15="","",IF(ABS(1-('450 nm - 600 nm'!C15/'450 nm - 600 nm'!F15))&lt;($C$2/100),"OK","NOK"))</f>
        <v>NOK</v>
      </c>
    </row>
    <row r="16" spans="2:4" ht="15.75" thickBot="1">
      <c r="B16" s="41" t="s">
        <v>47</v>
      </c>
      <c r="C16" s="42">
        <f>IF(ELISA!B16="","",ELISA!B16)</f>
        <v>2402579</v>
      </c>
      <c r="D16" s="55" t="str">
        <f>IF('450 nm - 600 nm'!C16="","",IF(ABS(1-('450 nm - 600 nm'!C16/'450 nm - 600 nm'!F16))&lt;($C$2/100),"OK","NOK"))</f>
        <v>OK</v>
      </c>
    </row>
    <row r="17" spans="2:4" ht="15.75" thickBot="1">
      <c r="B17" s="41" t="s">
        <v>48</v>
      </c>
      <c r="C17" s="42">
        <f>IF(ELISA!B17="","",ELISA!B17)</f>
        <v>2500033</v>
      </c>
      <c r="D17" s="55" t="str">
        <f>IF('450 nm - 600 nm'!C17="","",IF(ABS(1-('450 nm - 600 nm'!C17/'450 nm - 600 nm'!F17))&lt;($C$2/100),"OK","NOK"))</f>
        <v>OK</v>
      </c>
    </row>
    <row r="18" spans="2:4" ht="15.75" thickBot="1">
      <c r="B18" s="41" t="s">
        <v>49</v>
      </c>
      <c r="C18" s="42">
        <f>IF(ELISA!B18="","",ELISA!B18)</f>
        <v>2402783</v>
      </c>
      <c r="D18" s="55" t="str">
        <f>IF('450 nm - 600 nm'!C18="","",IF(ABS(1-('450 nm - 600 nm'!C18/'450 nm - 600 nm'!F18))&lt;($C$2/100),"OK","NOK"))</f>
        <v>OK</v>
      </c>
    </row>
    <row r="19" spans="2:4" ht="15.75" thickBot="1">
      <c r="B19" s="41" t="s">
        <v>50</v>
      </c>
      <c r="C19" s="42">
        <f>IF(ELISA!B19="","",ELISA!B19)</f>
        <v>2500163</v>
      </c>
      <c r="D19" s="55" t="str">
        <f>IF('450 nm - 600 nm'!C19="","",IF(ABS(1-('450 nm - 600 nm'!C19/'450 nm - 600 nm'!F19))&lt;($C$2/100),"OK","NOK"))</f>
        <v>OK</v>
      </c>
    </row>
    <row r="20" spans="2:4" ht="15.75" thickBot="1">
      <c r="B20" s="41" t="s">
        <v>51</v>
      </c>
      <c r="C20" s="42">
        <f>IF(ELISA!B20="","",ELISA!B20)</f>
        <v>2500165</v>
      </c>
      <c r="D20" s="55" t="str">
        <f>IF('450 nm - 600 nm'!C20="","",IF(ABS(1-('450 nm - 600 nm'!C20/'450 nm - 600 nm'!F20))&lt;($C$2/100),"OK","NOK"))</f>
        <v>OK</v>
      </c>
    </row>
    <row r="21" spans="2:4" ht="15.75" thickBot="1">
      <c r="B21" s="41" t="s">
        <v>52</v>
      </c>
      <c r="C21" s="42">
        <f>IF(ELISA!B21="","",ELISA!B21)</f>
        <v>2500164</v>
      </c>
      <c r="D21" s="55" t="str">
        <f>IF('450 nm - 600 nm'!C21="","",IF(ABS(1-('450 nm - 600 nm'!C21/'450 nm - 600 nm'!F21))&lt;($C$2/100),"OK","NOK"))</f>
        <v>OK</v>
      </c>
    </row>
    <row r="22" spans="2:4" ht="15.75" thickBot="1">
      <c r="B22" s="41" t="s">
        <v>53</v>
      </c>
      <c r="C22" s="42">
        <f>IF(ELISA!B22="","",ELISA!B22)</f>
        <v>2500158</v>
      </c>
      <c r="D22" s="55" t="str">
        <f>IF('450 nm - 600 nm'!D14="","",IF(ABS(1-('450 nm - 600 nm'!D14/'450 nm - 600 nm'!G14))&lt;($C$2/100),"OK","NOK"))</f>
        <v>NOK</v>
      </c>
    </row>
    <row r="23" spans="2:4" ht="15.75" thickBot="1">
      <c r="B23" s="41" t="s">
        <v>54</v>
      </c>
      <c r="C23" s="42">
        <f>IF(ELISA!B23="","",ELISA!B23)</f>
        <v>2500115</v>
      </c>
      <c r="D23" s="55" t="str">
        <f>IF('450 nm - 600 nm'!D15="","",IF(ABS(1-('450 nm - 600 nm'!D15/'450 nm - 600 nm'!G15))&lt;($C$2/100),"OK","NOK"))</f>
        <v>OK</v>
      </c>
    </row>
    <row r="24" spans="2:4" ht="15.75" thickBot="1">
      <c r="B24" s="41" t="s">
        <v>55</v>
      </c>
      <c r="C24" s="42">
        <f>IF(ELISA!B24="","",ELISA!B24)</f>
        <v>2400788</v>
      </c>
      <c r="D24" s="55" t="str">
        <f>IF('450 nm - 600 nm'!D16="","",IF(ABS(1-('450 nm - 600 nm'!D16/'450 nm - 600 nm'!G16))&lt;($C$2/100),"OK","NOK"))</f>
        <v>OK</v>
      </c>
    </row>
    <row r="25" spans="2:4" ht="15.75" thickBot="1">
      <c r="B25" s="41" t="s">
        <v>56</v>
      </c>
      <c r="C25" s="42">
        <f>IF(ELISA!B25="","",ELISA!B25)</f>
        <v>2402772</v>
      </c>
      <c r="D25" s="55" t="str">
        <f>IF('450 nm - 600 nm'!D17="","",IF(ABS(1-('450 nm - 600 nm'!D17/'450 nm - 600 nm'!G17))&lt;($C$2/100),"OK","NOK"))</f>
        <v>OK</v>
      </c>
    </row>
    <row r="26" spans="2:4" ht="15.75" thickBot="1">
      <c r="B26" s="41" t="s">
        <v>57</v>
      </c>
      <c r="C26" s="42">
        <f>IF(ELISA!B26="","",ELISA!B26)</f>
        <v>2400834</v>
      </c>
      <c r="D26" s="55" t="str">
        <f>IF('450 nm - 600 nm'!D18="","",IF(ABS(1-('450 nm - 600 nm'!D18/'450 nm - 600 nm'!G18))&lt;($C$2/100),"OK","NOK"))</f>
        <v>OK</v>
      </c>
    </row>
    <row r="27" spans="2:4" ht="15.75" thickBot="1">
      <c r="B27" s="41" t="s">
        <v>31</v>
      </c>
      <c r="C27" s="56" t="str">
        <f>IF(ELISA!B28="","",ELISA!B28)</f>
        <v>CP</v>
      </c>
      <c r="D27" s="55" t="str">
        <f>IF('450 nm - 600 nm'!D20="","",IF(ABS(1-('450 nm - 600 nm'!D20/'450 nm - 600 nm'!G20))&lt;($C$2/100),"OK","NOK"))</f>
        <v>OK</v>
      </c>
    </row>
  </sheetData>
  <sheetProtection algorithmName="SHA-512" hashValue="vrZUOs7+t+mh2nc8gImqLtjFICGsnQhVPAHX7obIF3+cRZXEJbDLIf9rZFvFjshzB489BAGLT7qqA51SjmnCDQ==" saltValue="QSqte2fbPYXhJK4Hx+tbz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2025-08-08T10:20:59+00:00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9BBFB0-3340-4E8A-B7A9-D0BA333C0EA3}"/>
</file>

<file path=customXml/itemProps2.xml><?xml version="1.0" encoding="utf-8"?>
<ds:datastoreItem xmlns:ds="http://schemas.openxmlformats.org/officeDocument/2006/customXml" ds:itemID="{9464FFFC-AF77-4E8D-9623-96E4D8A8E8AF}"/>
</file>

<file path=customXml/itemProps3.xml><?xml version="1.0" encoding="utf-8"?>
<ds:datastoreItem xmlns:ds="http://schemas.openxmlformats.org/officeDocument/2006/customXml" ds:itemID="{9323018E-4A34-4FA3-A282-BA3DEC3A19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2025-08-09T11:00:11Z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