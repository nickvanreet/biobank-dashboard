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5BB690F0-C92F-42BA-B955-598E5D934891}" xr6:coauthVersionLast="47" xr6:coauthVersionMax="47" xr10:uidLastSave="{00000000-0000-0000-0000-00000000000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20" yWindow="-120" windowWidth="29040" windowHeight="15840" tabRatio="809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<sst xmlns="http://schemas.openxmlformats.org/spreadsheetml/2006/main" count="191" uniqueCount="117">
  <si>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</si>
  <si>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</si>
  <si>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</si>
  <si>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Dépistage pasif</t>
  </si>
  <si>
    <t>Date</t>
  </si>
  <si>
    <t>Operator</t>
  </si>
  <si>
    <t>Henriette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</si>
  <si>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</si>
  <si>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</si>
  <si>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</si>
  <si>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</si>
  <si>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</si>
  <si>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</si>
  <si>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WB2/251122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</si>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</sst>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tabSelected="1" zoomScaleNormal="100" workbookViewId="0">
      <selection activeCell="C25" sqref="C2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 t="s">
        <v>3</v>
      </c>
    </row>
    <row r="6" spans="1:6" ht="18.75">
      <c r="A6" s="2"/>
      <c r="B6" s="40" t="s">
        <v>4</v>
      </c>
      <c r="C6" s="23">
        <v>45847</v>
      </c>
    </row>
    <row r="7" spans="1:6" ht="18.75">
      <c r="A7" s="2"/>
      <c r="B7" s="40" t="s">
        <v>5</v>
      </c>
      <c r="C7" s="24" t="s">
        <v>6</v>
      </c>
    </row>
    <row r="8" spans="1:6" ht="18.75">
      <c r="A8" s="2"/>
    </row>
    <row r="9" spans="1:6" ht="18.75">
      <c r="A9" s="2" t="s">
        <v>7</v>
      </c>
    </row>
    <row r="11" spans="1:6">
      <c r="B11" s="40" t="s">
        <v>8</v>
      </c>
      <c r="C11" s="23">
        <v>45819</v>
      </c>
    </row>
    <row r="12" spans="1:6">
      <c r="B12" s="40" t="s">
        <v>9</v>
      </c>
      <c r="C12" s="23">
        <v>45847</v>
      </c>
    </row>
    <row r="14" spans="1:6" ht="18.75">
      <c r="A14" s="2" t="s">
        <v>10</v>
      </c>
    </row>
    <row r="16" spans="1:6">
      <c r="B16" s="40" t="s">
        <v>11</v>
      </c>
      <c r="C16" s="24">
        <v>51124</v>
      </c>
    </row>
    <row r="17" spans="1:3">
      <c r="B17" s="40" t="s">
        <v>12</v>
      </c>
      <c r="C17" s="24" t="s">
        <v>13</v>
      </c>
    </row>
    <row r="18" spans="1:3">
      <c r="B18" s="40" t="s">
        <v>14</v>
      </c>
      <c r="C18" s="24">
        <v>240411</v>
      </c>
    </row>
    <row r="19" spans="1:3">
      <c r="B19" s="40" t="s">
        <v>15</v>
      </c>
      <c r="C19" s="24">
        <v>51124</v>
      </c>
    </row>
    <row r="21" spans="1:3" ht="18.75">
      <c r="A21" s="2" t="s">
        <v>16</v>
      </c>
    </row>
    <row r="23" spans="1:3">
      <c r="B23" s="40" t="s">
        <v>17</v>
      </c>
      <c r="C23" s="24" t="s">
        <v>18</v>
      </c>
    </row>
    <row r="24" spans="1:3">
      <c r="B24" s="40" t="s">
        <v>19</v>
      </c>
      <c r="C24" s="24" t="s">
        <v>20</v>
      </c>
    </row>
    <row r="25" spans="1:3">
      <c r="B25" s="40" t="s">
        <v>21</v>
      </c>
      <c r="C25" s="23"/>
    </row>
    <row r="26" spans="1:3">
      <c r="B26" s="40" t="s">
        <v>22</v>
      </c>
      <c r="C26" s="23"/>
    </row>
    <row r="28" spans="1:3" ht="18.75">
      <c r="A28" s="2" t="s">
        <v>23</v>
      </c>
      <c r="C28" s="24">
        <v>4</v>
      </c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I10" sqref="I10"/>
    </sheetView>
  </sheetViews>
  <sheetFormatPr defaultColWidth="10.85546875" defaultRowHeight="15"/>
  <sheetData>
    <row r="1" spans="1:9" ht="18.75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75">
      <c r="A3" s="14" t="s">
        <v>24</v>
      </c>
      <c r="B3" s="14"/>
      <c r="C3" s="14"/>
      <c r="F3" s="14" t="s">
        <v>25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26</v>
      </c>
      <c r="B6" s="65">
        <v>2402795</v>
      </c>
      <c r="C6" s="65">
        <v>2402789</v>
      </c>
      <c r="D6" s="65">
        <v>2402483</v>
      </c>
      <c r="F6" s="7" t="s">
        <v>26</v>
      </c>
      <c r="G6" s="66">
        <v>64</v>
      </c>
      <c r="H6" s="66">
        <v>72</v>
      </c>
      <c r="I6" s="66">
        <v>80</v>
      </c>
    </row>
    <row r="7" spans="1:9">
      <c r="A7" s="7" t="s">
        <v>27</v>
      </c>
      <c r="B7" s="65">
        <v>2402770</v>
      </c>
      <c r="C7" s="65">
        <v>2500168</v>
      </c>
      <c r="D7" s="65">
        <v>2500143</v>
      </c>
      <c r="F7" s="7" t="s">
        <v>27</v>
      </c>
      <c r="G7" s="66">
        <v>65</v>
      </c>
      <c r="H7" s="66">
        <v>73</v>
      </c>
      <c r="I7" s="66">
        <v>81</v>
      </c>
    </row>
    <row r="8" spans="1:9">
      <c r="A8" s="7" t="s">
        <v>28</v>
      </c>
      <c r="B8" s="65">
        <v>2402404</v>
      </c>
      <c r="C8" s="65">
        <v>2500159</v>
      </c>
      <c r="D8" s="65">
        <v>2500147</v>
      </c>
      <c r="F8" s="7" t="s">
        <v>28</v>
      </c>
      <c r="G8" s="66">
        <v>66</v>
      </c>
      <c r="H8" s="66">
        <v>74</v>
      </c>
      <c r="I8" s="66">
        <v>82</v>
      </c>
    </row>
    <row r="9" spans="1:9">
      <c r="A9" s="7" t="s">
        <v>29</v>
      </c>
      <c r="B9" s="65">
        <v>2500144</v>
      </c>
      <c r="C9" s="65">
        <v>2400837</v>
      </c>
      <c r="D9" s="65">
        <v>2500114</v>
      </c>
      <c r="F9" s="7" t="s">
        <v>29</v>
      </c>
      <c r="G9" s="66">
        <v>67</v>
      </c>
      <c r="H9" s="66">
        <v>75</v>
      </c>
      <c r="I9" s="66">
        <v>83</v>
      </c>
    </row>
    <row r="10" spans="1:9">
      <c r="A10" s="7" t="s">
        <v>30</v>
      </c>
      <c r="B10" s="65">
        <v>2500035</v>
      </c>
      <c r="C10" s="65">
        <v>2500135</v>
      </c>
      <c r="D10" s="65">
        <v>2400706</v>
      </c>
      <c r="F10" s="7" t="s">
        <v>30</v>
      </c>
      <c r="G10" s="66">
        <v>68</v>
      </c>
      <c r="H10" s="66">
        <v>76</v>
      </c>
      <c r="I10" s="66">
        <v>84</v>
      </c>
    </row>
    <row r="11" spans="1:9">
      <c r="A11" s="7" t="s">
        <v>31</v>
      </c>
      <c r="B11" s="65">
        <v>2500140</v>
      </c>
      <c r="C11" s="65">
        <v>2500137</v>
      </c>
      <c r="D11" s="46" t="s">
        <v>32</v>
      </c>
      <c r="F11" s="7" t="s">
        <v>31</v>
      </c>
      <c r="G11" s="66">
        <v>69</v>
      </c>
      <c r="H11" s="66">
        <v>77</v>
      </c>
      <c r="I11" s="46" t="s">
        <v>32</v>
      </c>
    </row>
    <row r="12" spans="1:9">
      <c r="A12" s="7" t="s">
        <v>33</v>
      </c>
      <c r="B12" s="65">
        <v>2402481</v>
      </c>
      <c r="C12" s="65">
        <v>2400886</v>
      </c>
      <c r="D12" s="47" t="s">
        <v>34</v>
      </c>
      <c r="F12" s="7" t="s">
        <v>33</v>
      </c>
      <c r="G12" s="66">
        <v>70</v>
      </c>
      <c r="H12" s="66">
        <v>78</v>
      </c>
      <c r="I12" s="47" t="s">
        <v>34</v>
      </c>
    </row>
    <row r="13" spans="1:9">
      <c r="A13" s="7" t="s">
        <v>35</v>
      </c>
      <c r="B13" s="65">
        <v>2402867</v>
      </c>
      <c r="C13" s="65">
        <v>2400891</v>
      </c>
      <c r="D13" s="48" t="s">
        <v>36</v>
      </c>
      <c r="F13" s="7" t="s">
        <v>35</v>
      </c>
      <c r="G13" s="66">
        <v>71</v>
      </c>
      <c r="H13" s="66">
        <v>79</v>
      </c>
      <c r="I13" s="48" t="s">
        <v>36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</cols>
  <sheetData>
    <row r="1" spans="1:3" ht="18.75">
      <c r="A1" s="14" t="s">
        <v>0</v>
      </c>
      <c r="B1" s="14"/>
      <c r="C1" s="14"/>
    </row>
    <row r="2" spans="1:3" ht="18.75">
      <c r="A2" s="2"/>
      <c r="B2" s="2"/>
      <c r="C2" s="2"/>
    </row>
    <row r="3" spans="1:3" ht="18.75">
      <c r="A3" s="2" t="s">
        <v>37</v>
      </c>
      <c r="B3" s="2"/>
      <c r="C3" s="2"/>
    </row>
    <row r="4" spans="1:3" ht="20.100000000000001" customHeight="1" thickBot="1">
      <c r="A4" s="6"/>
      <c r="B4" s="6"/>
      <c r="C4" s="6"/>
    </row>
    <row r="5" spans="1:3" ht="17.25" thickTop="1" thickBot="1">
      <c r="A5" s="15"/>
      <c r="B5" s="19" t="s">
        <v>38</v>
      </c>
      <c r="C5" s="20" t="s">
        <v>39</v>
      </c>
    </row>
    <row r="6" spans="1:3" ht="20.100000000000001" customHeight="1" thickTop="1">
      <c r="A6" s="21" t="s">
        <v>40</v>
      </c>
      <c r="B6" s="49">
        <f>IF(Deepwell!B6="","",Deepwell!B6)</f>
        <v>2402795</v>
      </c>
      <c r="C6" s="18"/>
    </row>
    <row r="7" spans="1:3" ht="20.100000000000001" customHeight="1">
      <c r="A7" s="22" t="s">
        <v>41</v>
      </c>
      <c r="B7" s="50">
        <f>IF(Deepwell!B7="","",Deepwell!B7)</f>
        <v>2402770</v>
      </c>
      <c r="C7" s="18"/>
    </row>
    <row r="8" spans="1:3" ht="20.100000000000001" customHeight="1">
      <c r="A8" s="22" t="s">
        <v>42</v>
      </c>
      <c r="B8" s="50">
        <f>IF(Deepwell!B8="","",Deepwell!B8)</f>
        <v>2402404</v>
      </c>
      <c r="C8" s="18"/>
    </row>
    <row r="9" spans="1:3" ht="20.100000000000001" customHeight="1">
      <c r="A9" s="22" t="s">
        <v>43</v>
      </c>
      <c r="B9" s="50">
        <f>IF(Deepwell!B9="","",Deepwell!B9)</f>
        <v>2500144</v>
      </c>
      <c r="C9" s="18"/>
    </row>
    <row r="10" spans="1:3" ht="20.100000000000001" customHeight="1">
      <c r="A10" s="22" t="s">
        <v>44</v>
      </c>
      <c r="B10" s="50">
        <f>IF(Deepwell!B10="","",Deepwell!B10)</f>
        <v>2500035</v>
      </c>
      <c r="C10" s="18"/>
    </row>
    <row r="11" spans="1:3" ht="20.100000000000001" customHeight="1">
      <c r="A11" s="22" t="s">
        <v>45</v>
      </c>
      <c r="B11" s="50">
        <f>IF(Deepwell!B11="","",Deepwell!B11)</f>
        <v>2500140</v>
      </c>
      <c r="C11" s="18"/>
    </row>
    <row r="12" spans="1:3" ht="20.100000000000001" customHeight="1">
      <c r="A12" s="22" t="s">
        <v>46</v>
      </c>
      <c r="B12" s="50">
        <f>IF(Deepwell!B12="","",Deepwell!B12)</f>
        <v>2402481</v>
      </c>
      <c r="C12" s="18"/>
    </row>
    <row r="13" spans="1:3" ht="20.100000000000001" customHeight="1">
      <c r="A13" s="22" t="s">
        <v>47</v>
      </c>
      <c r="B13" s="50">
        <f>IF(Deepwell!B13="","",Deepwell!B13)</f>
        <v>2402867</v>
      </c>
      <c r="C13" s="18"/>
    </row>
    <row r="14" spans="1:3" ht="20.100000000000001" customHeight="1">
      <c r="A14" s="22" t="s">
        <v>48</v>
      </c>
      <c r="B14" s="50">
        <f>IF(Deepwell!C6="","",Deepwell!C6)</f>
        <v>2402789</v>
      </c>
      <c r="C14" s="18"/>
    </row>
    <row r="15" spans="1:3" ht="20.100000000000001" customHeight="1">
      <c r="A15" s="22" t="s">
        <v>49</v>
      </c>
      <c r="B15" s="50">
        <f>IF(Deepwell!C7="","",Deepwell!C7)</f>
        <v>2500168</v>
      </c>
      <c r="C15" s="18"/>
    </row>
    <row r="16" spans="1:3" ht="20.100000000000001" customHeight="1">
      <c r="A16" s="22" t="s">
        <v>50</v>
      </c>
      <c r="B16" s="50">
        <f>IF(Deepwell!C8="","",Deepwell!C8)</f>
        <v>2500159</v>
      </c>
      <c r="C16" s="18"/>
    </row>
    <row r="17" spans="1:3" ht="20.100000000000001" customHeight="1">
      <c r="A17" s="22" t="s">
        <v>51</v>
      </c>
      <c r="B17" s="50">
        <f>IF(Deepwell!C9="","",Deepwell!C9)</f>
        <v>2400837</v>
      </c>
      <c r="C17" s="18"/>
    </row>
    <row r="18" spans="1:3" ht="20.100000000000001" customHeight="1">
      <c r="A18" s="22" t="s">
        <v>52</v>
      </c>
      <c r="B18" s="50">
        <f>IF(Deepwell!C10="","",Deepwell!C10)</f>
        <v>2500135</v>
      </c>
      <c r="C18" s="18"/>
    </row>
    <row r="19" spans="1:3" ht="20.100000000000001" customHeight="1">
      <c r="A19" s="22" t="s">
        <v>53</v>
      </c>
      <c r="B19" s="50">
        <f>IF(Deepwell!C11="","",Deepwell!C11)</f>
        <v>2500137</v>
      </c>
      <c r="C19" s="18"/>
    </row>
    <row r="20" spans="1:3" ht="20.100000000000001" customHeight="1">
      <c r="A20" s="22" t="s">
        <v>54</v>
      </c>
      <c r="B20" s="50">
        <f>IF(Deepwell!C12="","",Deepwell!C12)</f>
        <v>2400886</v>
      </c>
      <c r="C20" s="18"/>
    </row>
    <row r="21" spans="1:3" ht="20.100000000000001" customHeight="1">
      <c r="A21" s="22" t="s">
        <v>55</v>
      </c>
      <c r="B21" s="50">
        <f>IF(Deepwell!C13="","",Deepwell!C13)</f>
        <v>2400891</v>
      </c>
      <c r="C21" s="18"/>
    </row>
    <row r="22" spans="1:3" ht="20.100000000000001" customHeight="1">
      <c r="A22" s="22" t="s">
        <v>56</v>
      </c>
      <c r="B22" s="50">
        <f>IF(Deepwell!D6="","",Deepwell!D6)</f>
        <v>2402483</v>
      </c>
      <c r="C22" s="18"/>
    </row>
    <row r="23" spans="1:3" ht="20.100000000000001" customHeight="1">
      <c r="A23" s="22" t="s">
        <v>57</v>
      </c>
      <c r="B23" s="50">
        <f>IF(Deepwell!D7="","",Deepwell!D7)</f>
        <v>2500143</v>
      </c>
      <c r="C23" s="18"/>
    </row>
    <row r="24" spans="1:3" ht="20.100000000000001" customHeight="1">
      <c r="A24" s="22" t="s">
        <v>58</v>
      </c>
      <c r="B24" s="50">
        <f>IF(Deepwell!D8="","",Deepwell!D8)</f>
        <v>2500147</v>
      </c>
      <c r="C24" s="18"/>
    </row>
    <row r="25" spans="1:3" ht="20.100000000000001" customHeight="1">
      <c r="A25" s="22" t="s">
        <v>59</v>
      </c>
      <c r="B25" s="50">
        <f>IF(Deepwell!D9="","",Deepwell!D9)</f>
        <v>2500114</v>
      </c>
      <c r="C25" s="18"/>
    </row>
    <row r="26" spans="1:3" ht="20.100000000000001" customHeight="1">
      <c r="A26" s="22" t="s">
        <v>60</v>
      </c>
      <c r="B26" s="50">
        <f>IF(Deepwell!D10="","",Deepwell!D10)</f>
        <v>2400706</v>
      </c>
      <c r="C26" s="18"/>
    </row>
    <row r="27" spans="1:3" ht="20.100000000000001" customHeight="1">
      <c r="A27" s="22" t="s">
        <v>61</v>
      </c>
      <c r="B27" s="50" t="str">
        <f>IF(Deepwell!D11="","",Deepwell!D11)</f>
        <v>CC</v>
      </c>
      <c r="C27" s="16"/>
    </row>
    <row r="28" spans="1:3" ht="20.100000000000001" customHeight="1">
      <c r="A28" s="38" t="s">
        <v>62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63</v>
      </c>
      <c r="B29" s="51" t="str">
        <f>IF(Deepwell!D13="","",Deepwell!D13)</f>
        <v>CN</v>
      </c>
      <c r="C29" s="17"/>
    </row>
    <row r="30" spans="1:3" ht="15.75" thickTop="1"/>
    <row r="31" spans="1:3">
      <c r="A31" t="s">
        <v>64</v>
      </c>
    </row>
    <row r="32" spans="1:3">
      <c r="A32" t="s">
        <v>65</v>
      </c>
    </row>
    <row r="33" spans="1:1">
      <c r="A33" t="s">
        <v>66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E19" sqref="E19"/>
    </sheetView>
  </sheetViews>
  <sheetFormatPr defaultColWidth="10.85546875" defaultRowHeight="15"/>
  <cols>
    <col min="1" max="1" width="5.42578125" customWidth="1"/>
    <col min="2" max="13" width="12.140625" customWidth="1"/>
  </cols>
  <sheetData>
    <row r="1" spans="1:17" ht="18.75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75">
      <c r="A3" s="2" t="s">
        <v>67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68</v>
      </c>
      <c r="B5" s="75"/>
      <c r="C5" s="62">
        <f>IF(Batch!C6="","",Batch!C6)</f>
        <v>45847</v>
      </c>
      <c r="E5" s="25" t="s">
        <v>69</v>
      </c>
      <c r="F5" s="77" t="str">
        <f>IF(Batch!C5="","",Batch!C5)</f>
        <v>Dépistage pasif</v>
      </c>
      <c r="G5" s="78"/>
      <c r="H5" s="79"/>
    </row>
    <row r="6" spans="1:17" ht="20.100000000000001" customHeight="1">
      <c r="A6" s="74" t="s">
        <v>70</v>
      </c>
      <c r="B6" s="75"/>
      <c r="C6" s="62" t="str">
        <f>IF(Batch!C7="","",Batch!C7)</f>
        <v>Henriette</v>
      </c>
    </row>
    <row r="7" spans="1:17" ht="20.100000000000001" customHeight="1">
      <c r="A7" s="74" t="s">
        <v>71</v>
      </c>
      <c r="B7" s="75"/>
      <c r="C7" s="63">
        <f>IF(Batch!C18="","",Batch!C18)</f>
        <v>240411</v>
      </c>
    </row>
    <row r="8" spans="1:17" ht="20.100000000000001" customHeight="1">
      <c r="A8" s="74" t="s">
        <v>72</v>
      </c>
      <c r="B8" s="75"/>
      <c r="C8" s="63">
        <f>IF(Batch!C28="","",Batch!C28)</f>
        <v>4</v>
      </c>
    </row>
    <row r="9" spans="1:17" ht="17.100000000000001" customHeight="1">
      <c r="A9" s="76" t="s">
        <v>73</v>
      </c>
      <c r="B9" s="76"/>
      <c r="C9" s="64" t="s">
        <v>74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75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26</v>
      </c>
      <c r="B14" s="27">
        <v>4.2999999999999997E-2</v>
      </c>
      <c r="C14" s="28">
        <v>0.20699999999999999</v>
      </c>
      <c r="D14" s="28">
        <v>7.3999999999999996E-2</v>
      </c>
      <c r="E14" s="28">
        <v>7.0999999999999994E-2</v>
      </c>
      <c r="F14" s="28">
        <v>0.219</v>
      </c>
      <c r="G14" s="28">
        <v>7.0000000000000007E-2</v>
      </c>
      <c r="H14" s="28">
        <v>3.1E-2</v>
      </c>
      <c r="I14" s="28">
        <v>0.107</v>
      </c>
      <c r="J14" s="28">
        <v>3.1E-2</v>
      </c>
      <c r="K14" s="28">
        <v>3.2000000000000001E-2</v>
      </c>
      <c r="L14" s="28">
        <v>0.105</v>
      </c>
      <c r="M14" s="29">
        <v>3.7999999999999999E-2</v>
      </c>
      <c r="N14"/>
      <c r="O14" s="13"/>
      <c r="P14" s="13"/>
      <c r="Q14" s="13"/>
    </row>
    <row r="15" spans="1:17" s="8" customFormat="1">
      <c r="A15" s="12" t="s">
        <v>27</v>
      </c>
      <c r="B15" s="30">
        <v>0.105</v>
      </c>
      <c r="C15" s="31">
        <v>5.5E-2</v>
      </c>
      <c r="D15" s="31">
        <v>0.114</v>
      </c>
      <c r="E15" s="31">
        <v>0.14499999999999999</v>
      </c>
      <c r="F15" s="31">
        <v>5.5E-2</v>
      </c>
      <c r="G15" s="31">
        <v>0.109</v>
      </c>
      <c r="H15" s="31">
        <v>3.9E-2</v>
      </c>
      <c r="I15" s="31">
        <v>4.4999999999999998E-2</v>
      </c>
      <c r="J15" s="31">
        <v>3.2000000000000001E-2</v>
      </c>
      <c r="K15" s="31">
        <v>4.2999999999999997E-2</v>
      </c>
      <c r="L15" s="31">
        <v>4.9000000000000002E-2</v>
      </c>
      <c r="M15" s="32">
        <v>3.5000000000000003E-2</v>
      </c>
      <c r="N15"/>
      <c r="O15" s="13"/>
      <c r="P15" s="13"/>
      <c r="Q15" s="13"/>
    </row>
    <row r="16" spans="1:17" s="8" customFormat="1">
      <c r="A16" s="12" t="s">
        <v>28</v>
      </c>
      <c r="B16" s="30">
        <v>6.4000000000000001E-2</v>
      </c>
      <c r="C16" s="31">
        <v>0.53100000000000003</v>
      </c>
      <c r="D16" s="31">
        <v>0.50600000000000001</v>
      </c>
      <c r="E16" s="31">
        <v>6.0999999999999999E-2</v>
      </c>
      <c r="F16" s="31">
        <v>0.621</v>
      </c>
      <c r="G16" s="31">
        <v>0.53300000000000003</v>
      </c>
      <c r="H16" s="31">
        <v>4.1000000000000002E-2</v>
      </c>
      <c r="I16" s="31">
        <v>1.9E-2</v>
      </c>
      <c r="J16" s="31">
        <v>6.7000000000000004E-2</v>
      </c>
      <c r="K16" s="31">
        <v>4.2000000000000003E-2</v>
      </c>
      <c r="L16" s="31">
        <v>1.9E-2</v>
      </c>
      <c r="M16" s="32">
        <v>6.9000000000000006E-2</v>
      </c>
      <c r="N16"/>
      <c r="O16" s="13"/>
      <c r="P16" s="13"/>
      <c r="Q16" s="13"/>
    </row>
    <row r="17" spans="1:39" s="8" customFormat="1">
      <c r="A17" s="12" t="s">
        <v>29</v>
      </c>
      <c r="B17" s="30">
        <v>0.2</v>
      </c>
      <c r="C17" s="31">
        <v>0.11899999999999999</v>
      </c>
      <c r="D17" s="31">
        <v>0.621</v>
      </c>
      <c r="E17" s="31">
        <v>0.191</v>
      </c>
      <c r="F17" s="31">
        <v>0.13800000000000001</v>
      </c>
      <c r="G17" s="31">
        <v>0.64300000000000002</v>
      </c>
      <c r="H17" s="31">
        <v>3.1E-2</v>
      </c>
      <c r="I17" s="31">
        <v>3.4000000000000002E-2</v>
      </c>
      <c r="J17" s="31">
        <v>2.5000000000000001E-2</v>
      </c>
      <c r="K17" s="31">
        <v>2.4E-2</v>
      </c>
      <c r="L17" s="31">
        <v>3.9E-2</v>
      </c>
      <c r="M17" s="32">
        <v>2.4E-2</v>
      </c>
      <c r="N17"/>
      <c r="O17" s="13"/>
      <c r="P17" s="13"/>
      <c r="Q17" s="13"/>
    </row>
    <row r="18" spans="1:39" s="8" customFormat="1">
      <c r="A18" s="12" t="s">
        <v>30</v>
      </c>
      <c r="B18" s="30">
        <v>2.7E-2</v>
      </c>
      <c r="C18" s="31">
        <v>7.3999999999999996E-2</v>
      </c>
      <c r="D18" s="31">
        <v>0.192</v>
      </c>
      <c r="E18" s="31">
        <v>2.7E-2</v>
      </c>
      <c r="F18" s="31">
        <v>7.2999999999999995E-2</v>
      </c>
      <c r="G18" s="31">
        <v>0.20200000000000001</v>
      </c>
      <c r="H18" s="31">
        <v>0.02</v>
      </c>
      <c r="I18" s="31">
        <v>4.1000000000000002E-2</v>
      </c>
      <c r="J18" s="31">
        <v>3.9E-2</v>
      </c>
      <c r="K18" s="31">
        <v>2.1999999999999999E-2</v>
      </c>
      <c r="L18" s="31">
        <v>4.2000000000000003E-2</v>
      </c>
      <c r="M18" s="32">
        <v>4.2999999999999997E-2</v>
      </c>
      <c r="N18"/>
      <c r="O18" s="13"/>
      <c r="P18" s="13"/>
      <c r="Q18" s="13"/>
    </row>
    <row r="19" spans="1:39" s="8" customFormat="1">
      <c r="A19" s="12" t="s">
        <v>31</v>
      </c>
      <c r="B19" s="30">
        <v>0.24099999999999999</v>
      </c>
      <c r="C19" s="31">
        <v>0.20699999999999999</v>
      </c>
      <c r="D19" s="31">
        <v>1.2E-2</v>
      </c>
      <c r="E19" s="31">
        <v>0.25</v>
      </c>
      <c r="F19" s="31">
        <v>0.23</v>
      </c>
      <c r="G19" s="31">
        <v>1.4999999999999999E-2</v>
      </c>
      <c r="H19" s="31">
        <v>4.4999999999999998E-2</v>
      </c>
      <c r="I19" s="31">
        <v>6.6000000000000003E-2</v>
      </c>
      <c r="J19" s="31">
        <v>1.2999999999999999E-2</v>
      </c>
      <c r="K19" s="31">
        <v>4.2000000000000003E-2</v>
      </c>
      <c r="L19" s="31">
        <v>6.5000000000000002E-2</v>
      </c>
      <c r="M19" s="32">
        <v>6.0000000000000001E-3</v>
      </c>
      <c r="N19"/>
      <c r="O19" s="13"/>
      <c r="P19" s="13"/>
      <c r="Q19" s="13"/>
    </row>
    <row r="20" spans="1:39" s="8" customFormat="1">
      <c r="A20" s="12" t="s">
        <v>33</v>
      </c>
      <c r="B20" s="30">
        <v>0.13800000000000001</v>
      </c>
      <c r="C20" s="31">
        <v>9.8000000000000004E-2</v>
      </c>
      <c r="D20" s="31">
        <v>0.7</v>
      </c>
      <c r="E20" s="31">
        <v>0.27600000000000002</v>
      </c>
      <c r="F20" s="31">
        <v>8.5000000000000006E-2</v>
      </c>
      <c r="G20" s="31">
        <v>0.78</v>
      </c>
      <c r="H20" s="31">
        <v>2.5999999999999999E-2</v>
      </c>
      <c r="I20" s="31">
        <v>8.8999999999999996E-2</v>
      </c>
      <c r="J20" s="31">
        <v>1.4E-2</v>
      </c>
      <c r="K20" s="31">
        <v>0.03</v>
      </c>
      <c r="L20" s="31">
        <v>8.2000000000000003E-2</v>
      </c>
      <c r="M20" s="32">
        <v>0.01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35</v>
      </c>
      <c r="B21" s="33">
        <v>0.56399999999999995</v>
      </c>
      <c r="C21" s="34">
        <v>6.5000000000000002E-2</v>
      </c>
      <c r="D21" s="34">
        <v>2.1999999999999999E-2</v>
      </c>
      <c r="E21" s="34">
        <v>0.55400000000000005</v>
      </c>
      <c r="F21" s="34">
        <v>8.3000000000000004E-2</v>
      </c>
      <c r="G21" s="34">
        <v>0.02</v>
      </c>
      <c r="H21" s="34">
        <v>5.2999999999999999E-2</v>
      </c>
      <c r="I21" s="34">
        <v>2.5000000000000001E-2</v>
      </c>
      <c r="J21" s="34">
        <v>2.4E-2</v>
      </c>
      <c r="K21" s="34">
        <v>6.0999999999999999E-2</v>
      </c>
      <c r="L21" s="34">
        <v>5.1999999999999998E-2</v>
      </c>
      <c r="M21" s="35">
        <v>2.5999999999999999E-2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zoomScaleNormal="100" workbookViewId="0">
      <selection activeCell="K2" sqref="K2"/>
    </sheetView>
  </sheetViews>
  <sheetFormatPr defaultColWidth="10.85546875" defaultRowHeight="1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76</v>
      </c>
      <c r="B1" s="67" t="s">
        <v>77</v>
      </c>
      <c r="C1" s="68" t="s">
        <v>78</v>
      </c>
      <c r="D1" s="68" t="s">
        <v>79</v>
      </c>
      <c r="E1" s="69" t="s">
        <v>80</v>
      </c>
      <c r="F1" s="67" t="s">
        <v>81</v>
      </c>
      <c r="G1" s="67" t="s">
        <v>82</v>
      </c>
      <c r="H1" s="67" t="s">
        <v>83</v>
      </c>
      <c r="I1" s="68" t="s">
        <v>84</v>
      </c>
      <c r="J1" s="68" t="s">
        <v>39</v>
      </c>
      <c r="K1" s="73" t="s">
        <v>85</v>
      </c>
    </row>
    <row r="2" spans="1:11" ht="15" customHeight="1" thickBot="1">
      <c r="A2" s="70" t="s">
        <v>86</v>
      </c>
      <c r="B2" s="70" t="s">
        <v>40</v>
      </c>
      <c r="C2" s="41">
        <f>IF(Deepwell!G6="","",Deepwell!G6)</f>
        <v>64</v>
      </c>
      <c r="D2" s="42">
        <f>IF(ELISA!B6="","",ELISA!B6)</f>
        <v>2402795</v>
      </c>
      <c r="E2" s="43">
        <f>IF('450 nm - 600 nm'!B14="","",(('450 nm - 600 nm'!B14+'450 nm - 600 nm'!E14)/2)-(('450 nm - 600 nm'!H14+'450 nm - 600 nm'!K14)/2))</f>
        <v>2.5499999999999995E-2</v>
      </c>
      <c r="F2" s="44">
        <f>IF(E2="","",(E2-Controls!$D$4)/(Controls!$D$2-Controls!$D$4))</f>
        <v>4.0300546448087428E-2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71"/>
      <c r="K2" s="71"/>
    </row>
    <row r="3" spans="1:11" ht="15" customHeight="1" thickBot="1">
      <c r="A3" s="70" t="s">
        <v>87</v>
      </c>
      <c r="B3" s="70" t="s">
        <v>41</v>
      </c>
      <c r="C3" s="41">
        <f>IF(Deepwell!G7="","",Deepwell!G7)</f>
        <v>65</v>
      </c>
      <c r="D3" s="42">
        <f>IF(ELISA!B7="","",ELISA!B7)</f>
        <v>2402770</v>
      </c>
      <c r="E3" s="43">
        <f>IF('450 nm - 600 nm'!B15="","",(('450 nm - 600 nm'!B15+'450 nm - 600 nm'!E15)/2)-(('450 nm - 600 nm'!H15+'450 nm - 600 nm'!K15)/2))</f>
        <v>8.4000000000000005E-2</v>
      </c>
      <c r="F3" s="44">
        <f>IF(E3="","",(E3-Controls!$D$4)/(Controls!$D$2-Controls!$D$4))</f>
        <v>0.12021857923497269</v>
      </c>
      <c r="G3" s="41" t="str">
        <f t="shared" ref="G3:G22" si="1">IF(F3="","",IF(F3&gt;=60%,"POS","NEG"))</f>
        <v>NEG</v>
      </c>
      <c r="H3" s="41" t="str">
        <f t="shared" ref="H3:H22" si="2">IF(F3="","",IF(F3&gt;=50%,"POS","NEG"))</f>
        <v>NEG</v>
      </c>
      <c r="I3" s="41" t="str">
        <f t="shared" ref="I3:I22" si="3">IF(H3="POS","P",IF(H3="NEG","N",""))</f>
        <v>N</v>
      </c>
      <c r="J3" s="71"/>
      <c r="K3" s="71"/>
    </row>
    <row r="4" spans="1:11" ht="15" customHeight="1" thickBot="1">
      <c r="A4" s="70" t="s">
        <v>88</v>
      </c>
      <c r="B4" s="70" t="s">
        <v>42</v>
      </c>
      <c r="C4" s="41">
        <f>IF(Deepwell!G8="","",Deepwell!G8)</f>
        <v>66</v>
      </c>
      <c r="D4" s="42">
        <f>IF(ELISA!B8="","",ELISA!B8)</f>
        <v>2402404</v>
      </c>
      <c r="E4" s="43">
        <f>IF('450 nm - 600 nm'!B16="","",(('450 nm - 600 nm'!B16+'450 nm - 600 nm'!E16)/2)-(('450 nm - 600 nm'!H16+'450 nm - 600 nm'!K16)/2))</f>
        <v>2.0999999999999998E-2</v>
      </c>
      <c r="F4" s="44">
        <f>IF(E4="","",(E4-Controls!$D$4)/(Controls!$D$2-Controls!$D$4))</f>
        <v>3.4153005464480878E-2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71"/>
      <c r="K4" s="71"/>
    </row>
    <row r="5" spans="1:11" ht="15" customHeight="1" thickBot="1">
      <c r="A5" s="70" t="s">
        <v>89</v>
      </c>
      <c r="B5" s="70" t="s">
        <v>43</v>
      </c>
      <c r="C5" s="41">
        <f>IF(Deepwell!G9="","",Deepwell!G9)</f>
        <v>67</v>
      </c>
      <c r="D5" s="42">
        <f>IF(ELISA!B9="","",ELISA!B9)</f>
        <v>2500144</v>
      </c>
      <c r="E5" s="43">
        <f>IF('450 nm - 600 nm'!B17="","",(('450 nm - 600 nm'!B17+'450 nm - 600 nm'!E17)/2)-(('450 nm - 600 nm'!H17+'450 nm - 600 nm'!K17)/2))</f>
        <v>0.16800000000000001</v>
      </c>
      <c r="F5" s="44">
        <f>IF(E5="","",(E5-Controls!$D$4)/(Controls!$D$2-Controls!$D$4))</f>
        <v>0.23497267759562843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71"/>
      <c r="K5" s="71"/>
    </row>
    <row r="6" spans="1:11" ht="15" customHeight="1" thickBot="1">
      <c r="A6" s="70" t="s">
        <v>90</v>
      </c>
      <c r="B6" s="70" t="s">
        <v>44</v>
      </c>
      <c r="C6" s="41">
        <f>IF(Deepwell!G10="","",Deepwell!G10)</f>
        <v>68</v>
      </c>
      <c r="D6" s="42">
        <f>IF(ELISA!B10="","",ELISA!B10)</f>
        <v>2500035</v>
      </c>
      <c r="E6" s="43">
        <f>IF('450 nm - 600 nm'!B18="","",(('450 nm - 600 nm'!B18+'450 nm - 600 nm'!E18)/2)-(('450 nm - 600 nm'!H18+'450 nm - 600 nm'!K18)/2))</f>
        <v>6.0000000000000019E-3</v>
      </c>
      <c r="F6" s="44">
        <f>IF(E6="","",(E6-Controls!$D$4)/(Controls!$D$2-Controls!$D$4))</f>
        <v>1.3661202185792358E-2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71"/>
      <c r="K6" s="71"/>
    </row>
    <row r="7" spans="1:11" ht="15" customHeight="1" thickBot="1">
      <c r="A7" s="70" t="s">
        <v>91</v>
      </c>
      <c r="B7" s="70" t="s">
        <v>45</v>
      </c>
      <c r="C7" s="41">
        <f>IF(Deepwell!G11="","",Deepwell!G11)</f>
        <v>69</v>
      </c>
      <c r="D7" s="42">
        <f>IF(ELISA!B11="","",ELISA!B11)</f>
        <v>2500140</v>
      </c>
      <c r="E7" s="43">
        <f>IF('450 nm - 600 nm'!B19="","",(('450 nm - 600 nm'!B19+'450 nm - 600 nm'!E19)/2)-(('450 nm - 600 nm'!H19+'450 nm - 600 nm'!K19)/2))</f>
        <v>0.20200000000000001</v>
      </c>
      <c r="F7" s="44">
        <f>IF(E7="","",(E7-Controls!$D$4)/(Controls!$D$2-Controls!$D$4))</f>
        <v>0.28142076502732244</v>
      </c>
      <c r="G7" s="41" t="str">
        <f t="shared" si="1"/>
        <v>NEG</v>
      </c>
      <c r="H7" s="41" t="str">
        <f t="shared" si="2"/>
        <v>NEG</v>
      </c>
      <c r="I7" s="41" t="str">
        <f t="shared" si="3"/>
        <v>N</v>
      </c>
      <c r="J7" s="71"/>
      <c r="K7" s="71"/>
    </row>
    <row r="8" spans="1:11" ht="15" customHeight="1" thickBot="1">
      <c r="A8" s="70" t="s">
        <v>92</v>
      </c>
      <c r="B8" s="70" t="s">
        <v>46</v>
      </c>
      <c r="C8" s="41">
        <f>IF(Deepwell!G12="","",Deepwell!G12)</f>
        <v>70</v>
      </c>
      <c r="D8" s="42">
        <f>IF(ELISA!B12="","",ELISA!B12)</f>
        <v>2402481</v>
      </c>
      <c r="E8" s="43">
        <f>IF('450 nm - 600 nm'!B20="","",(('450 nm - 600 nm'!B20+'450 nm - 600 nm'!E20)/2)-(('450 nm - 600 nm'!H20+'450 nm - 600 nm'!K20)/2))</f>
        <v>0.17900000000000002</v>
      </c>
      <c r="F8" s="44">
        <f>IF(E8="","",(E8-Controls!$D$4)/(Controls!$D$2-Controls!$D$4))</f>
        <v>0.25000000000000006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71"/>
      <c r="K8" s="71"/>
    </row>
    <row r="9" spans="1:11" ht="15" customHeight="1" thickBot="1">
      <c r="A9" s="70" t="s">
        <v>93</v>
      </c>
      <c r="B9" s="70" t="s">
        <v>47</v>
      </c>
      <c r="C9" s="41">
        <f>IF(Deepwell!G13="","",Deepwell!G13)</f>
        <v>71</v>
      </c>
      <c r="D9" s="42">
        <f>IF(ELISA!B13="","",ELISA!B13)</f>
        <v>2402867</v>
      </c>
      <c r="E9" s="43">
        <f>IF('450 nm - 600 nm'!B21="","",(('450 nm - 600 nm'!B21+'450 nm - 600 nm'!E21)/2)-(('450 nm - 600 nm'!H21+'450 nm - 600 nm'!K21)/2))</f>
        <v>0.502</v>
      </c>
      <c r="F9" s="44">
        <f>IF(E9="","",(E9-Controls!$D$4)/(Controls!$D$2-Controls!$D$4))</f>
        <v>0.69125683060109289</v>
      </c>
      <c r="G9" s="41" t="str">
        <f t="shared" si="1"/>
        <v>POS</v>
      </c>
      <c r="H9" s="41" t="str">
        <f t="shared" si="2"/>
        <v>POS</v>
      </c>
      <c r="I9" s="41" t="str">
        <f t="shared" si="3"/>
        <v>P</v>
      </c>
      <c r="J9" s="71"/>
      <c r="K9" s="71"/>
    </row>
    <row r="10" spans="1:11" ht="15" customHeight="1" thickBot="1">
      <c r="A10" s="70" t="s">
        <v>94</v>
      </c>
      <c r="B10" s="70" t="s">
        <v>48</v>
      </c>
      <c r="C10" s="41">
        <f>IF(Deepwell!H6="","",Deepwell!H6)</f>
        <v>72</v>
      </c>
      <c r="D10" s="42">
        <f>IF(ELISA!B14="","",ELISA!B14)</f>
        <v>2402789</v>
      </c>
      <c r="E10" s="43">
        <f>IF('450 nm - 600 nm'!C14="","",(('450 nm - 600 nm'!C14+'450 nm - 600 nm'!F14)/2)-(('450 nm - 600 nm'!I14+'450 nm - 600 nm'!L14)/2))</f>
        <v>0.107</v>
      </c>
      <c r="F10" s="44">
        <f>IF(E10="","",(E10-Controls!$D$4)/(Controls!$D$2-Controls!$D$4))</f>
        <v>0.15163934426229508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71"/>
      <c r="K10" s="71"/>
    </row>
    <row r="11" spans="1:11" ht="15" customHeight="1" thickBot="1">
      <c r="A11" s="70" t="s">
        <v>95</v>
      </c>
      <c r="B11" s="70" t="s">
        <v>49</v>
      </c>
      <c r="C11" s="41">
        <f>IF(Deepwell!H7="","",Deepwell!H7)</f>
        <v>73</v>
      </c>
      <c r="D11" s="42">
        <f>IF(ELISA!B15="","",ELISA!B15)</f>
        <v>2500168</v>
      </c>
      <c r="E11" s="43">
        <f>IF('450 nm - 600 nm'!C15="","",(('450 nm - 600 nm'!C15+'450 nm - 600 nm'!F15)/2)-(('450 nm - 600 nm'!I15+'450 nm - 600 nm'!L15)/2))</f>
        <v>8.0000000000000002E-3</v>
      </c>
      <c r="F11" s="44">
        <f>IF(E11="","",(E11-Controls!$D$4)/(Controls!$D$2-Controls!$D$4))</f>
        <v>1.6393442622950824E-2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71"/>
      <c r="K11" s="71"/>
    </row>
    <row r="12" spans="1:11" ht="15" customHeight="1" thickBot="1">
      <c r="A12" s="70" t="s">
        <v>96</v>
      </c>
      <c r="B12" s="70" t="s">
        <v>50</v>
      </c>
      <c r="C12" s="41">
        <f>IF(Deepwell!H8="","",Deepwell!H8)</f>
        <v>74</v>
      </c>
      <c r="D12" s="42">
        <f>IF(ELISA!B16="","",ELISA!B16)</f>
        <v>2500159</v>
      </c>
      <c r="E12" s="43">
        <f>IF('450 nm - 600 nm'!C16="","",(('450 nm - 600 nm'!C16+'450 nm - 600 nm'!F16)/2)-(('450 nm - 600 nm'!I16+'450 nm - 600 nm'!L16)/2))</f>
        <v>0.55700000000000005</v>
      </c>
      <c r="F12" s="44">
        <f>IF(E12="","",(E12-Controls!$D$4)/(Controls!$D$2-Controls!$D$4))</f>
        <v>0.76639344262295095</v>
      </c>
      <c r="G12" s="41" t="str">
        <f t="shared" si="1"/>
        <v>POS</v>
      </c>
      <c r="H12" s="41" t="str">
        <f t="shared" si="2"/>
        <v>POS</v>
      </c>
      <c r="I12" s="41" t="str">
        <f t="shared" si="3"/>
        <v>P</v>
      </c>
      <c r="J12" s="71"/>
      <c r="K12" s="71"/>
    </row>
    <row r="13" spans="1:11" ht="15" customHeight="1" thickBot="1">
      <c r="A13" s="70" t="s">
        <v>97</v>
      </c>
      <c r="B13" s="70" t="s">
        <v>51</v>
      </c>
      <c r="C13" s="41">
        <f>IF(Deepwell!H9="","",Deepwell!H9)</f>
        <v>75</v>
      </c>
      <c r="D13" s="42">
        <f>IF(ELISA!B17="","",ELISA!B17)</f>
        <v>2400837</v>
      </c>
      <c r="E13" s="43">
        <f>IF('450 nm - 600 nm'!C17="","",(('450 nm - 600 nm'!C17+'450 nm - 600 nm'!F17)/2)-(('450 nm - 600 nm'!I17+'450 nm - 600 nm'!L17)/2))</f>
        <v>9.1999999999999998E-2</v>
      </c>
      <c r="F13" s="44">
        <f>IF(E13="","",(E13-Controls!$D$4)/(Controls!$D$2-Controls!$D$4))</f>
        <v>0.13114754098360656</v>
      </c>
      <c r="G13" s="41" t="str">
        <f t="shared" si="1"/>
        <v>NEG</v>
      </c>
      <c r="H13" s="41" t="str">
        <f t="shared" si="2"/>
        <v>NEG</v>
      </c>
      <c r="I13" s="41" t="str">
        <f t="shared" si="3"/>
        <v>N</v>
      </c>
      <c r="J13" s="71"/>
      <c r="K13" s="71"/>
    </row>
    <row r="14" spans="1:11" ht="15" customHeight="1" thickBot="1">
      <c r="A14" s="70" t="s">
        <v>98</v>
      </c>
      <c r="B14" s="70" t="s">
        <v>52</v>
      </c>
      <c r="C14" s="41">
        <f>IF(Deepwell!H10="","",Deepwell!H10)</f>
        <v>76</v>
      </c>
      <c r="D14" s="42">
        <f>IF(ELISA!B18="","",ELISA!B18)</f>
        <v>2500135</v>
      </c>
      <c r="E14" s="43">
        <f>IF('450 nm - 600 nm'!C18="","",(('450 nm - 600 nm'!C18+'450 nm - 600 nm'!F18)/2)-(('450 nm - 600 nm'!I18+'450 nm - 600 nm'!L18)/2))</f>
        <v>3.1999999999999994E-2</v>
      </c>
      <c r="F14" s="44">
        <f>IF(E14="","",(E14-Controls!$D$4)/(Controls!$D$2-Controls!$D$4))</f>
        <v>4.9180327868852458E-2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71"/>
      <c r="K14" s="71"/>
    </row>
    <row r="15" spans="1:11" ht="15" customHeight="1" thickBot="1">
      <c r="A15" s="70" t="s">
        <v>99</v>
      </c>
      <c r="B15" s="70" t="s">
        <v>53</v>
      </c>
      <c r="C15" s="41">
        <f>IF(Deepwell!H11="","",Deepwell!H11)</f>
        <v>77</v>
      </c>
      <c r="D15" s="42">
        <f>IF(ELISA!B19="","",ELISA!B19)</f>
        <v>2500137</v>
      </c>
      <c r="E15" s="43">
        <f>IF('450 nm - 600 nm'!C19="","",(('450 nm - 600 nm'!C19+'450 nm - 600 nm'!F19)/2)-(('450 nm - 600 nm'!I19+'450 nm - 600 nm'!L19)/2))</f>
        <v>0.153</v>
      </c>
      <c r="F15" s="44">
        <f>IF(E15="","",(E15-Controls!$D$4)/(Controls!$D$2-Controls!$D$4))</f>
        <v>0.21448087431693991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71"/>
      <c r="K15" s="71"/>
    </row>
    <row r="16" spans="1:11" ht="15" customHeight="1" thickBot="1">
      <c r="A16" s="70" t="s">
        <v>100</v>
      </c>
      <c r="B16" s="70" t="s">
        <v>54</v>
      </c>
      <c r="C16" s="41">
        <f>IF(Deepwell!H12="","",Deepwell!H12)</f>
        <v>78</v>
      </c>
      <c r="D16" s="42">
        <f>IF(ELISA!B20="","",ELISA!B20)</f>
        <v>2400886</v>
      </c>
      <c r="E16" s="43">
        <f>IF('450 nm - 600 nm'!C20="","",(('450 nm - 600 nm'!C20+'450 nm - 600 nm'!F20)/2)-(('450 nm - 600 nm'!I20+'450 nm - 600 nm'!L20)/2))</f>
        <v>6.0000000000000053E-3</v>
      </c>
      <c r="F16" s="44">
        <f>IF(E16="","",(E16-Controls!$D$4)/(Controls!$D$2-Controls!$D$4))</f>
        <v>1.3661202185792361E-2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71"/>
      <c r="K16" s="71"/>
    </row>
    <row r="17" spans="1:11" ht="15" customHeight="1" thickBot="1">
      <c r="A17" s="70" t="s">
        <v>101</v>
      </c>
      <c r="B17" s="70" t="s">
        <v>55</v>
      </c>
      <c r="C17" s="41">
        <f>IF(Deepwell!H13="","",Deepwell!H13)</f>
        <v>79</v>
      </c>
      <c r="D17" s="42">
        <f>IF(ELISA!B21="","",ELISA!B21)</f>
        <v>2400891</v>
      </c>
      <c r="E17" s="43">
        <f>IF('450 nm - 600 nm'!C21="","",(('450 nm - 600 nm'!C21+'450 nm - 600 nm'!F21)/2)-(('450 nm - 600 nm'!I21+'450 nm - 600 nm'!L21)/2))</f>
        <v>3.5500000000000011E-2</v>
      </c>
      <c r="F17" s="44">
        <f>IF(E17="","",(E17-Controls!$D$4)/(Controls!$D$2-Controls!$D$4))</f>
        <v>5.39617486338798E-2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/>
    </row>
    <row r="18" spans="1:11" ht="15" customHeight="1" thickBot="1">
      <c r="A18" s="70" t="s">
        <v>102</v>
      </c>
      <c r="B18" s="70" t="s">
        <v>56</v>
      </c>
      <c r="C18" s="41">
        <f>IF(Deepwell!I6="","",Deepwell!I6)</f>
        <v>80</v>
      </c>
      <c r="D18" s="42">
        <f>IF(ELISA!B22="","",ELISA!B22)</f>
        <v>2402483</v>
      </c>
      <c r="E18" s="43">
        <f>IF('450 nm - 600 nm'!D14="","",(('450 nm - 600 nm'!D14+'450 nm - 600 nm'!G14)/2)-(('450 nm - 600 nm'!J14+'450 nm - 600 nm'!M14)/2))</f>
        <v>3.7500000000000006E-2</v>
      </c>
      <c r="F18" s="44">
        <f>IF(E18="","",(E18-Controls!$D$4)/(Controls!$D$2-Controls!$D$4))</f>
        <v>5.6693989071038266E-2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71"/>
      <c r="K18" s="71"/>
    </row>
    <row r="19" spans="1:11" ht="15" customHeight="1" thickBot="1">
      <c r="A19" s="70" t="s">
        <v>103</v>
      </c>
      <c r="B19" s="70" t="s">
        <v>57</v>
      </c>
      <c r="C19" s="41">
        <f>IF(Deepwell!I7="","",Deepwell!I7)</f>
        <v>81</v>
      </c>
      <c r="D19" s="42">
        <f>IF(ELISA!B23="","",ELISA!B23)</f>
        <v>2500143</v>
      </c>
      <c r="E19" s="43">
        <f>IF('450 nm - 600 nm'!D15="","",(('450 nm - 600 nm'!D15+'450 nm - 600 nm'!G15)/2)-(('450 nm - 600 nm'!J15+'450 nm - 600 nm'!M15)/2))</f>
        <v>7.8E-2</v>
      </c>
      <c r="F19" s="44">
        <f>IF(E19="","",(E19-Controls!$D$4)/(Controls!$D$2-Controls!$D$4))</f>
        <v>0.11202185792349728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71"/>
      <c r="K19" s="71"/>
    </row>
    <row r="20" spans="1:11" ht="15" customHeight="1" thickBot="1">
      <c r="A20" s="70" t="s">
        <v>104</v>
      </c>
      <c r="B20" s="70" t="s">
        <v>58</v>
      </c>
      <c r="C20" s="41">
        <f>IF(Deepwell!I8="","",Deepwell!I8)</f>
        <v>82</v>
      </c>
      <c r="D20" s="42">
        <f>IF(ELISA!B24="","",ELISA!B24)</f>
        <v>2500147</v>
      </c>
      <c r="E20" s="43">
        <f>IF('450 nm - 600 nm'!D16="","",(('450 nm - 600 nm'!D16+'450 nm - 600 nm'!G16)/2)-(('450 nm - 600 nm'!J16+'450 nm - 600 nm'!M16)/2))</f>
        <v>0.45150000000000007</v>
      </c>
      <c r="F20" s="44">
        <f>IF(E20="","",(E20-Controls!$D$4)/(Controls!$D$2-Controls!$D$4))</f>
        <v>0.62226775956284164</v>
      </c>
      <c r="G20" s="41" t="str">
        <f t="shared" si="1"/>
        <v>POS</v>
      </c>
      <c r="H20" s="41" t="str">
        <f t="shared" si="2"/>
        <v>POS</v>
      </c>
      <c r="I20" s="41" t="str">
        <f t="shared" si="3"/>
        <v>P</v>
      </c>
      <c r="J20" s="71"/>
      <c r="K20" s="71"/>
    </row>
    <row r="21" spans="1:11" ht="15" customHeight="1" thickBot="1">
      <c r="A21" s="70" t="s">
        <v>105</v>
      </c>
      <c r="B21" s="70" t="s">
        <v>59</v>
      </c>
      <c r="C21" s="41">
        <f>IF(Deepwell!I9="","",Deepwell!I9)</f>
        <v>83</v>
      </c>
      <c r="D21" s="42">
        <f>IF(ELISA!B25="","",ELISA!B25)</f>
        <v>2500114</v>
      </c>
      <c r="E21" s="43">
        <f>IF('450 nm - 600 nm'!D17="","",(('450 nm - 600 nm'!D17+'450 nm - 600 nm'!G17)/2)-(('450 nm - 600 nm'!J17+'450 nm - 600 nm'!M17)/2))</f>
        <v>0.60750000000000004</v>
      </c>
      <c r="F21" s="44">
        <f>IF(E21="","",(E21-Controls!$D$4)/(Controls!$D$2-Controls!$D$4))</f>
        <v>0.83538251366120231</v>
      </c>
      <c r="G21" s="41" t="str">
        <f t="shared" si="1"/>
        <v>POS</v>
      </c>
      <c r="H21" s="41" t="str">
        <f t="shared" si="2"/>
        <v>POS</v>
      </c>
      <c r="I21" s="41" t="str">
        <f t="shared" si="3"/>
        <v>P</v>
      </c>
      <c r="J21" s="71"/>
      <c r="K21" s="71"/>
    </row>
    <row r="22" spans="1:11" ht="15" customHeight="1" thickBot="1">
      <c r="A22" s="70" t="s">
        <v>106</v>
      </c>
      <c r="B22" s="70" t="s">
        <v>60</v>
      </c>
      <c r="C22" s="41">
        <f>IF(Deepwell!I10="","",Deepwell!I10)</f>
        <v>84</v>
      </c>
      <c r="D22" s="42">
        <f>IF(ELISA!B26="","",ELISA!B26)</f>
        <v>2400706</v>
      </c>
      <c r="E22" s="43">
        <f>IF('450 nm - 600 nm'!D18="","",(('450 nm - 600 nm'!D18+'450 nm - 600 nm'!G18)/2)-(('450 nm - 600 nm'!J18+'450 nm - 600 nm'!M18)/2))</f>
        <v>0.15600000000000003</v>
      </c>
      <c r="F22" s="44">
        <f>IF(E22="","",(E22-Controls!$D$4)/(Controls!$D$2-Controls!$D$4))</f>
        <v>0.21857923497267764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71"/>
      <c r="K22" s="71"/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76</v>
      </c>
      <c r="B1" s="59" t="s">
        <v>77</v>
      </c>
      <c r="C1" s="59" t="s">
        <v>107</v>
      </c>
      <c r="D1" s="60" t="s">
        <v>80</v>
      </c>
      <c r="E1" s="59" t="s">
        <v>81</v>
      </c>
      <c r="F1" s="59" t="s">
        <v>108</v>
      </c>
      <c r="G1" s="61" t="s">
        <v>39</v>
      </c>
    </row>
    <row r="2" spans="1:7" ht="15" customHeight="1" thickBot="1">
      <c r="A2" s="41" t="s">
        <v>109</v>
      </c>
      <c r="B2" s="41" t="s">
        <v>110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0.72799999999999998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111</v>
      </c>
      <c r="B3" s="41" t="s">
        <v>32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4.0000000000000001E-3</v>
      </c>
      <c r="E3" s="44">
        <f>IF(D3="","",(D3-$D$4)/($D$2-$D$4))</f>
        <v>1.0928961748633885E-2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112</v>
      </c>
      <c r="B4" s="41" t="s">
        <v>113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-4.0000000000000036E-3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topLeftCell="A15" zoomScaleNormal="100" workbookViewId="0"/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114</v>
      </c>
      <c r="C2" s="53">
        <v>30</v>
      </c>
    </row>
    <row r="3" spans="2:4" ht="15.75" thickBot="1"/>
    <row r="4" spans="2:4" ht="15.75" thickBot="1">
      <c r="B4" s="80" t="s">
        <v>77</v>
      </c>
      <c r="C4" s="80" t="s">
        <v>107</v>
      </c>
      <c r="D4" s="58" t="s">
        <v>115</v>
      </c>
    </row>
    <row r="5" spans="2:4" ht="15.75" thickBot="1">
      <c r="B5" s="80"/>
      <c r="C5" s="80"/>
      <c r="D5" s="57" t="s">
        <v>116</v>
      </c>
    </row>
    <row r="6" spans="2:4" ht="15.75" thickBot="1">
      <c r="B6" s="54" t="s">
        <v>40</v>
      </c>
      <c r="C6" s="55">
        <f>IF(ELISA!B6="","",ELISA!B6)</f>
        <v>2402795</v>
      </c>
      <c r="D6" s="55" t="str">
        <f>IF('450 nm - 600 nm'!B14="","",IF(ABS(1-('450 nm - 600 nm'!B14/'450 nm - 600 nm'!E14))&lt;($C$2/100),"OK","NOK"))</f>
        <v>NOK</v>
      </c>
    </row>
    <row r="7" spans="2:4" ht="15.75" thickBot="1">
      <c r="B7" s="41" t="s">
        <v>41</v>
      </c>
      <c r="C7" s="42">
        <f>IF(ELISA!B7="","",ELISA!B7)</f>
        <v>2402770</v>
      </c>
      <c r="D7" s="55" t="str">
        <f>IF('450 nm - 600 nm'!B15="","",IF(ABS(1-('450 nm - 600 nm'!B15/'450 nm - 600 nm'!E15))&lt;($C$2/100),"OK","NOK"))</f>
        <v>OK</v>
      </c>
    </row>
    <row r="8" spans="2:4" ht="15.75" thickBot="1">
      <c r="B8" s="41" t="s">
        <v>42</v>
      </c>
      <c r="C8" s="42">
        <f>IF(ELISA!B8="","",ELISA!B8)</f>
        <v>2402404</v>
      </c>
      <c r="D8" s="55" t="str">
        <f>IF('450 nm - 600 nm'!B16="","",IF(ABS(1-('450 nm - 600 nm'!B16/'450 nm - 600 nm'!E16))&lt;($C$2/100),"OK","NOK"))</f>
        <v>OK</v>
      </c>
    </row>
    <row r="9" spans="2:4" ht="15.75" thickBot="1">
      <c r="B9" s="41" t="s">
        <v>43</v>
      </c>
      <c r="C9" s="42">
        <f>IF(ELISA!B9="","",ELISA!B9)</f>
        <v>2500144</v>
      </c>
      <c r="D9" s="55" t="str">
        <f>IF('450 nm - 600 nm'!B17="","",IF(ABS(1-('450 nm - 600 nm'!B17/'450 nm - 600 nm'!E17))&lt;($C$2/100),"OK","NOK"))</f>
        <v>OK</v>
      </c>
    </row>
    <row r="10" spans="2:4" ht="15.75" thickBot="1">
      <c r="B10" s="41" t="s">
        <v>44</v>
      </c>
      <c r="C10" s="42">
        <f>IF(ELISA!B10="","",ELISA!B10)</f>
        <v>2500035</v>
      </c>
      <c r="D10" s="55" t="str">
        <f>IF('450 nm - 600 nm'!B18="","",IF(ABS(1-('450 nm - 600 nm'!B18/'450 nm - 600 nm'!E18))&lt;($C$2/100),"OK","NOK"))</f>
        <v>OK</v>
      </c>
    </row>
    <row r="11" spans="2:4" ht="15.75" thickBot="1">
      <c r="B11" s="41" t="s">
        <v>45</v>
      </c>
      <c r="C11" s="42">
        <f>IF(ELISA!B11="","",ELISA!B11)</f>
        <v>2500140</v>
      </c>
      <c r="D11" s="55" t="str">
        <f>IF('450 nm - 600 nm'!B19="","",IF(ABS(1-('450 nm - 600 nm'!B19/'450 nm - 600 nm'!E19))&lt;($C$2/100),"OK","NOK"))</f>
        <v>OK</v>
      </c>
    </row>
    <row r="12" spans="2:4" ht="15.75" thickBot="1">
      <c r="B12" s="41" t="s">
        <v>46</v>
      </c>
      <c r="C12" s="42">
        <f>IF(ELISA!B12="","",ELISA!B12)</f>
        <v>2402481</v>
      </c>
      <c r="D12" s="55" t="str">
        <f>IF('450 nm - 600 nm'!B20="","",IF(ABS(1-('450 nm - 600 nm'!B20/'450 nm - 600 nm'!E20))&lt;($C$2/100),"OK","NOK"))</f>
        <v>NOK</v>
      </c>
    </row>
    <row r="13" spans="2:4" ht="15.75" thickBot="1">
      <c r="B13" s="41" t="s">
        <v>47</v>
      </c>
      <c r="C13" s="42">
        <f>IF(ELISA!B13="","",ELISA!B13)</f>
        <v>2402867</v>
      </c>
      <c r="D13" s="55" t="str">
        <f>IF('450 nm - 600 nm'!B21="","",IF(ABS(1-('450 nm - 600 nm'!B21/'450 nm - 600 nm'!E21))&lt;($C$2/100),"OK","NOK"))</f>
        <v>OK</v>
      </c>
    </row>
    <row r="14" spans="2:4" ht="15.75" thickBot="1">
      <c r="B14" s="41" t="s">
        <v>48</v>
      </c>
      <c r="C14" s="42">
        <f>IF(ELISA!B14="","",ELISA!B14)</f>
        <v>2402789</v>
      </c>
      <c r="D14" s="55" t="str">
        <f>IF('450 nm - 600 nm'!C14="","",IF(ABS(1-('450 nm - 600 nm'!C14/'450 nm - 600 nm'!F14))&lt;($C$2/100),"OK","NOK"))</f>
        <v>OK</v>
      </c>
    </row>
    <row r="15" spans="2:4" ht="15.75" thickBot="1">
      <c r="B15" s="41" t="s">
        <v>49</v>
      </c>
      <c r="C15" s="42">
        <f>IF(ELISA!B15="","",ELISA!B15)</f>
        <v>2500168</v>
      </c>
      <c r="D15" s="55" t="str">
        <f>IF('450 nm - 600 nm'!C15="","",IF(ABS(1-('450 nm - 600 nm'!C15/'450 nm - 600 nm'!F15))&lt;($C$2/100),"OK","NOK"))</f>
        <v>OK</v>
      </c>
    </row>
    <row r="16" spans="2:4" ht="15.75" thickBot="1">
      <c r="B16" s="41" t="s">
        <v>50</v>
      </c>
      <c r="C16" s="42">
        <f>IF(ELISA!B16="","",ELISA!B16)</f>
        <v>2500159</v>
      </c>
      <c r="D16" s="55" t="str">
        <f>IF('450 nm - 600 nm'!C16="","",IF(ABS(1-('450 nm - 600 nm'!C16/'450 nm - 600 nm'!F16))&lt;($C$2/100),"OK","NOK"))</f>
        <v>OK</v>
      </c>
    </row>
    <row r="17" spans="2:4" ht="15.75" thickBot="1">
      <c r="B17" s="41" t="s">
        <v>51</v>
      </c>
      <c r="C17" s="42">
        <f>IF(ELISA!B17="","",ELISA!B17)</f>
        <v>2400837</v>
      </c>
      <c r="D17" s="55" t="str">
        <f>IF('450 nm - 600 nm'!C17="","",IF(ABS(1-('450 nm - 600 nm'!C17/'450 nm - 600 nm'!F17))&lt;($C$2/100),"OK","NOK"))</f>
        <v>OK</v>
      </c>
    </row>
    <row r="18" spans="2:4" ht="15.75" thickBot="1">
      <c r="B18" s="41" t="s">
        <v>52</v>
      </c>
      <c r="C18" s="42">
        <f>IF(ELISA!B18="","",ELISA!B18)</f>
        <v>2500135</v>
      </c>
      <c r="D18" s="55" t="str">
        <f>IF('450 nm - 600 nm'!C18="","",IF(ABS(1-('450 nm - 600 nm'!C18/'450 nm - 600 nm'!F18))&lt;($C$2/100),"OK","NOK"))</f>
        <v>OK</v>
      </c>
    </row>
    <row r="19" spans="2:4" ht="15.75" thickBot="1">
      <c r="B19" s="41" t="s">
        <v>53</v>
      </c>
      <c r="C19" s="42">
        <f>IF(ELISA!B19="","",ELISA!B19)</f>
        <v>2500137</v>
      </c>
      <c r="D19" s="55" t="str">
        <f>IF('450 nm - 600 nm'!C19="","",IF(ABS(1-('450 nm - 600 nm'!C19/'450 nm - 600 nm'!F19))&lt;($C$2/100),"OK","NOK"))</f>
        <v>OK</v>
      </c>
    </row>
    <row r="20" spans="2:4" ht="15.75" thickBot="1">
      <c r="B20" s="41" t="s">
        <v>54</v>
      </c>
      <c r="C20" s="42">
        <f>IF(ELISA!B20="","",ELISA!B20)</f>
        <v>2400886</v>
      </c>
      <c r="D20" s="55" t="str">
        <f>IF('450 nm - 600 nm'!C20="","",IF(ABS(1-('450 nm - 600 nm'!C20/'450 nm - 600 nm'!F20))&lt;($C$2/100),"OK","NOK"))</f>
        <v>OK</v>
      </c>
    </row>
    <row r="21" spans="2:4" ht="15.75" thickBot="1">
      <c r="B21" s="41" t="s">
        <v>55</v>
      </c>
      <c r="C21" s="42">
        <f>IF(ELISA!B21="","",ELISA!B21)</f>
        <v>2400891</v>
      </c>
      <c r="D21" s="55" t="str">
        <f>IF('450 nm - 600 nm'!C21="","",IF(ABS(1-('450 nm - 600 nm'!C21/'450 nm - 600 nm'!F21))&lt;($C$2/100),"OK","NOK"))</f>
        <v>OK</v>
      </c>
    </row>
    <row r="22" spans="2:4" ht="15.75" thickBot="1">
      <c r="B22" s="41" t="s">
        <v>56</v>
      </c>
      <c r="C22" s="42">
        <f>IF(ELISA!B22="","",ELISA!B22)</f>
        <v>2402483</v>
      </c>
      <c r="D22" s="55" t="str">
        <f>IF('450 nm - 600 nm'!D14="","",IF(ABS(1-('450 nm - 600 nm'!D14/'450 nm - 600 nm'!G14))&lt;($C$2/100),"OK","NOK"))</f>
        <v>OK</v>
      </c>
    </row>
    <row r="23" spans="2:4" ht="15.75" thickBot="1">
      <c r="B23" s="41" t="s">
        <v>57</v>
      </c>
      <c r="C23" s="42">
        <f>IF(ELISA!B23="","",ELISA!B23)</f>
        <v>2500143</v>
      </c>
      <c r="D23" s="55" t="str">
        <f>IF('450 nm - 600 nm'!D15="","",IF(ABS(1-('450 nm - 600 nm'!D15/'450 nm - 600 nm'!G15))&lt;($C$2/100),"OK","NOK"))</f>
        <v>OK</v>
      </c>
    </row>
    <row r="24" spans="2:4" ht="15.75" thickBot="1">
      <c r="B24" s="41" t="s">
        <v>58</v>
      </c>
      <c r="C24" s="42">
        <f>IF(ELISA!B24="","",ELISA!B24)</f>
        <v>2500147</v>
      </c>
      <c r="D24" s="55" t="str">
        <f>IF('450 nm - 600 nm'!D16="","",IF(ABS(1-('450 nm - 600 nm'!D16/'450 nm - 600 nm'!G16))&lt;($C$2/100),"OK","NOK"))</f>
        <v>OK</v>
      </c>
    </row>
    <row r="25" spans="2:4" ht="15.75" thickBot="1">
      <c r="B25" s="41" t="s">
        <v>59</v>
      </c>
      <c r="C25" s="42">
        <f>IF(ELISA!B25="","",ELISA!B25)</f>
        <v>2500114</v>
      </c>
      <c r="D25" s="55" t="str">
        <f>IF('450 nm - 600 nm'!D17="","",IF(ABS(1-('450 nm - 600 nm'!D17/'450 nm - 600 nm'!G17))&lt;($C$2/100),"OK","NOK"))</f>
        <v>OK</v>
      </c>
    </row>
    <row r="26" spans="2:4" ht="15.75" thickBot="1">
      <c r="B26" s="41" t="s">
        <v>60</v>
      </c>
      <c r="C26" s="42">
        <f>IF(ELISA!B26="","",ELISA!B26)</f>
        <v>2400706</v>
      </c>
      <c r="D26" s="55" t="str">
        <f>IF('450 nm - 600 nm'!D18="","",IF(ABS(1-('450 nm - 600 nm'!D18/'450 nm - 600 nm'!G18))&lt;($C$2/100),"OK","NOK"))</f>
        <v>OK</v>
      </c>
    </row>
    <row r="27" spans="2:4" ht="15.75" thickBot="1">
      <c r="B27" s="41" t="s">
        <v>34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2025-07-11T10:52:46+00:00</Uploaded>
  </documentManagement>
</p:properties>
</file>

<file path=customXml/itemProps1.xml><?xml version="1.0" encoding="utf-8"?>
<ds:datastoreItem xmlns:ds="http://schemas.openxmlformats.org/officeDocument/2006/customXml" ds:itemID="{656B44E7-DEDE-4C33-90DE-922AF60CABBA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2025-07-14T11:06:26Z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