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CFF044E1-A1FB-4C6F-B6F3-6E5B6109EBA0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<sst xmlns="http://schemas.openxmlformats.org/spreadsheetml/2006/main" count="400" uniqueCount="75">
  <si>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</si>
  <si>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</si>
  <si>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</si>
  <si>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</si>
  <si>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</si>
  <si>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</si>
  <si>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</si>
  <si>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</si>
  <si>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</si>
  <si>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</si>
  <si>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</si>
  <si>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</si>
  <si>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</si>
  <si>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</si>
  <si>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</si>
  <si>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</si>
  <si>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</si>
  <si>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</si>
  <si>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</si>
  <si>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</si>
  <si>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</si>
  <si>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</si>
  <si>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</si>
  <si>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</si>
  <si>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</si>
  <si>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</si>
  <si>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</si>
  <si>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</si>
  <si>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</si>
  <si>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</si>
  <si>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</si>
  <si>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</si>
  <si>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</si>
  <si>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</si>
  <si>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</si>
  <si>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</si>
  <si>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</si>
  <si>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</si>
  <si>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</si>
  <si>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</si>
  <si>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</si>
  <si>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</si>
  <si>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</si>
  <si>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</si>
  <si>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</si>
  <si>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2025-11-04 08.11.17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</si>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</sst>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363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363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363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363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364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364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364</v>
      </c>
      <c r="C8" s="8">
        <v>34.220130760125201</v>
      </c>
      <c r="D8" s="8">
        <v>0.48291603169187203</v>
      </c>
      <c r="E8" s="8">
        <v>0.99897999999999998</v>
      </c>
      <c r="F8" s="8"/>
    </row>
    <row r="9" spans="1:6">
      <c r="A9" s="8">
        <v>8</v>
      </c>
      <c r="B9" s="8">
        <v>364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365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365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365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365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366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366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366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366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367</v>
      </c>
      <c r="C18" s="8">
        <v>22.2797613114965</v>
      </c>
      <c r="D18" s="8">
        <v>1.0766919147215801</v>
      </c>
      <c r="E18" s="8">
        <v>0.99934999999999996</v>
      </c>
      <c r="F18" s="8"/>
    </row>
    <row r="19" spans="1:6">
      <c r="A19" s="8">
        <v>18</v>
      </c>
      <c r="B19" s="8">
        <v>367</v>
      </c>
      <c r="C19" s="8">
        <v>22.413003925197199</v>
      </c>
      <c r="D19" s="8">
        <v>1.0929891106407801</v>
      </c>
      <c r="E19" s="8">
        <v>0.99946000000000002</v>
      </c>
      <c r="F19" s="8"/>
    </row>
    <row r="20" spans="1:6">
      <c r="A20" s="8">
        <v>19</v>
      </c>
      <c r="B20" s="8">
        <v>367</v>
      </c>
      <c r="C20" s="8">
        <v>22.512779953785898</v>
      </c>
      <c r="D20" s="8">
        <v>1.0988570111151099</v>
      </c>
      <c r="E20" s="8">
        <v>0.99919999999999998</v>
      </c>
      <c r="F20" s="8"/>
    </row>
    <row r="21" spans="1:6">
      <c r="A21" s="8">
        <v>20</v>
      </c>
      <c r="B21" s="8">
        <v>367</v>
      </c>
      <c r="C21" s="8">
        <v>22.244658757008299</v>
      </c>
      <c r="D21" s="8">
        <v>0.91241561188196596</v>
      </c>
      <c r="E21" s="8">
        <v>0.99995999999999996</v>
      </c>
      <c r="F21" s="8"/>
    </row>
    <row r="22" spans="1:6">
      <c r="A22" s="8">
        <v>21</v>
      </c>
      <c r="B22" s="8">
        <v>368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368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368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368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369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369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369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369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370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370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370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370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371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371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371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371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372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372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372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372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22.231924465450501</v>
      </c>
      <c r="D42" s="8">
        <v>0.82209322679144103</v>
      </c>
      <c r="E42" s="8">
        <v>0.99999000000000005</v>
      </c>
      <c r="F42" s="8"/>
    </row>
    <row r="43" spans="1:6">
      <c r="A43" s="8">
        <v>42</v>
      </c>
      <c r="B43" s="8" t="s">
        <v>7</v>
      </c>
      <c r="C43" s="8">
        <v>22.632397664884799</v>
      </c>
      <c r="D43" s="8">
        <v>0.78771232438635097</v>
      </c>
      <c r="E43" s="8">
        <v>0.99978999999999996</v>
      </c>
      <c r="F43" s="8"/>
    </row>
    <row r="44" spans="1:6">
      <c r="A44" s="8">
        <v>43</v>
      </c>
      <c r="B44" s="8" t="s">
        <v>7</v>
      </c>
      <c r="C44" s="8">
        <v>21.366994775792701</v>
      </c>
      <c r="D44" s="8">
        <v>0.930374907258674</v>
      </c>
      <c r="E44" s="8">
        <v>0.99999000000000005</v>
      </c>
      <c r="F44" s="8"/>
    </row>
    <row r="45" spans="1:6">
      <c r="A45" s="8">
        <v>44</v>
      </c>
      <c r="B45" s="8" t="s">
        <v>7</v>
      </c>
      <c r="C45" s="8">
        <v>23.389512279789599</v>
      </c>
      <c r="D45" s="8">
        <v>0.83752920568638101</v>
      </c>
      <c r="E45" s="8">
        <v>0.99924999999999997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363</v>
      </c>
      <c r="C2" s="9">
        <v>38.104979673719399</v>
      </c>
      <c r="D2" s="9">
        <v>0.47368881402686203</v>
      </c>
      <c r="E2" s="9">
        <v>0.99885000000000002</v>
      </c>
      <c r="F2" s="9"/>
    </row>
    <row r="3" spans="1:6">
      <c r="A3" s="9">
        <v>2</v>
      </c>
      <c r="B3" s="9">
        <v>363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363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363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364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364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364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364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365</v>
      </c>
      <c r="C10" s="9">
        <v>37.241855093800602</v>
      </c>
      <c r="D10" s="9">
        <v>0.58764938820819601</v>
      </c>
      <c r="E10" s="9">
        <v>0.99704000000000004</v>
      </c>
      <c r="F10" s="9"/>
    </row>
    <row r="11" spans="1:6">
      <c r="A11" s="9">
        <v>10</v>
      </c>
      <c r="B11" s="9">
        <v>365</v>
      </c>
      <c r="C11" s="9">
        <v>37.541338972248298</v>
      </c>
      <c r="D11" s="9">
        <v>0.58012663954469101</v>
      </c>
      <c r="E11" s="9">
        <v>0.99827999999999995</v>
      </c>
      <c r="F11" s="9"/>
    </row>
    <row r="12" spans="1:6">
      <c r="A12" s="9">
        <v>11</v>
      </c>
      <c r="B12" s="9">
        <v>365</v>
      </c>
      <c r="C12" s="9">
        <v>37.3516160321999</v>
      </c>
      <c r="D12" s="9">
        <v>0.58555706909900496</v>
      </c>
      <c r="E12" s="9">
        <v>0.99738000000000004</v>
      </c>
      <c r="F12" s="9"/>
    </row>
    <row r="13" spans="1:6">
      <c r="A13" s="9">
        <v>12</v>
      </c>
      <c r="B13" s="9">
        <v>365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366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366</v>
      </c>
      <c r="C15" s="9">
        <v>37.298257862591399</v>
      </c>
      <c r="D15" s="9">
        <v>0.64460954465453502</v>
      </c>
      <c r="E15" s="9">
        <v>0.99846999999999997</v>
      </c>
      <c r="F15" s="9"/>
    </row>
    <row r="16" spans="1:6">
      <c r="A16" s="9">
        <v>15</v>
      </c>
      <c r="B16" s="9">
        <v>366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366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367</v>
      </c>
      <c r="C18" s="9">
        <v>22.281387156680101</v>
      </c>
      <c r="D18" s="9">
        <v>0.96106519312803396</v>
      </c>
      <c r="E18" s="9">
        <v>0.99939999999999996</v>
      </c>
      <c r="F18" s="9"/>
    </row>
    <row r="19" spans="1:6">
      <c r="A19" s="9">
        <v>18</v>
      </c>
      <c r="B19" s="9">
        <v>367</v>
      </c>
      <c r="C19" s="9">
        <v>22.428280775838299</v>
      </c>
      <c r="D19" s="9">
        <v>0.94987257178410101</v>
      </c>
      <c r="E19" s="9">
        <v>0.99961999999999995</v>
      </c>
      <c r="F19" s="9"/>
    </row>
    <row r="20" spans="1:6">
      <c r="A20" s="9">
        <v>19</v>
      </c>
      <c r="B20" s="9">
        <v>367</v>
      </c>
      <c r="C20" s="9">
        <v>22.417741939664801</v>
      </c>
      <c r="D20" s="9">
        <v>0.951015018505728</v>
      </c>
      <c r="E20" s="9">
        <v>0.99958999999999998</v>
      </c>
      <c r="F20" s="9"/>
    </row>
    <row r="21" spans="1:6">
      <c r="A21" s="9">
        <v>20</v>
      </c>
      <c r="B21" s="9">
        <v>367</v>
      </c>
      <c r="C21" s="9">
        <v>22.4042226749809</v>
      </c>
      <c r="D21" s="9">
        <v>0.94713356129704396</v>
      </c>
      <c r="E21" s="9">
        <v>0.99956</v>
      </c>
      <c r="F21" s="9"/>
    </row>
    <row r="22" spans="1:6">
      <c r="A22" s="9">
        <v>21</v>
      </c>
      <c r="B22" s="9">
        <v>368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368</v>
      </c>
      <c r="C23" s="9">
        <v>36.6574847518838</v>
      </c>
      <c r="D23" s="9">
        <v>0.54009936334509401</v>
      </c>
      <c r="E23" s="9">
        <v>0.99894000000000005</v>
      </c>
      <c r="F23" s="9"/>
    </row>
    <row r="24" spans="1:6">
      <c r="A24" s="9">
        <v>23</v>
      </c>
      <c r="B24" s="9">
        <v>368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368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369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369</v>
      </c>
      <c r="C27" s="9">
        <v>37.738153413124898</v>
      </c>
      <c r="D27" s="9">
        <v>0.49574706302885102</v>
      </c>
      <c r="E27" s="9">
        <v>0.99978</v>
      </c>
      <c r="F27" s="9"/>
    </row>
    <row r="28" spans="1:6">
      <c r="A28" s="9">
        <v>27</v>
      </c>
      <c r="B28" s="9">
        <v>369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369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370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370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370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370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371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371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371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371</v>
      </c>
      <c r="C37" s="9">
        <v>37.627096870094903</v>
      </c>
      <c r="D37" s="9">
        <v>0.552828206288699</v>
      </c>
      <c r="E37" s="9">
        <v>0.99841999999999997</v>
      </c>
      <c r="F37" s="9"/>
    </row>
    <row r="38" spans="1:6">
      <c r="A38" s="9">
        <v>37</v>
      </c>
      <c r="B38" s="9">
        <v>372</v>
      </c>
      <c r="C38" s="9">
        <v>37.587942203512199</v>
      </c>
      <c r="D38" s="9">
        <v>0.48507934583009799</v>
      </c>
      <c r="E38" s="9">
        <v>0.99983</v>
      </c>
      <c r="F38" s="9"/>
    </row>
    <row r="39" spans="1:6">
      <c r="A39" s="9">
        <v>38</v>
      </c>
      <c r="B39" s="9">
        <v>372</v>
      </c>
      <c r="C39" s="9">
        <v>37.906535004836996</v>
      </c>
      <c r="D39" s="9">
        <v>0.47860564413972001</v>
      </c>
      <c r="E39" s="9">
        <v>0.99983</v>
      </c>
      <c r="F39" s="9"/>
    </row>
    <row r="40" spans="1:6">
      <c r="A40" s="9">
        <v>39</v>
      </c>
      <c r="B40" s="9">
        <v>372</v>
      </c>
      <c r="C40" s="9">
        <v>37.9080248749774</v>
      </c>
      <c r="D40" s="9">
        <v>0.50156154034336997</v>
      </c>
      <c r="E40" s="9">
        <v>0.99985000000000002</v>
      </c>
      <c r="F40" s="9"/>
    </row>
    <row r="41" spans="1:6">
      <c r="A41" s="9">
        <v>40</v>
      </c>
      <c r="B41" s="9">
        <v>372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20.3998521740989</v>
      </c>
      <c r="D42" s="9">
        <v>0.98941911664702098</v>
      </c>
      <c r="E42" s="9">
        <v>0.99936000000000003</v>
      </c>
      <c r="F42" s="9"/>
    </row>
    <row r="43" spans="1:6">
      <c r="A43" s="9">
        <v>42</v>
      </c>
      <c r="B43" s="9" t="s">
        <v>7</v>
      </c>
      <c r="C43" s="9">
        <v>20.4508680290465</v>
      </c>
      <c r="D43" s="9">
        <v>0.98777169973092305</v>
      </c>
      <c r="E43" s="9">
        <v>0.99936000000000003</v>
      </c>
      <c r="F43" s="9"/>
    </row>
    <row r="44" spans="1:6">
      <c r="A44" s="9">
        <v>43</v>
      </c>
      <c r="B44" s="9" t="s">
        <v>7</v>
      </c>
      <c r="C44" s="9">
        <v>20.134766081342899</v>
      </c>
      <c r="D44" s="9">
        <v>0.94745513237106804</v>
      </c>
      <c r="E44" s="9">
        <v>0.99916000000000005</v>
      </c>
      <c r="F44" s="9"/>
    </row>
    <row r="45" spans="1:6">
      <c r="A45" s="9">
        <v>44</v>
      </c>
      <c r="B45" s="9" t="s">
        <v>7</v>
      </c>
      <c r="C45" s="9">
        <v>20.598579922343301</v>
      </c>
      <c r="D45" s="9">
        <v>0.97468938292704099</v>
      </c>
      <c r="E45" s="9">
        <v>0.99900999999999995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363</v>
      </c>
      <c r="C2" s="10">
        <v>22.253454799354898</v>
      </c>
      <c r="D2" s="10">
        <v>0.91560847078627905</v>
      </c>
      <c r="E2" s="10">
        <v>0.99894000000000005</v>
      </c>
      <c r="F2" s="10"/>
    </row>
    <row r="3" spans="1:6">
      <c r="A3" s="10">
        <v>2</v>
      </c>
      <c r="B3" s="10">
        <v>363</v>
      </c>
      <c r="C3" s="10">
        <v>22.178553470495999</v>
      </c>
      <c r="D3" s="10">
        <v>0.90258620417194901</v>
      </c>
      <c r="E3" s="10">
        <v>0.99909000000000003</v>
      </c>
      <c r="F3" s="10"/>
    </row>
    <row r="4" spans="1:6">
      <c r="A4" s="10">
        <v>3</v>
      </c>
      <c r="B4" s="10">
        <v>363</v>
      </c>
      <c r="C4" s="10">
        <v>22.0538976538102</v>
      </c>
      <c r="D4" s="10">
        <v>0.90233202256525402</v>
      </c>
      <c r="E4" s="10">
        <v>0.99916000000000005</v>
      </c>
      <c r="F4" s="10"/>
    </row>
    <row r="5" spans="1:6">
      <c r="A5" s="10">
        <v>4</v>
      </c>
      <c r="B5" s="10">
        <v>363</v>
      </c>
      <c r="C5" s="10">
        <v>21.998492858752599</v>
      </c>
      <c r="D5" s="10">
        <v>0.88619068874783102</v>
      </c>
      <c r="E5" s="10">
        <v>0.99938000000000005</v>
      </c>
      <c r="F5" s="10"/>
    </row>
    <row r="6" spans="1:6">
      <c r="A6" s="10">
        <v>5</v>
      </c>
      <c r="B6" s="10">
        <v>364</v>
      </c>
      <c r="C6" s="10">
        <v>24.848315522516</v>
      </c>
      <c r="D6" s="10">
        <v>0.92139618259343903</v>
      </c>
      <c r="E6" s="10">
        <v>0.99894000000000005</v>
      </c>
      <c r="F6" s="10"/>
    </row>
    <row r="7" spans="1:6">
      <c r="A7" s="10">
        <v>6</v>
      </c>
      <c r="B7" s="10">
        <v>364</v>
      </c>
      <c r="C7" s="10">
        <v>24.735282565459698</v>
      </c>
      <c r="D7" s="10">
        <v>0.90461270531014204</v>
      </c>
      <c r="E7" s="10">
        <v>0.99911000000000005</v>
      </c>
      <c r="F7" s="10"/>
    </row>
    <row r="8" spans="1:6">
      <c r="A8" s="10">
        <v>7</v>
      </c>
      <c r="B8" s="10">
        <v>364</v>
      </c>
      <c r="C8" s="10">
        <v>24.8442853398167</v>
      </c>
      <c r="D8" s="10">
        <v>0.93908146401584403</v>
      </c>
      <c r="E8" s="10">
        <v>0.99873000000000001</v>
      </c>
      <c r="F8" s="10"/>
    </row>
    <row r="9" spans="1:6">
      <c r="A9" s="10">
        <v>8</v>
      </c>
      <c r="B9" s="10">
        <v>364</v>
      </c>
      <c r="C9" s="10">
        <v>24.777655121552701</v>
      </c>
      <c r="D9" s="10">
        <v>0.92832156890814599</v>
      </c>
      <c r="E9" s="10">
        <v>0.99887999999999999</v>
      </c>
      <c r="F9" s="10"/>
    </row>
    <row r="10" spans="1:6">
      <c r="A10" s="10">
        <v>9</v>
      </c>
      <c r="B10" s="10">
        <v>365</v>
      </c>
      <c r="C10" s="10">
        <v>25.802268161480502</v>
      </c>
      <c r="D10" s="10">
        <v>0.92607629478783005</v>
      </c>
      <c r="E10" s="10">
        <v>0.99892000000000003</v>
      </c>
      <c r="F10" s="10"/>
    </row>
    <row r="11" spans="1:6">
      <c r="A11" s="10">
        <v>10</v>
      </c>
      <c r="B11" s="10">
        <v>365</v>
      </c>
      <c r="C11" s="10">
        <v>25.688088422473399</v>
      </c>
      <c r="D11" s="10">
        <v>0.93562722261639097</v>
      </c>
      <c r="E11" s="10">
        <v>0.99863999999999997</v>
      </c>
      <c r="F11" s="10"/>
    </row>
    <row r="12" spans="1:6">
      <c r="A12" s="10">
        <v>11</v>
      </c>
      <c r="B12" s="10">
        <v>365</v>
      </c>
      <c r="C12" s="10">
        <v>25.7024908622917</v>
      </c>
      <c r="D12" s="10">
        <v>0.92398530131691203</v>
      </c>
      <c r="E12" s="10">
        <v>0.99883999999999995</v>
      </c>
      <c r="F12" s="10"/>
    </row>
    <row r="13" spans="1:6">
      <c r="A13" s="10">
        <v>12</v>
      </c>
      <c r="B13" s="10">
        <v>365</v>
      </c>
      <c r="C13" s="10">
        <v>25.712526893454999</v>
      </c>
      <c r="D13" s="10">
        <v>0.91436240627478005</v>
      </c>
      <c r="E13" s="10">
        <v>0.99890000000000001</v>
      </c>
      <c r="F13" s="10"/>
    </row>
    <row r="14" spans="1:6">
      <c r="A14" s="10">
        <v>13</v>
      </c>
      <c r="B14" s="10">
        <v>366</v>
      </c>
      <c r="C14" s="10">
        <v>25.190055963994801</v>
      </c>
      <c r="D14" s="10">
        <v>0.90318968574228298</v>
      </c>
      <c r="E14" s="10">
        <v>0.99916000000000005</v>
      </c>
      <c r="F14" s="10"/>
    </row>
    <row r="15" spans="1:6">
      <c r="A15" s="10">
        <v>14</v>
      </c>
      <c r="B15" s="10">
        <v>366</v>
      </c>
      <c r="C15" s="10">
        <v>25.103670471783602</v>
      </c>
      <c r="D15" s="10">
        <v>0.90746685302233698</v>
      </c>
      <c r="E15" s="10">
        <v>0.99895</v>
      </c>
      <c r="F15" s="10"/>
    </row>
    <row r="16" spans="1:6">
      <c r="A16" s="10">
        <v>15</v>
      </c>
      <c r="B16" s="10">
        <v>366</v>
      </c>
      <c r="C16" s="10">
        <v>25.094994159206099</v>
      </c>
      <c r="D16" s="10">
        <v>0.91250909028043203</v>
      </c>
      <c r="E16" s="10">
        <v>0.99892000000000003</v>
      </c>
      <c r="F16" s="10"/>
    </row>
    <row r="17" spans="1:6">
      <c r="A17" s="10">
        <v>16</v>
      </c>
      <c r="B17" s="10">
        <v>366</v>
      </c>
      <c r="C17" s="10">
        <v>25.0721417116673</v>
      </c>
      <c r="D17" s="10">
        <v>0.90606745761209195</v>
      </c>
      <c r="E17" s="10">
        <v>0.99931000000000003</v>
      </c>
      <c r="F17" s="10"/>
    </row>
    <row r="18" spans="1:6">
      <c r="A18" s="10">
        <v>17</v>
      </c>
      <c r="B18" s="10">
        <v>367</v>
      </c>
      <c r="C18" s="10">
        <v>21.151330392233302</v>
      </c>
      <c r="D18" s="10">
        <v>0.91425826047110204</v>
      </c>
      <c r="E18" s="10">
        <v>0.99902000000000002</v>
      </c>
      <c r="F18" s="10"/>
    </row>
    <row r="19" spans="1:6">
      <c r="A19" s="10">
        <v>18</v>
      </c>
      <c r="B19" s="10">
        <v>367</v>
      </c>
      <c r="C19" s="10">
        <v>21.173603218822201</v>
      </c>
      <c r="D19" s="10">
        <v>0.90963205441963002</v>
      </c>
      <c r="E19" s="10">
        <v>0.99902999999999997</v>
      </c>
      <c r="F19" s="10"/>
    </row>
    <row r="20" spans="1:6">
      <c r="A20" s="10">
        <v>19</v>
      </c>
      <c r="B20" s="10">
        <v>367</v>
      </c>
      <c r="C20" s="10">
        <v>21.192633915203199</v>
      </c>
      <c r="D20" s="10">
        <v>0.90723608024321101</v>
      </c>
      <c r="E20" s="10">
        <v>0.99902000000000002</v>
      </c>
      <c r="F20" s="10"/>
    </row>
    <row r="21" spans="1:6">
      <c r="A21" s="10">
        <v>20</v>
      </c>
      <c r="B21" s="10">
        <v>367</v>
      </c>
      <c r="C21" s="10">
        <v>21.184635083362799</v>
      </c>
      <c r="D21" s="10">
        <v>0.90280161495331901</v>
      </c>
      <c r="E21" s="10">
        <v>0.99911000000000005</v>
      </c>
      <c r="F21" s="10"/>
    </row>
    <row r="22" spans="1:6">
      <c r="A22" s="10">
        <v>21</v>
      </c>
      <c r="B22" s="10">
        <v>368</v>
      </c>
      <c r="C22" s="10">
        <v>21.935470532036899</v>
      </c>
      <c r="D22" s="10">
        <v>0.92995748961580305</v>
      </c>
      <c r="E22" s="10">
        <v>0.99895999999999996</v>
      </c>
      <c r="F22" s="10"/>
    </row>
    <row r="23" spans="1:6">
      <c r="A23" s="10">
        <v>22</v>
      </c>
      <c r="B23" s="10">
        <v>368</v>
      </c>
      <c r="C23" s="10">
        <v>21.691913272502699</v>
      </c>
      <c r="D23" s="10">
        <v>0.89470567425124103</v>
      </c>
      <c r="E23" s="10">
        <v>0.99919000000000002</v>
      </c>
      <c r="F23" s="10"/>
    </row>
    <row r="24" spans="1:6">
      <c r="A24" s="10">
        <v>23</v>
      </c>
      <c r="B24" s="10">
        <v>368</v>
      </c>
      <c r="C24" s="10">
        <v>21.761973075048701</v>
      </c>
      <c r="D24" s="10">
        <v>0.91928691478190905</v>
      </c>
      <c r="E24" s="10">
        <v>0.99885999999999997</v>
      </c>
      <c r="F24" s="10"/>
    </row>
    <row r="25" spans="1:6">
      <c r="A25" s="10">
        <v>24</v>
      </c>
      <c r="B25" s="10">
        <v>368</v>
      </c>
      <c r="C25" s="10">
        <v>21.771610180500101</v>
      </c>
      <c r="D25" s="10">
        <v>0.903460671929879</v>
      </c>
      <c r="E25" s="10">
        <v>0.999</v>
      </c>
      <c r="F25" s="10"/>
    </row>
    <row r="26" spans="1:6">
      <c r="A26" s="10">
        <v>25</v>
      </c>
      <c r="B26" s="10">
        <v>369</v>
      </c>
      <c r="C26" s="10">
        <v>22.368062313669899</v>
      </c>
      <c r="D26" s="10">
        <v>1.00420694405205</v>
      </c>
      <c r="E26" s="10">
        <v>0.99834999999999996</v>
      </c>
      <c r="F26" s="10"/>
    </row>
    <row r="27" spans="1:6">
      <c r="A27" s="10">
        <v>26</v>
      </c>
      <c r="B27" s="10">
        <v>369</v>
      </c>
      <c r="C27" s="10">
        <v>22.398036057364699</v>
      </c>
      <c r="D27" s="10">
        <v>0.85769759790093703</v>
      </c>
      <c r="E27" s="10">
        <v>0.99958000000000002</v>
      </c>
      <c r="F27" s="10"/>
    </row>
    <row r="28" spans="1:6">
      <c r="A28" s="10">
        <v>27</v>
      </c>
      <c r="B28" s="10">
        <v>369</v>
      </c>
      <c r="C28" s="10">
        <v>22.593816068998599</v>
      </c>
      <c r="D28" s="10">
        <v>0.93932940907534102</v>
      </c>
      <c r="E28" s="10">
        <v>0.99863999999999997</v>
      </c>
      <c r="F28" s="10"/>
    </row>
    <row r="29" spans="1:6">
      <c r="A29" s="10">
        <v>28</v>
      </c>
      <c r="B29" s="10">
        <v>369</v>
      </c>
      <c r="C29" s="10">
        <v>22.406029139147499</v>
      </c>
      <c r="D29" s="10">
        <v>0.85867718390101599</v>
      </c>
      <c r="E29" s="10">
        <v>0.99951000000000001</v>
      </c>
      <c r="F29" s="10"/>
    </row>
    <row r="30" spans="1:6">
      <c r="A30" s="10">
        <v>29</v>
      </c>
      <c r="B30" s="10">
        <v>370</v>
      </c>
      <c r="C30" s="10">
        <v>25.268075469208899</v>
      </c>
      <c r="D30" s="10">
        <v>0.88536219495455903</v>
      </c>
      <c r="E30" s="10">
        <v>0.99938000000000005</v>
      </c>
      <c r="F30" s="10"/>
    </row>
    <row r="31" spans="1:6">
      <c r="A31" s="10">
        <v>30</v>
      </c>
      <c r="B31" s="10">
        <v>370</v>
      </c>
      <c r="C31" s="10">
        <v>25.341255855441698</v>
      </c>
      <c r="D31" s="10">
        <v>0.88604857860840003</v>
      </c>
      <c r="E31" s="10">
        <v>0.99929999999999997</v>
      </c>
      <c r="F31" s="10"/>
    </row>
    <row r="32" spans="1:6">
      <c r="A32" s="10">
        <v>31</v>
      </c>
      <c r="B32" s="10">
        <v>370</v>
      </c>
      <c r="C32" s="10">
        <v>25.251381352081001</v>
      </c>
      <c r="D32" s="10">
        <v>0.87485335589249902</v>
      </c>
      <c r="E32" s="10">
        <v>0.99934000000000001</v>
      </c>
      <c r="F32" s="10"/>
    </row>
    <row r="33" spans="1:6">
      <c r="A33" s="10">
        <v>32</v>
      </c>
      <c r="B33" s="10">
        <v>370</v>
      </c>
      <c r="C33" s="10">
        <v>25.319934256610701</v>
      </c>
      <c r="D33" s="10">
        <v>0.86083599358938701</v>
      </c>
      <c r="E33" s="10">
        <v>0.99951000000000001</v>
      </c>
      <c r="F33" s="10"/>
    </row>
    <row r="34" spans="1:6">
      <c r="A34" s="10">
        <v>33</v>
      </c>
      <c r="B34" s="10">
        <v>371</v>
      </c>
      <c r="C34" s="10">
        <v>25.982074963943099</v>
      </c>
      <c r="D34" s="10">
        <v>0.91164722917899799</v>
      </c>
      <c r="E34" s="10">
        <v>0.99916000000000005</v>
      </c>
      <c r="F34" s="10"/>
    </row>
    <row r="35" spans="1:6">
      <c r="A35" s="10">
        <v>34</v>
      </c>
      <c r="B35" s="10">
        <v>371</v>
      </c>
      <c r="C35" s="10">
        <v>26.006938867636801</v>
      </c>
      <c r="D35" s="10">
        <v>0.90199543376167002</v>
      </c>
      <c r="E35" s="10">
        <v>0.99921000000000004</v>
      </c>
      <c r="F35" s="10"/>
    </row>
    <row r="36" spans="1:6">
      <c r="A36" s="10">
        <v>35</v>
      </c>
      <c r="B36" s="10">
        <v>371</v>
      </c>
      <c r="C36" s="10">
        <v>25.937367753035399</v>
      </c>
      <c r="D36" s="10">
        <v>0.90760610970073696</v>
      </c>
      <c r="E36" s="10">
        <v>0.99902999999999997</v>
      </c>
      <c r="F36" s="10"/>
    </row>
    <row r="37" spans="1:6">
      <c r="A37" s="10">
        <v>36</v>
      </c>
      <c r="B37" s="10">
        <v>371</v>
      </c>
      <c r="C37" s="10">
        <v>26.001106379606899</v>
      </c>
      <c r="D37" s="10">
        <v>0.89424493326784404</v>
      </c>
      <c r="E37" s="10">
        <v>0.99917</v>
      </c>
      <c r="F37" s="10"/>
    </row>
    <row r="38" spans="1:6">
      <c r="A38" s="10">
        <v>37</v>
      </c>
      <c r="B38" s="10">
        <v>372</v>
      </c>
      <c r="C38" s="10">
        <v>22.0655938994839</v>
      </c>
      <c r="D38" s="10">
        <v>0.90173004008886704</v>
      </c>
      <c r="E38" s="10">
        <v>0.99943000000000004</v>
      </c>
      <c r="F38" s="10"/>
    </row>
    <row r="39" spans="1:6">
      <c r="A39" s="10">
        <v>38</v>
      </c>
      <c r="B39" s="10">
        <v>372</v>
      </c>
      <c r="C39" s="10">
        <v>22.016414315392101</v>
      </c>
      <c r="D39" s="10">
        <v>0.88084063471387297</v>
      </c>
      <c r="E39" s="10">
        <v>0.99946000000000002</v>
      </c>
      <c r="F39" s="10"/>
    </row>
    <row r="40" spans="1:6">
      <c r="A40" s="10">
        <v>39</v>
      </c>
      <c r="B40" s="10">
        <v>372</v>
      </c>
      <c r="C40" s="10">
        <v>22.1435119029722</v>
      </c>
      <c r="D40" s="10">
        <v>0.89298107719905595</v>
      </c>
      <c r="E40" s="10">
        <v>0.99917</v>
      </c>
      <c r="F40" s="10"/>
    </row>
    <row r="41" spans="1:6">
      <c r="A41" s="10">
        <v>40</v>
      </c>
      <c r="B41" s="10">
        <v>372</v>
      </c>
      <c r="C41" s="10">
        <v>22.045592675248301</v>
      </c>
      <c r="D41" s="10">
        <v>0.92219267918884995</v>
      </c>
      <c r="E41" s="10">
        <v>0.99909999999999999</v>
      </c>
      <c r="F41" s="10"/>
    </row>
    <row r="42" spans="1:6">
      <c r="A42" s="10">
        <v>41</v>
      </c>
      <c r="B42" s="10" t="s">
        <v>7</v>
      </c>
      <c r="C42" s="10">
        <v>35.753577612351499</v>
      </c>
      <c r="D42" s="10">
        <v>0.63610091887995801</v>
      </c>
      <c r="E42" s="10">
        <v>0.99943000000000004</v>
      </c>
      <c r="F42" s="10"/>
    </row>
    <row r="43" spans="1:6">
      <c r="A43" s="10">
        <v>42</v>
      </c>
      <c r="B43" s="10" t="s">
        <v>7</v>
      </c>
      <c r="C43" s="10">
        <v>35.674897283276103</v>
      </c>
      <c r="D43" s="10">
        <v>0.66878343545400198</v>
      </c>
      <c r="E43" s="10">
        <v>0.99917999999999996</v>
      </c>
      <c r="F43" s="10"/>
    </row>
    <row r="44" spans="1:6">
      <c r="A44" s="10">
        <v>43</v>
      </c>
      <c r="B44" s="10" t="s">
        <v>7</v>
      </c>
      <c r="C44" s="10">
        <v>35.813395774557002</v>
      </c>
      <c r="D44" s="10">
        <v>0.65840754209825803</v>
      </c>
      <c r="E44" s="10">
        <v>0.99917999999999996</v>
      </c>
      <c r="F44" s="10"/>
    </row>
    <row r="45" spans="1:6">
      <c r="A45" s="10">
        <v>44</v>
      </c>
      <c r="B45" s="10" t="s">
        <v>7</v>
      </c>
      <c r="C45" s="10">
        <v>34.513426136787501</v>
      </c>
      <c r="D45" s="10">
        <v>0.70157229451250802</v>
      </c>
      <c r="E45" s="10">
        <v>0.99921000000000004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37.554475826478402</v>
      </c>
      <c r="D49" s="10">
        <v>0.92517750872299698</v>
      </c>
      <c r="E49" s="10">
        <v>0.99883999999999995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363</v>
      </c>
      <c r="B2">
        <f>IF('177T'!C2="", "", '177T'!C2)</f>
        <v>-1</v>
      </c>
      <c r="C2">
        <f>IF('18S2'!C2="", "", '18S2'!C2)</f>
        <v>38.104979673719399</v>
      </c>
      <c r="D2">
        <f>IF(RNAseP!C2="", "", RNAseP!C2)</f>
        <v>22.253454799354898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0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S</v>
      </c>
      <c r="I2" t="str" cm="1">
        <f t="array" ref="I2">INDEX(Decision!$E$1:$E$28, MATCH(E2&amp;F2&amp;G2, Decision!$A$1:$A$28&amp;Decision!$B$1:$B$28&amp;Decision!$C$1:$C$28, 0))</f>
        <v>RNA suspect</v>
      </c>
    </row>
    <row r="3" spans="1:9">
      <c r="A3">
        <f>IF(AND('177T'!B3 = '18S2'!B3, '177T'!B3 = RNAseP!B3, '177T'!B3 &lt;&gt; ""), '177T'!B3, IF('177T'!B3 = "", "", "Mismatch"))</f>
        <v>363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22.178553470495999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363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22.0538976538102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363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21.998492858752599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364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24.848315522516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364</v>
      </c>
      <c r="B7">
        <f>IF('177T'!C7="", "", '177T'!C7)</f>
        <v>-1</v>
      </c>
      <c r="C7">
        <f>IF('18S2'!C7="", "", '18S2'!C7)</f>
        <v>-1</v>
      </c>
      <c r="D7">
        <f>IF(RNAseP!C7="", "", RNAseP!C7)</f>
        <v>24.735282565459698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364</v>
      </c>
      <c r="B8">
        <f>IF('177T'!C8="", "", '177T'!C8)</f>
        <v>34.220130760125201</v>
      </c>
      <c r="C8">
        <f>IF('18S2'!C8="", "", '18S2'!C8)</f>
        <v>-1</v>
      </c>
      <c r="D8">
        <f>IF(RNAseP!C8="", "", RNAseP!C8)</f>
        <v>24.8442853398167</v>
      </c>
      <c r="E8" s="3" t="str">
        <f>IF(B8=-1, "-1", IF(B8&lt;VLOOKUP("177T", Cutoff!$A$1:$B$4, 2, FALSE), "1", "0"))</f>
        <v>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P</v>
      </c>
      <c r="I8" t="str" cm="1">
        <f t="array" ref="I8">INDEX(Decision!$E$1:$E$28, MATCH(E8&amp;F8&amp;G8, Decision!$A$1:$A$28&amp;Decision!$B$1:$B$28&amp;Decision!$C$1:$C$28, 0))</f>
        <v>DNA case</v>
      </c>
    </row>
    <row r="9" spans="1:9">
      <c r="A9">
        <f>IF(AND('177T'!B9 = '18S2'!B9, '177T'!B9 = RNAseP!B9, '177T'!B9 &lt;&gt; ""), '177T'!B9, IF('177T'!B9 = "", "", "Mismatch"))</f>
        <v>364</v>
      </c>
      <c r="B9">
        <f>IF('177T'!C9="", "", '177T'!C9)</f>
        <v>-1</v>
      </c>
      <c r="C9">
        <f>IF('18S2'!C9="", "", '18S2'!C9)</f>
        <v>-1</v>
      </c>
      <c r="D9">
        <f>IF(RNAseP!C9="", "", RNAseP!C9)</f>
        <v>24.777655121552701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365</v>
      </c>
      <c r="B10">
        <f>IF('177T'!C10="", "", '177T'!C10)</f>
        <v>-1</v>
      </c>
      <c r="C10">
        <f>IF('18S2'!C10="", "", '18S2'!C10)</f>
        <v>37.241855093800602</v>
      </c>
      <c r="D10">
        <f>IF(RNAseP!C10="", "", RNAseP!C10)</f>
        <v>25.802268161480502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0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S</v>
      </c>
      <c r="I10" t="str" cm="1">
        <f t="array" ref="I10">INDEX(Decision!$E$1:$E$28, MATCH(E10&amp;F10&amp;G10, Decision!$A$1:$A$28&amp;Decision!$B$1:$B$28&amp;Decision!$C$1:$C$28, 0))</f>
        <v>RNA suspect</v>
      </c>
    </row>
    <row r="11" spans="1:9">
      <c r="A11">
        <f>IF(AND('177T'!B11 = '18S2'!B11, '177T'!B11 = RNAseP!B11, '177T'!B11 &lt;&gt; ""), '177T'!B11, IF('177T'!B11 = "", "", "Mismatch"))</f>
        <v>365</v>
      </c>
      <c r="B11">
        <f>IF('177T'!C11="", "", '177T'!C11)</f>
        <v>-1</v>
      </c>
      <c r="C11">
        <f>IF('18S2'!C11="", "", '18S2'!C11)</f>
        <v>37.541338972248298</v>
      </c>
      <c r="D11">
        <f>IF(RNAseP!C11="", "", RNAseP!C11)</f>
        <v>25.688088422473399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0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S</v>
      </c>
      <c r="I11" t="str" cm="1">
        <f t="array" ref="I11">INDEX(Decision!$E$1:$E$28, MATCH(E11&amp;F11&amp;G11, Decision!$A$1:$A$28&amp;Decision!$B$1:$B$28&amp;Decision!$C$1:$C$28, 0))</f>
        <v>RNA suspect</v>
      </c>
    </row>
    <row r="12" spans="1:9">
      <c r="A12">
        <f>IF(AND('177T'!B12 = '18S2'!B12, '177T'!B12 = RNAseP!B12, '177T'!B12 &lt;&gt; ""), '177T'!B12, IF('177T'!B12 = "", "", "Mismatch"))</f>
        <v>365</v>
      </c>
      <c r="B12">
        <f>IF('177T'!C12="", "", '177T'!C12)</f>
        <v>-1</v>
      </c>
      <c r="C12">
        <f>IF('18S2'!C12="", "", '18S2'!C12)</f>
        <v>37.3516160321999</v>
      </c>
      <c r="D12">
        <f>IF(RNAseP!C12="", "", RNAseP!C12)</f>
        <v>25.7024908622917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0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S</v>
      </c>
      <c r="I12" t="str" cm="1">
        <f t="array" ref="I12">INDEX(Decision!$E$1:$E$28, MATCH(E12&amp;F12&amp;G12, Decision!$A$1:$A$28&amp;Decision!$B$1:$B$28&amp;Decision!$C$1:$C$28, 0))</f>
        <v>RNA suspect</v>
      </c>
    </row>
    <row r="13" spans="1:9">
      <c r="A13">
        <f>IF(AND('177T'!B13 = '18S2'!B13, '177T'!B13 = RNAseP!B13, '177T'!B13 &lt;&gt; ""), '177T'!B13, IF('177T'!B13 = "", "", "Mismatch"))</f>
        <v>365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25.712526893454999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366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25.190055963994801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366</v>
      </c>
      <c r="B15">
        <f>IF('177T'!C15="", "", '177T'!C15)</f>
        <v>-1</v>
      </c>
      <c r="C15">
        <f>IF('18S2'!C15="", "", '18S2'!C15)</f>
        <v>37.298257862591399</v>
      </c>
      <c r="D15">
        <f>IF(RNAseP!C15="", "", RNAseP!C15)</f>
        <v>25.103670471783602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0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S</v>
      </c>
      <c r="I15" t="str" cm="1">
        <f t="array" ref="I15">INDEX(Decision!$E$1:$E$28, MATCH(E15&amp;F15&amp;G15, Decision!$A$1:$A$28&amp;Decision!$B$1:$B$28&amp;Decision!$C$1:$C$28, 0))</f>
        <v>RNA suspect</v>
      </c>
    </row>
    <row r="16" spans="1:9">
      <c r="A16">
        <f>IF(AND('177T'!B16 = '18S2'!B16, '177T'!B16 = RNAseP!B16, '177T'!B16 &lt;&gt; ""), '177T'!B16, IF('177T'!B16 = "", "", "Mismatch"))</f>
        <v>366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25.094994159206099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366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25.0721417116673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367</v>
      </c>
      <c r="B18">
        <f>IF('177T'!C18="", "", '177T'!C18)</f>
        <v>22.2797613114965</v>
      </c>
      <c r="C18">
        <f>IF('18S2'!C18="", "", '18S2'!C18)</f>
        <v>22.281387156680101</v>
      </c>
      <c r="D18">
        <f>IF(RNAseP!C18="", "", RNAseP!C18)</f>
        <v>21.151330392233302</v>
      </c>
      <c r="E18" s="3" t="str">
        <f>IF(B18=-1, "-1", IF(B18&lt;VLOOKUP("177T", Cutoff!$A$1:$B$4, 2, FALSE), "1", "0"))</f>
        <v>1</v>
      </c>
      <c r="F18" s="3" t="str">
        <f>IF(C18=-1, "-1", IF(C18&lt;VLOOKUP("18S2", Cutoff!$A$1:$B$4, 2, FALSE), "1", "0"))</f>
        <v>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P</v>
      </c>
      <c r="I18" t="str" cm="1">
        <f t="array" ref="I18">INDEX(Decision!$E$1:$E$28, MATCH(E18&amp;F18&amp;G18, Decision!$A$1:$A$28&amp;Decision!$B$1:$B$28&amp;Decision!$C$1:$C$28, 0))</f>
        <v>TNA case</v>
      </c>
    </row>
    <row r="19" spans="1:9">
      <c r="A19">
        <f>IF(AND('177T'!B19 = '18S2'!B19, '177T'!B19 = RNAseP!B19, '177T'!B19 &lt;&gt; ""), '177T'!B19, IF('177T'!B19 = "", "", "Mismatch"))</f>
        <v>367</v>
      </c>
      <c r="B19">
        <f>IF('177T'!C19="", "", '177T'!C19)</f>
        <v>22.413003925197199</v>
      </c>
      <c r="C19">
        <f>IF('18S2'!C19="", "", '18S2'!C19)</f>
        <v>22.428280775838299</v>
      </c>
      <c r="D19">
        <f>IF(RNAseP!C19="", "", RNAseP!C19)</f>
        <v>21.173603218822201</v>
      </c>
      <c r="E19" s="3" t="str">
        <f>IF(B19=-1, "-1", IF(B19&lt;VLOOKUP("177T", Cutoff!$A$1:$B$4, 2, FALSE), "1", "0"))</f>
        <v>1</v>
      </c>
      <c r="F19" s="3" t="str">
        <f>IF(C19=-1, "-1", IF(C19&lt;VLOOKUP("18S2", Cutoff!$A$1:$B$4, 2, FALSE), "1", "0"))</f>
        <v>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P</v>
      </c>
      <c r="I19" t="str" cm="1">
        <f t="array" ref="I19">INDEX(Decision!$E$1:$E$28, MATCH(E19&amp;F19&amp;G19, Decision!$A$1:$A$28&amp;Decision!$B$1:$B$28&amp;Decision!$C$1:$C$28, 0))</f>
        <v>TNA case</v>
      </c>
    </row>
    <row r="20" spans="1:9">
      <c r="A20">
        <f>IF(AND('177T'!B20 = '18S2'!B20, '177T'!B20 = RNAseP!B20, '177T'!B20 &lt;&gt; ""), '177T'!B20, IF('177T'!B20 = "", "", "Mismatch"))</f>
        <v>367</v>
      </c>
      <c r="B20">
        <f>IF('177T'!C20="", "", '177T'!C20)</f>
        <v>22.512779953785898</v>
      </c>
      <c r="C20">
        <f>IF('18S2'!C20="", "", '18S2'!C20)</f>
        <v>22.417741939664801</v>
      </c>
      <c r="D20">
        <f>IF(RNAseP!C20="", "", RNAseP!C20)</f>
        <v>21.192633915203199</v>
      </c>
      <c r="E20" s="3" t="str">
        <f>IF(B20=-1, "-1", IF(B20&lt;VLOOKUP("177T", Cutoff!$A$1:$B$4, 2, FALSE), "1", "0"))</f>
        <v>1</v>
      </c>
      <c r="F20" s="3" t="str">
        <f>IF(C20=-1, "-1", IF(C20&lt;VLOOKUP("18S2", Cutoff!$A$1:$B$4, 2, FALSE), "1", "0"))</f>
        <v>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P</v>
      </c>
      <c r="I20" t="str" cm="1">
        <f t="array" ref="I20">INDEX(Decision!$E$1:$E$28, MATCH(E20&amp;F20&amp;G20, Decision!$A$1:$A$28&amp;Decision!$B$1:$B$28&amp;Decision!$C$1:$C$28, 0))</f>
        <v>TNA case</v>
      </c>
    </row>
    <row r="21" spans="1:9">
      <c r="A21">
        <f>IF(AND('177T'!B21 = '18S2'!B21, '177T'!B21 = RNAseP!B21, '177T'!B21 &lt;&gt; ""), '177T'!B21, IF('177T'!B21 = "", "", "Mismatch"))</f>
        <v>367</v>
      </c>
      <c r="B21">
        <f>IF('177T'!C21="", "", '177T'!C21)</f>
        <v>22.244658757008299</v>
      </c>
      <c r="C21">
        <f>IF('18S2'!C21="", "", '18S2'!C21)</f>
        <v>22.4042226749809</v>
      </c>
      <c r="D21">
        <f>IF(RNAseP!C21="", "", RNAseP!C21)</f>
        <v>21.184635083362799</v>
      </c>
      <c r="E21" s="3" t="str">
        <f>IF(B21=-1, "-1", IF(B21&lt;VLOOKUP("177T", Cutoff!$A$1:$B$4, 2, FALSE), "1", "0"))</f>
        <v>1</v>
      </c>
      <c r="F21" s="3" t="str">
        <f>IF(C21=-1, "-1", IF(C21&lt;VLOOKUP("18S2", Cutoff!$A$1:$B$4, 2, FALSE), "1", "0"))</f>
        <v>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P</v>
      </c>
      <c r="I21" t="str" cm="1">
        <f t="array" ref="I21">INDEX(Decision!$E$1:$E$28, MATCH(E21&amp;F21&amp;G21, Decision!$A$1:$A$28&amp;Decision!$B$1:$B$28&amp;Decision!$C$1:$C$28, 0))</f>
        <v>TNA case</v>
      </c>
    </row>
    <row r="22" spans="1:9">
      <c r="A22">
        <f>IF(AND('177T'!B22 = '18S2'!B22, '177T'!B22 = RNAseP!B22, '177T'!B22 &lt;&gt; ""), '177T'!B22, IF('177T'!B22 = "", "", "Mismatch"))</f>
        <v>368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21.935470532036899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368</v>
      </c>
      <c r="B23">
        <f>IF('177T'!C23="", "", '177T'!C23)</f>
        <v>-1</v>
      </c>
      <c r="C23">
        <f>IF('18S2'!C23="", "", '18S2'!C23)</f>
        <v>36.6574847518838</v>
      </c>
      <c r="D23">
        <f>IF(RNAseP!C23="", "", RNAseP!C23)</f>
        <v>21.691913272502699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0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S</v>
      </c>
      <c r="I23" t="str" cm="1">
        <f t="array" ref="I23">INDEX(Decision!$E$1:$E$28, MATCH(E23&amp;F23&amp;G23, Decision!$A$1:$A$28&amp;Decision!$B$1:$B$28&amp;Decision!$C$1:$C$28, 0))</f>
        <v>RNA suspect</v>
      </c>
    </row>
    <row r="24" spans="1:9">
      <c r="A24">
        <f>IF(AND('177T'!B24 = '18S2'!B24, '177T'!B24 = RNAseP!B24, '177T'!B24 &lt;&gt; ""), '177T'!B24, IF('177T'!B24 = "", "", "Mismatch"))</f>
        <v>368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21.761973075048701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368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21.771610180500101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369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22.368062313669899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369</v>
      </c>
      <c r="B27">
        <f>IF('177T'!C27="", "", '177T'!C27)</f>
        <v>-1</v>
      </c>
      <c r="C27">
        <f>IF('18S2'!C27="", "", '18S2'!C27)</f>
        <v>37.738153413124898</v>
      </c>
      <c r="D27">
        <f>IF(RNAseP!C27="", "", RNAseP!C27)</f>
        <v>22.398036057364699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0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S</v>
      </c>
      <c r="I27" t="str" cm="1">
        <f t="array" ref="I27">INDEX(Decision!$E$1:$E$28, MATCH(E27&amp;F27&amp;G27, Decision!$A$1:$A$28&amp;Decision!$B$1:$B$28&amp;Decision!$C$1:$C$28, 0))</f>
        <v>RNA suspect</v>
      </c>
    </row>
    <row r="28" spans="1:9">
      <c r="A28">
        <f>IF(AND('177T'!B28 = '18S2'!B28, '177T'!B28 = RNAseP!B28, '177T'!B28 &lt;&gt; ""), '177T'!B28, IF('177T'!B28 = "", "", "Mismatch"))</f>
        <v>369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22.593816068998599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369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22.406029139147499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370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25.268075469208899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370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25.341255855441698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370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25.251381352081001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370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25.319934256610701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371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25.982074963943099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371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26.006938867636801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371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25.937367753035399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371</v>
      </c>
      <c r="B37">
        <f>IF('177T'!C37="", "", '177T'!C37)</f>
        <v>-1</v>
      </c>
      <c r="C37">
        <f>IF('18S2'!C37="", "", '18S2'!C37)</f>
        <v>37.627096870094903</v>
      </c>
      <c r="D37">
        <f>IF(RNAseP!C37="", "", RNAseP!C37)</f>
        <v>26.001106379606899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0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S</v>
      </c>
      <c r="I37" t="str" cm="1">
        <f t="array" ref="I37">INDEX(Decision!$E$1:$E$28, MATCH(E37&amp;F37&amp;G37, Decision!$A$1:$A$28&amp;Decision!$B$1:$B$28&amp;Decision!$C$1:$C$28, 0))</f>
        <v>RNA suspect</v>
      </c>
    </row>
    <row r="38" spans="1:9">
      <c r="A38">
        <f>IF(AND('177T'!B38 = '18S2'!B38, '177T'!B38 = RNAseP!B38, '177T'!B38 &lt;&gt; ""), '177T'!B38, IF('177T'!B38 = "", "", "Mismatch"))</f>
        <v>372</v>
      </c>
      <c r="B38">
        <f>IF('177T'!C38="", "", '177T'!C38)</f>
        <v>-1</v>
      </c>
      <c r="C38">
        <f>IF('18S2'!C38="", "", '18S2'!C38)</f>
        <v>37.587942203512199</v>
      </c>
      <c r="D38">
        <f>IF(RNAseP!C38="", "", RNAseP!C38)</f>
        <v>22.0655938994839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0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S</v>
      </c>
      <c r="I38" t="str" cm="1">
        <f t="array" ref="I38">INDEX(Decision!$E$1:$E$28, MATCH(E38&amp;F38&amp;G38, Decision!$A$1:$A$28&amp;Decision!$B$1:$B$28&amp;Decision!$C$1:$C$28, 0))</f>
        <v>RNA suspect</v>
      </c>
    </row>
    <row r="39" spans="1:9">
      <c r="A39">
        <f>IF(AND('177T'!B39 = '18S2'!B39, '177T'!B39 = RNAseP!B39, '177T'!B39 &lt;&gt; ""), '177T'!B39, IF('177T'!B39 = "", "", "Mismatch"))</f>
        <v>372</v>
      </c>
      <c r="B39">
        <f>IF('177T'!C39="", "", '177T'!C39)</f>
        <v>-1</v>
      </c>
      <c r="C39">
        <f>IF('18S2'!C39="", "", '18S2'!C39)</f>
        <v>37.906535004836996</v>
      </c>
      <c r="D39">
        <f>IF(RNAseP!C39="", "", RNAseP!C39)</f>
        <v>22.016414315392101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0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S</v>
      </c>
      <c r="I39" t="str" cm="1">
        <f t="array" ref="I39">INDEX(Decision!$E$1:$E$28, MATCH(E39&amp;F39&amp;G39, Decision!$A$1:$A$28&amp;Decision!$B$1:$B$28&amp;Decision!$C$1:$C$28, 0))</f>
        <v>RNA suspect</v>
      </c>
    </row>
    <row r="40" spans="1:9">
      <c r="A40">
        <f>IF(AND('177T'!B40 = '18S2'!B40, '177T'!B40 = RNAseP!B40, '177T'!B40 &lt;&gt; ""), '177T'!B40, IF('177T'!B40 = "", "", "Mismatch"))</f>
        <v>372</v>
      </c>
      <c r="B40">
        <f>IF('177T'!C40="", "", '177T'!C40)</f>
        <v>-1</v>
      </c>
      <c r="C40">
        <f>IF('18S2'!C40="", "", '18S2'!C40)</f>
        <v>37.9080248749774</v>
      </c>
      <c r="D40">
        <f>IF(RNAseP!C40="", "", RNAseP!C40)</f>
        <v>22.1435119029722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0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S</v>
      </c>
      <c r="I40" t="str" cm="1">
        <f t="array" ref="I40">INDEX(Decision!$E$1:$E$28, MATCH(E40&amp;F40&amp;G40, Decision!$A$1:$A$28&amp;Decision!$B$1:$B$28&amp;Decision!$C$1:$C$28, 0))</f>
        <v>RNA suspect</v>
      </c>
    </row>
    <row r="41" spans="1:9">
      <c r="A41">
        <f>IF(AND('177T'!B41 = '18S2'!B41, '177T'!B41 = RNAseP!B41, '177T'!B41 &lt;&gt; ""), '177T'!B41, IF('177T'!B41 = "", "", "Mismatch"))</f>
        <v>372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22.045592675248301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22.231924465450501</v>
      </c>
      <c r="C42">
        <f>IF('18S2'!C42="", "", '18S2'!C42)</f>
        <v>20.3998521740989</v>
      </c>
      <c r="D42">
        <f>IF(RNAseP!C42="", "", RNAseP!C42)</f>
        <v>35.753577612351499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22.632397664884799</v>
      </c>
      <c r="C43">
        <f>IF('18S2'!C43="", "", '18S2'!C43)</f>
        <v>20.4508680290465</v>
      </c>
      <c r="D43">
        <f>IF(RNAseP!C43="", "", RNAseP!C43)</f>
        <v>35.674897283276103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21.366994775792701</v>
      </c>
      <c r="C44">
        <f>IF('18S2'!C44="", "", '18S2'!C44)</f>
        <v>20.134766081342899</v>
      </c>
      <c r="D44">
        <f>IF(RNAseP!C44="", "", RNAseP!C44)</f>
        <v>35.813395774557002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23.389512279789599</v>
      </c>
      <c r="C45">
        <f>IF('18S2'!C45="", "", '18S2'!C45)</f>
        <v>20.598579922343301</v>
      </c>
      <c r="D45">
        <f>IF(RNAseP!C45="", "", RNAseP!C45)</f>
        <v>34.513426136787501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37.554475826478402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45965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363</v>
      </c>
      <c r="B16" s="11">
        <v>2500718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38,1</v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364</v>
      </c>
      <c r="B17" s="11">
        <v>2501056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34,2</v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24,8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365</v>
      </c>
      <c r="B18" s="11">
        <v>2501103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S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37,4 +/- 0,2</v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25,7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366</v>
      </c>
      <c r="B19" s="11">
        <v>2501102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37,3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25,1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367</v>
      </c>
      <c r="B20" s="11">
        <v>2501116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P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>22,4 +/- 0,1</v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>22,4 +/- 0,1</v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21,2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368</v>
      </c>
      <c r="B21" s="11">
        <v>2501137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36,7</v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21,8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369</v>
      </c>
      <c r="B22" s="11">
        <v>2500701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>37,7</v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22,4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370</v>
      </c>
      <c r="B23" s="11">
        <v>2500738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25,3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371</v>
      </c>
      <c r="B24" s="11">
        <v>2501086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37,6</v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26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372</v>
      </c>
      <c r="B25" s="11">
        <v>2501070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S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>37,8 +/- 0,2</v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22,4 +/- 0,8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20,4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+/- 0,6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37,6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363</v>
      </c>
      <c r="B2" s="3" t="str" cm="1">
        <f t="array" ref="B2">_xlfn.TEXTJOIN(", ", TRUE, IF(Analysis!$A$2:$A$82=A2, Analysis!$H$2:$H$82, ""))</f>
        <v>S, N, N, N</v>
      </c>
      <c r="C2" s="3" t="str" cm="1">
        <f t="array" ref="C2">_xlfn.TEXTJOIN(", ", TRUE, IF(Analysis!$A$2:$A$82=A2, Analysis!$I$2:$I$82, ""))</f>
        <v>RNA suspect,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38,1</v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+/- 0,1</v>
      </c>
    </row>
    <row r="3" spans="1:11">
      <c r="A3" s="3">
        <f>Report!A17</f>
        <v>364</v>
      </c>
      <c r="B3" s="3" t="str" cm="1">
        <f t="array" ref="B3">_xlfn.TEXTJOIN(", ", TRUE, IF(Analysis!$A$2:$A$82=A3, Analysis!$H$2:$H$82, ""))</f>
        <v>N, N, P, N</v>
      </c>
      <c r="C3" s="3" t="str" cm="1">
        <f t="array" ref="C3">_xlfn.TEXTJOIN(", ", TRUE, IF(Analysis!$A$2:$A$82=A3, Analysis!$I$2:$I$82, ""))</f>
        <v>negative, negative, DNA case,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34,2</v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24,8 +/- 0,1</v>
      </c>
    </row>
    <row r="4" spans="1:11">
      <c r="A4" s="3">
        <f>Report!A18</f>
        <v>365</v>
      </c>
      <c r="B4" s="3" t="str" cm="1">
        <f t="array" ref="B4">_xlfn.TEXTJOIN(", ", TRUE, IF(Analysis!$A$2:$A$82=A4, Analysis!$H$2:$H$82, ""))</f>
        <v>S, S, S, N</v>
      </c>
      <c r="C4" s="3" t="str" cm="1">
        <f t="array" ref="C4">_xlfn.TEXTJOIN(", ", TRUE, IF(Analysis!$A$2:$A$82=A4, Analysis!$I$2:$I$82, ""))</f>
        <v>RNA suspect, RNA suspect, RNA suspect,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S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37,4 +/- 0,2</v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25,7 +/- 0,1</v>
      </c>
    </row>
    <row r="5" spans="1:11">
      <c r="A5" s="3">
        <f>Report!A19</f>
        <v>366</v>
      </c>
      <c r="B5" s="3" t="str" cm="1">
        <f t="array" ref="B5">_xlfn.TEXTJOIN(", ", TRUE, IF(Analysis!$A$2:$A$82=A5, Analysis!$H$2:$H$82, ""))</f>
        <v>N, S, N, N</v>
      </c>
      <c r="C5" s="3" t="str" cm="1">
        <f t="array" ref="C5">_xlfn.TEXTJOIN(", ", TRUE, IF(Analysis!$A$2:$A$82=A5, Analysis!$I$2:$I$82, ""))</f>
        <v>negative, RNA suspect,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37,3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25,1 +/- 0,1</v>
      </c>
    </row>
    <row r="6" spans="1:11">
      <c r="A6" s="3">
        <f>Report!A20</f>
        <v>367</v>
      </c>
      <c r="B6" s="3" t="str" cm="1">
        <f t="array" ref="B6">_xlfn.TEXTJOIN(", ", TRUE, IF(Analysis!$A$2:$A$82=A6, Analysis!$H$2:$H$82, ""))</f>
        <v>P, P, P, P</v>
      </c>
      <c r="C6" s="3" t="str" cm="1">
        <f t="array" ref="C6">_xlfn.TEXTJOIN(", ", TRUE, IF(Analysis!$A$2:$A$82=A6, Analysis!$I$2:$I$82, ""))</f>
        <v>TNA case, TNA case, TNA case, TNA case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P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>22,4 +/- 0,1</v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>22,4 +/- 0,1</v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21,2 +/- 0</v>
      </c>
    </row>
    <row r="7" spans="1:11">
      <c r="A7" s="3">
        <f>Report!A21</f>
        <v>368</v>
      </c>
      <c r="B7" s="3" t="str" cm="1">
        <f t="array" ref="B7">_xlfn.TEXTJOIN(", ", TRUE, IF(Analysis!$A$2:$A$82=A7, Analysis!$H$2:$H$82, ""))</f>
        <v>N, S, N, N</v>
      </c>
      <c r="C7" s="3" t="str" cm="1">
        <f t="array" ref="C7">_xlfn.TEXTJOIN(", ", TRUE, IF(Analysis!$A$2:$A$82=A7, Analysis!$I$2:$I$82, ""))</f>
        <v>negative, RNA suspect,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36,7</v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21,8 +/- 0,1</v>
      </c>
      <c r="K7" s="4"/>
    </row>
    <row r="8" spans="1:11">
      <c r="A8" s="3">
        <f>Report!A22</f>
        <v>369</v>
      </c>
      <c r="B8" s="3" t="str" cm="1">
        <f t="array" ref="B8">_xlfn.TEXTJOIN(", ", TRUE, IF(Analysis!$A$2:$A$82=A8, Analysis!$H$2:$H$82, ""))</f>
        <v>N, S, N, N</v>
      </c>
      <c r="C8" s="3" t="str" cm="1">
        <f t="array" ref="C8">_xlfn.TEXTJOIN(", ", TRUE, IF(Analysis!$A$2:$A$82=A8, Analysis!$I$2:$I$82, ""))</f>
        <v>negative, RNA suspect,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>37,7</v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22,4 +/- 0,1</v>
      </c>
    </row>
    <row r="9" spans="1:11">
      <c r="A9" s="3">
        <f>Report!A23</f>
        <v>370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25,3 +/- 0</v>
      </c>
    </row>
    <row r="10" spans="1:11">
      <c r="A10" s="3">
        <f>Report!A24</f>
        <v>371</v>
      </c>
      <c r="B10" s="3" t="str" cm="1">
        <f t="array" ref="B10">_xlfn.TEXTJOIN(", ", TRUE, IF(Analysis!$A$2:$A$82=A10, Analysis!$H$2:$H$82, ""))</f>
        <v>N, N, N, S</v>
      </c>
      <c r="C10" s="3" t="str" cm="1">
        <f t="array" ref="C10">_xlfn.TEXTJOIN(", ", TRUE, IF(Analysis!$A$2:$A$82=A10, Analysis!$I$2:$I$82, ""))</f>
        <v>negative, negative, negative, RNA suspect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37,6</v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26 +/- 0</v>
      </c>
    </row>
    <row r="11" spans="1:11">
      <c r="A11" s="3">
        <f>Report!A25</f>
        <v>372</v>
      </c>
      <c r="B11" s="3" t="str" cm="1">
        <f t="array" ref="B11">_xlfn.TEXTJOIN(", ", TRUE, IF(Analysis!$A$2:$A$82=A11, Analysis!$H$2:$H$82, ""))</f>
        <v>S, S, S, N</v>
      </c>
      <c r="C11" s="3" t="str" cm="1">
        <f t="array" ref="C11">_xlfn.TEXTJOIN(", ", TRUE, IF(Analysis!$A$2:$A$82=A11, Analysis!$I$2:$I$82, ""))</f>
        <v>RNA suspect, RNA suspect, RNA suspect,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S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>37,8 +/- 0,2</v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22,4 +/- 0,8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20,4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+/- 0,6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F</v>
      </c>
      <c r="C13" s="3" t="str" cm="1">
        <f t="array" ref="C13">_xlfn.TEXTJOIN(", ", TRUE, IF(Analysis!$A$2:$A$82=A13, Analysis!$I$2:$I$82, ""))</f>
        <v>clean, clean,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37,6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2025-11-07T06:31:14+00:00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1ADA9-67FE-4E52-8842-774DE5951679}"/>
</file>

<file path=customXml/itemProps2.xml><?xml version="1.0" encoding="utf-8"?>
<ds:datastoreItem xmlns:ds="http://schemas.openxmlformats.org/officeDocument/2006/customXml" ds:itemID="{2E86E808-D820-4650-9DF1-6C91683610A5}"/>
</file>

<file path=customXml/itemProps3.xml><?xml version="1.0" encoding="utf-8"?>
<ds:datastoreItem xmlns:ds="http://schemas.openxmlformats.org/officeDocument/2006/customXml" ds:itemID="{4D14667F-6B8C-4695-8A27-61DC627052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2025-11-07T10:34:17Z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