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31" documentId="13_ncr:1_{1EED242B-C4F5-404B-8C76-5964B610E6F7}" xr6:coauthVersionLast="47" xr6:coauthVersionMax="47" xr10:uidLastSave="{A5AD13A0-848C-4A8E-9AB4-E2E5165E12A2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11550" yWindow="3330" windowWidth="21600" windowHeight="10635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<sst xmlns="http://schemas.openxmlformats.org/spreadsheetml/2006/main" count="429" uniqueCount="76">
  <si>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</si>
  <si>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</si>
  <si>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</si>
  <si>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</si>
  <si>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</si>
  <si>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</si>
  <si>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</si>
  <si>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</si>
  <si>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</si>
  <si>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</si>
  <si>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</si>
  <si>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</si>
  <si>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</si>
  <si>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</si>
  <si>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</si>
  <si>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</si>
  <si>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</si>
  <si>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</si>
  <si>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</si>
  <si>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</si>
  <si>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</si>
  <si>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</si>
  <si>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</si>
  <si>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</si>
  <si>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</si>
  <si>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</si>
  <si>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</si>
  <si>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</si>
  <si>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</si>
  <si>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</si>
  <si>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</si>
  <si>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</si>
  <si>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</si>
  <si>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</si>
  <si>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</si>
  <si>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</si>
  <si>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</si>
  <si>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</si>
  <si>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</si>
  <si>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</si>
  <si>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</si>
  <si>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</si>
  <si>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</si>
  <si>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Henriette</t>
  </si>
  <si>
    <t>Qrun file name</t>
  </si>
  <si>
    <t>2025-08-07 11.49.03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</si>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</sst>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/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108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108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108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108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109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109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109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109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110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110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110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110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111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111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111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111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112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112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112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112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113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113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113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113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114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114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114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114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115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115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115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115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116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116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116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116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117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117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117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117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23.9514184017237</v>
      </c>
      <c r="D42" s="8">
        <v>0.79965212721609102</v>
      </c>
      <c r="E42" s="8">
        <v>0.99990000000000001</v>
      </c>
      <c r="F42" s="8"/>
    </row>
    <row r="43" spans="1:6">
      <c r="A43" s="8">
        <v>42</v>
      </c>
      <c r="B43" s="8" t="s">
        <v>7</v>
      </c>
      <c r="C43" s="8">
        <v>23.767553795422302</v>
      </c>
      <c r="D43" s="8">
        <v>0.84033640866861503</v>
      </c>
      <c r="E43" s="8">
        <v>0.99963999999999997</v>
      </c>
      <c r="F43" s="8"/>
    </row>
    <row r="44" spans="1:6">
      <c r="A44" s="8">
        <v>43</v>
      </c>
      <c r="B44" s="8" t="s">
        <v>7</v>
      </c>
      <c r="C44" s="8">
        <v>24.214812320481698</v>
      </c>
      <c r="D44" s="8">
        <v>0.81737903745437801</v>
      </c>
      <c r="E44" s="8">
        <v>0.99978</v>
      </c>
      <c r="F44" s="8"/>
    </row>
    <row r="45" spans="1:6">
      <c r="A45" s="8">
        <v>44</v>
      </c>
      <c r="B45" s="8" t="s">
        <v>7</v>
      </c>
      <c r="C45" s="8">
        <v>23.2484979715503</v>
      </c>
      <c r="D45" s="8">
        <v>0.78342247381365004</v>
      </c>
      <c r="E45" s="8">
        <v>0.99999000000000005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/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108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108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108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108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109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109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109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109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110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110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110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110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111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111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111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111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112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112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112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112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113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113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113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113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114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114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114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114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115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115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115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115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116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116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116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116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117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117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117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117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21.338113238984501</v>
      </c>
      <c r="D42" s="9">
        <v>0.79407202740359994</v>
      </c>
      <c r="E42" s="9">
        <v>0.99868000000000001</v>
      </c>
      <c r="F42" s="9"/>
    </row>
    <row r="43" spans="1:6">
      <c r="A43" s="9">
        <v>42</v>
      </c>
      <c r="B43" s="9" t="s">
        <v>7</v>
      </c>
      <c r="C43" s="9">
        <v>21.286635684088601</v>
      </c>
      <c r="D43" s="9">
        <v>0.78730961990096304</v>
      </c>
      <c r="E43" s="9">
        <v>0.99868000000000001</v>
      </c>
      <c r="F43" s="9"/>
    </row>
    <row r="44" spans="1:6">
      <c r="A44" s="9">
        <v>43</v>
      </c>
      <c r="B44" s="9" t="s">
        <v>7</v>
      </c>
      <c r="C44" s="9">
        <v>21.190450339835099</v>
      </c>
      <c r="D44" s="9">
        <v>0.80613581294228498</v>
      </c>
      <c r="E44" s="9">
        <v>0.99809000000000003</v>
      </c>
      <c r="F44" s="9"/>
    </row>
    <row r="45" spans="1:6">
      <c r="A45" s="9">
        <v>44</v>
      </c>
      <c r="B45" s="9" t="s">
        <v>7</v>
      </c>
      <c r="C45" s="9">
        <v>21.189926461207399</v>
      </c>
      <c r="D45" s="9">
        <v>0.79904934318558096</v>
      </c>
      <c r="E45" s="9">
        <v>0.99819999999999998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/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108</v>
      </c>
      <c r="C2" s="10">
        <v>20.5987799172851</v>
      </c>
      <c r="D2" s="10">
        <v>0.99835306002657598</v>
      </c>
      <c r="E2" s="10">
        <v>0.99936999999999998</v>
      </c>
      <c r="F2" s="10"/>
    </row>
    <row r="3" spans="1:6">
      <c r="A3" s="10">
        <v>2</v>
      </c>
      <c r="B3" s="10">
        <v>108</v>
      </c>
      <c r="C3" s="10">
        <v>20.4880385666177</v>
      </c>
      <c r="D3" s="10">
        <v>0.97190498101702305</v>
      </c>
      <c r="E3" s="10">
        <v>0.99963999999999997</v>
      </c>
      <c r="F3" s="10"/>
    </row>
    <row r="4" spans="1:6">
      <c r="A4" s="10">
        <v>3</v>
      </c>
      <c r="B4" s="10">
        <v>108</v>
      </c>
      <c r="C4" s="10">
        <v>22.350952223558998</v>
      </c>
      <c r="D4" s="10">
        <v>0.95934251212779798</v>
      </c>
      <c r="E4" s="10">
        <v>0.99961999999999995</v>
      </c>
      <c r="F4" s="10"/>
    </row>
    <row r="5" spans="1:6">
      <c r="A5" s="10">
        <v>4</v>
      </c>
      <c r="B5" s="10">
        <v>108</v>
      </c>
      <c r="C5" s="10">
        <v>22.355900221626001</v>
      </c>
      <c r="D5" s="10">
        <v>0.96187735476903202</v>
      </c>
      <c r="E5" s="10">
        <v>0.99961999999999995</v>
      </c>
      <c r="F5" s="10"/>
    </row>
    <row r="6" spans="1:6">
      <c r="A6" s="10">
        <v>5</v>
      </c>
      <c r="B6" s="10">
        <v>109</v>
      </c>
      <c r="C6" s="10">
        <v>20.1911817446051</v>
      </c>
      <c r="D6" s="10">
        <v>0.97844073269080001</v>
      </c>
      <c r="E6" s="10">
        <v>0.99933000000000005</v>
      </c>
      <c r="F6" s="10"/>
    </row>
    <row r="7" spans="1:6">
      <c r="A7" s="10">
        <v>6</v>
      </c>
      <c r="B7" s="10">
        <v>109</v>
      </c>
      <c r="C7" s="10">
        <v>20.280973069549699</v>
      </c>
      <c r="D7" s="10">
        <v>1.01958295600785</v>
      </c>
      <c r="E7" s="10">
        <v>0.99909999999999999</v>
      </c>
      <c r="F7" s="10"/>
    </row>
    <row r="8" spans="1:6">
      <c r="A8" s="10">
        <v>7</v>
      </c>
      <c r="B8" s="10">
        <v>109</v>
      </c>
      <c r="C8" s="10">
        <v>20.226080290051101</v>
      </c>
      <c r="D8" s="10">
        <v>0.99837829189195304</v>
      </c>
      <c r="E8" s="10">
        <v>0.99921000000000004</v>
      </c>
      <c r="F8" s="10"/>
    </row>
    <row r="9" spans="1:6">
      <c r="A9" s="10">
        <v>8</v>
      </c>
      <c r="B9" s="10">
        <v>109</v>
      </c>
      <c r="C9" s="10">
        <v>20.231271704916999</v>
      </c>
      <c r="D9" s="10">
        <v>1.02675566042622</v>
      </c>
      <c r="E9" s="10">
        <v>0.99904999999999999</v>
      </c>
      <c r="F9" s="10"/>
    </row>
    <row r="10" spans="1:6">
      <c r="A10" s="10">
        <v>9</v>
      </c>
      <c r="B10" s="10">
        <v>110</v>
      </c>
      <c r="C10" s="10">
        <v>23.754076708985799</v>
      </c>
      <c r="D10" s="10">
        <v>1.05603471810696</v>
      </c>
      <c r="E10" s="10">
        <v>0.99863000000000002</v>
      </c>
      <c r="F10" s="10"/>
    </row>
    <row r="11" spans="1:6">
      <c r="A11" s="10">
        <v>10</v>
      </c>
      <c r="B11" s="10">
        <v>110</v>
      </c>
      <c r="C11" s="10">
        <v>23.836329460530798</v>
      </c>
      <c r="D11" s="10">
        <v>1.03278190210829</v>
      </c>
      <c r="E11" s="10">
        <v>0.99875000000000003</v>
      </c>
      <c r="F11" s="10"/>
    </row>
    <row r="12" spans="1:6">
      <c r="A12" s="10">
        <v>11</v>
      </c>
      <c r="B12" s="10">
        <v>110</v>
      </c>
      <c r="C12" s="10">
        <v>23.591233677022402</v>
      </c>
      <c r="D12" s="10">
        <v>0.940427483085857</v>
      </c>
      <c r="E12" s="10">
        <v>0.99968000000000001</v>
      </c>
      <c r="F12" s="10"/>
    </row>
    <row r="13" spans="1:6">
      <c r="A13" s="10">
        <v>12</v>
      </c>
      <c r="B13" s="10">
        <v>110</v>
      </c>
      <c r="C13" s="10">
        <v>23.552334794013099</v>
      </c>
      <c r="D13" s="10">
        <v>0.93381605661005296</v>
      </c>
      <c r="E13" s="10">
        <v>0.99975999999999998</v>
      </c>
      <c r="F13" s="10"/>
    </row>
    <row r="14" spans="1:6">
      <c r="A14" s="10">
        <v>13</v>
      </c>
      <c r="B14" s="10">
        <v>111</v>
      </c>
      <c r="C14" s="10">
        <v>21.281814236297901</v>
      </c>
      <c r="D14" s="10">
        <v>0.978071900416845</v>
      </c>
      <c r="E14" s="10">
        <v>0.99936000000000003</v>
      </c>
      <c r="F14" s="10"/>
    </row>
    <row r="15" spans="1:6">
      <c r="A15" s="10">
        <v>14</v>
      </c>
      <c r="B15" s="10">
        <v>111</v>
      </c>
      <c r="C15" s="10">
        <v>21.2563501796437</v>
      </c>
      <c r="D15" s="10">
        <v>0.95955401140574603</v>
      </c>
      <c r="E15" s="10">
        <v>0.99943000000000004</v>
      </c>
      <c r="F15" s="10"/>
    </row>
    <row r="16" spans="1:6">
      <c r="A16" s="10">
        <v>15</v>
      </c>
      <c r="B16" s="10">
        <v>111</v>
      </c>
      <c r="C16" s="10">
        <v>21.149843025399999</v>
      </c>
      <c r="D16" s="10">
        <v>0.94807270845454505</v>
      </c>
      <c r="E16" s="10">
        <v>0.99941999999999998</v>
      </c>
      <c r="F16" s="10"/>
    </row>
    <row r="17" spans="1:6">
      <c r="A17" s="10">
        <v>16</v>
      </c>
      <c r="B17" s="10">
        <v>111</v>
      </c>
      <c r="C17" s="10">
        <v>21.1769414971352</v>
      </c>
      <c r="D17" s="10">
        <v>0.96214680001224095</v>
      </c>
      <c r="E17" s="10">
        <v>0.99938000000000005</v>
      </c>
      <c r="F17" s="10"/>
    </row>
    <row r="18" spans="1:6">
      <c r="A18" s="10">
        <v>17</v>
      </c>
      <c r="B18" s="10">
        <v>112</v>
      </c>
      <c r="C18" s="10">
        <v>21.3627183094016</v>
      </c>
      <c r="D18" s="10">
        <v>0.97683232148148602</v>
      </c>
      <c r="E18" s="10">
        <v>0.99956999999999996</v>
      </c>
      <c r="F18" s="10"/>
    </row>
    <row r="19" spans="1:6">
      <c r="A19" s="10">
        <v>18</v>
      </c>
      <c r="B19" s="10">
        <v>112</v>
      </c>
      <c r="C19" s="10">
        <v>21.378733973970402</v>
      </c>
      <c r="D19" s="10">
        <v>0.97657236529622105</v>
      </c>
      <c r="E19" s="10">
        <v>0.99955000000000005</v>
      </c>
      <c r="F19" s="10"/>
    </row>
    <row r="20" spans="1:6">
      <c r="A20" s="10">
        <v>19</v>
      </c>
      <c r="B20" s="10">
        <v>112</v>
      </c>
      <c r="C20" s="10">
        <v>21.3319667077884</v>
      </c>
      <c r="D20" s="10">
        <v>0.96186623629311296</v>
      </c>
      <c r="E20" s="10">
        <v>0.99955000000000005</v>
      </c>
      <c r="F20" s="10"/>
    </row>
    <row r="21" spans="1:6">
      <c r="A21" s="10">
        <v>20</v>
      </c>
      <c r="B21" s="10">
        <v>112</v>
      </c>
      <c r="C21" s="10">
        <v>21.309344830356601</v>
      </c>
      <c r="D21" s="10">
        <v>0.95289659446775699</v>
      </c>
      <c r="E21" s="10">
        <v>0.99956999999999996</v>
      </c>
      <c r="F21" s="10"/>
    </row>
    <row r="22" spans="1:6">
      <c r="A22" s="10">
        <v>21</v>
      </c>
      <c r="B22" s="10">
        <v>113</v>
      </c>
      <c r="C22" s="10">
        <v>23.196371869164199</v>
      </c>
      <c r="D22" s="10">
        <v>0.95060494802788897</v>
      </c>
      <c r="E22" s="10">
        <v>0.99946000000000002</v>
      </c>
      <c r="F22" s="10"/>
    </row>
    <row r="23" spans="1:6">
      <c r="A23" s="10">
        <v>22</v>
      </c>
      <c r="B23" s="10">
        <v>113</v>
      </c>
      <c r="C23" s="10">
        <v>23.224739987460499</v>
      </c>
      <c r="D23" s="10">
        <v>0.98402755545813803</v>
      </c>
      <c r="E23" s="10">
        <v>0.99922999999999995</v>
      </c>
      <c r="F23" s="10"/>
    </row>
    <row r="24" spans="1:6">
      <c r="A24" s="10">
        <v>23</v>
      </c>
      <c r="B24" s="10">
        <v>113</v>
      </c>
      <c r="C24" s="10">
        <v>24.024216980801501</v>
      </c>
      <c r="D24" s="10">
        <v>0.95565542214919696</v>
      </c>
      <c r="E24" s="10">
        <v>0.99941999999999998</v>
      </c>
      <c r="F24" s="10"/>
    </row>
    <row r="25" spans="1:6">
      <c r="A25" s="10">
        <v>24</v>
      </c>
      <c r="B25" s="10">
        <v>113</v>
      </c>
      <c r="C25" s="10">
        <v>24.0811916199503</v>
      </c>
      <c r="D25" s="10">
        <v>0.98640126762982405</v>
      </c>
      <c r="E25" s="10">
        <v>0.99919999999999998</v>
      </c>
      <c r="F25" s="10"/>
    </row>
    <row r="26" spans="1:6">
      <c r="A26" s="10">
        <v>25</v>
      </c>
      <c r="B26" s="10">
        <v>114</v>
      </c>
      <c r="C26" s="10">
        <v>22.293579725280299</v>
      </c>
      <c r="D26" s="10">
        <v>1.0014767012310599</v>
      </c>
      <c r="E26" s="10">
        <v>0.99919000000000002</v>
      </c>
      <c r="F26" s="10"/>
    </row>
    <row r="27" spans="1:6">
      <c r="A27" s="10">
        <v>26</v>
      </c>
      <c r="B27" s="10">
        <v>114</v>
      </c>
      <c r="C27" s="10">
        <v>22.2040757673131</v>
      </c>
      <c r="D27" s="10">
        <v>0.97244645957213405</v>
      </c>
      <c r="E27" s="10">
        <v>0.99927999999999995</v>
      </c>
      <c r="F27" s="10"/>
    </row>
    <row r="28" spans="1:6">
      <c r="A28" s="10">
        <v>27</v>
      </c>
      <c r="B28" s="10">
        <v>114</v>
      </c>
      <c r="C28" s="10">
        <v>22.187770727234799</v>
      </c>
      <c r="D28" s="10">
        <v>0.96224400307059499</v>
      </c>
      <c r="E28" s="10">
        <v>0.99934000000000001</v>
      </c>
      <c r="F28" s="10"/>
    </row>
    <row r="29" spans="1:6">
      <c r="A29" s="10">
        <v>28</v>
      </c>
      <c r="B29" s="10">
        <v>114</v>
      </c>
      <c r="C29" s="10">
        <v>22.195748466071201</v>
      </c>
      <c r="D29" s="10">
        <v>0.96822184063794203</v>
      </c>
      <c r="E29" s="10">
        <v>0.99926999999999999</v>
      </c>
      <c r="F29" s="10"/>
    </row>
    <row r="30" spans="1:6">
      <c r="A30" s="10">
        <v>29</v>
      </c>
      <c r="B30" s="10">
        <v>115</v>
      </c>
      <c r="C30" s="10">
        <v>24.133033705478201</v>
      </c>
      <c r="D30" s="10">
        <v>0.99883197089356701</v>
      </c>
      <c r="E30" s="10">
        <v>0.99917</v>
      </c>
      <c r="F30" s="10"/>
    </row>
    <row r="31" spans="1:6">
      <c r="A31" s="10">
        <v>30</v>
      </c>
      <c r="B31" s="10">
        <v>115</v>
      </c>
      <c r="C31" s="10">
        <v>24.100184012076401</v>
      </c>
      <c r="D31" s="10">
        <v>0.99266682297477304</v>
      </c>
      <c r="E31" s="10">
        <v>0.99921000000000004</v>
      </c>
      <c r="F31" s="10"/>
    </row>
    <row r="32" spans="1:6">
      <c r="A32" s="10">
        <v>31</v>
      </c>
      <c r="B32" s="10">
        <v>115</v>
      </c>
      <c r="C32" s="10">
        <v>24.0937586163862</v>
      </c>
      <c r="D32" s="10">
        <v>0.96581901941391302</v>
      </c>
      <c r="E32" s="10">
        <v>0.99936000000000003</v>
      </c>
      <c r="F32" s="10"/>
    </row>
    <row r="33" spans="1:6">
      <c r="A33" s="10">
        <v>32</v>
      </c>
      <c r="B33" s="10">
        <v>115</v>
      </c>
      <c r="C33" s="10">
        <v>24.001207121620801</v>
      </c>
      <c r="D33" s="10">
        <v>1.0424770616319099</v>
      </c>
      <c r="E33" s="10">
        <v>0.99870999999999999</v>
      </c>
      <c r="F33" s="10"/>
    </row>
    <row r="34" spans="1:6">
      <c r="A34" s="10">
        <v>33</v>
      </c>
      <c r="B34" s="10">
        <v>116</v>
      </c>
      <c r="C34" s="10">
        <v>20.857616787656401</v>
      </c>
      <c r="D34" s="10">
        <v>1.02090422205278</v>
      </c>
      <c r="E34" s="10">
        <v>0.99883999999999995</v>
      </c>
      <c r="F34" s="10"/>
    </row>
    <row r="35" spans="1:6">
      <c r="A35" s="10">
        <v>34</v>
      </c>
      <c r="B35" s="10">
        <v>116</v>
      </c>
      <c r="C35" s="10">
        <v>20.718320283818301</v>
      </c>
      <c r="D35" s="10">
        <v>1.00256321523934</v>
      </c>
      <c r="E35" s="10">
        <v>0.99907999999999997</v>
      </c>
      <c r="F35" s="10"/>
    </row>
    <row r="36" spans="1:6">
      <c r="A36" s="10">
        <v>35</v>
      </c>
      <c r="B36" s="10">
        <v>116</v>
      </c>
      <c r="C36" s="10">
        <v>20.817625544376199</v>
      </c>
      <c r="D36" s="10">
        <v>1.0377376528704501</v>
      </c>
      <c r="E36" s="10">
        <v>0.99868999999999997</v>
      </c>
      <c r="F36" s="10"/>
    </row>
    <row r="37" spans="1:6">
      <c r="A37" s="10">
        <v>36</v>
      </c>
      <c r="B37" s="10">
        <v>116</v>
      </c>
      <c r="C37" s="10">
        <v>20.759549475646899</v>
      </c>
      <c r="D37" s="10">
        <v>1.0350087048341701</v>
      </c>
      <c r="E37" s="10">
        <v>0.99883999999999995</v>
      </c>
      <c r="F37" s="10"/>
    </row>
    <row r="38" spans="1:6">
      <c r="A38" s="10">
        <v>37</v>
      </c>
      <c r="B38" s="10">
        <v>117</v>
      </c>
      <c r="C38" s="10">
        <v>21.407798264971898</v>
      </c>
      <c r="D38" s="10">
        <v>0.95519084225355699</v>
      </c>
      <c r="E38" s="10">
        <v>0.99963000000000002</v>
      </c>
      <c r="F38" s="10"/>
    </row>
    <row r="39" spans="1:6">
      <c r="A39" s="10">
        <v>38</v>
      </c>
      <c r="B39" s="10">
        <v>117</v>
      </c>
      <c r="C39" s="10">
        <v>21.408802127583499</v>
      </c>
      <c r="D39" s="10">
        <v>0.95407740405173902</v>
      </c>
      <c r="E39" s="10">
        <v>0.99963000000000002</v>
      </c>
      <c r="F39" s="10"/>
    </row>
    <row r="40" spans="1:6">
      <c r="A40" s="10">
        <v>39</v>
      </c>
      <c r="B40" s="10">
        <v>117</v>
      </c>
      <c r="C40" s="10">
        <v>21.3713938659861</v>
      </c>
      <c r="D40" s="10">
        <v>0.98578109803507596</v>
      </c>
      <c r="E40" s="10">
        <v>0.99950000000000006</v>
      </c>
      <c r="F40" s="10"/>
    </row>
    <row r="41" spans="1:6">
      <c r="A41" s="10">
        <v>40</v>
      </c>
      <c r="B41" s="10">
        <v>117</v>
      </c>
      <c r="C41" s="10">
        <v>21.285563426302701</v>
      </c>
      <c r="D41" s="10">
        <v>0.93883264498026098</v>
      </c>
      <c r="E41" s="10">
        <v>0.99953999999999998</v>
      </c>
      <c r="F41" s="10"/>
    </row>
    <row r="42" spans="1:6">
      <c r="A42" s="10">
        <v>41</v>
      </c>
      <c r="B42" s="10" t="s">
        <v>7</v>
      </c>
      <c r="C42" s="10">
        <v>34.579914048531897</v>
      </c>
      <c r="D42" s="10">
        <v>0.68102218670194503</v>
      </c>
      <c r="E42" s="10">
        <v>0.99917999999999996</v>
      </c>
      <c r="F42" s="10"/>
    </row>
    <row r="43" spans="1:6">
      <c r="A43" s="10">
        <v>42</v>
      </c>
      <c r="B43" s="10" t="s">
        <v>7</v>
      </c>
      <c r="C43" s="10">
        <v>35.097948847064202</v>
      </c>
      <c r="D43" s="10">
        <v>0.66003256465626603</v>
      </c>
      <c r="E43" s="10">
        <v>0.99933000000000005</v>
      </c>
      <c r="F43" s="10"/>
    </row>
    <row r="44" spans="1:6">
      <c r="A44" s="10">
        <v>43</v>
      </c>
      <c r="B44" s="10" t="s">
        <v>7</v>
      </c>
      <c r="C44" s="10">
        <v>33.715049724166001</v>
      </c>
      <c r="D44" s="10">
        <v>0.71823060914954595</v>
      </c>
      <c r="E44" s="10">
        <v>0.99968000000000001</v>
      </c>
      <c r="F44" s="10"/>
    </row>
    <row r="45" spans="1:6">
      <c r="A45" s="10">
        <v>44</v>
      </c>
      <c r="B45" s="10" t="s">
        <v>7</v>
      </c>
      <c r="C45" s="10">
        <v>33.866006276015398</v>
      </c>
      <c r="D45" s="10">
        <v>0.68048312086141605</v>
      </c>
      <c r="E45" s="10">
        <v>0.99982000000000004</v>
      </c>
      <c r="F45" s="10"/>
    </row>
    <row r="46" spans="1:6">
      <c r="A46" s="10">
        <v>45</v>
      </c>
      <c r="B46" s="10" t="s">
        <v>8</v>
      </c>
      <c r="C46" s="10">
        <v>37.503440834392698</v>
      </c>
      <c r="D46" s="10">
        <v>0.60477248495690805</v>
      </c>
      <c r="E46" s="10">
        <v>0.98395999999999995</v>
      </c>
      <c r="F46" s="10"/>
    </row>
    <row r="47" spans="1:6">
      <c r="A47" s="10">
        <v>46</v>
      </c>
      <c r="B47" s="10" t="s">
        <v>8</v>
      </c>
      <c r="C47" s="10">
        <v>35.1922317778306</v>
      </c>
      <c r="D47" s="10">
        <v>0.94089005238085799</v>
      </c>
      <c r="E47" s="10">
        <v>0.99902000000000002</v>
      </c>
      <c r="F47" s="10"/>
    </row>
    <row r="48" spans="1:6">
      <c r="A48" s="10">
        <v>47</v>
      </c>
      <c r="B48" s="10" t="s">
        <v>8</v>
      </c>
      <c r="C48" s="10">
        <v>37.776174743617403</v>
      </c>
      <c r="D48" s="10">
        <v>0.40216583197908601</v>
      </c>
      <c r="E48" s="10">
        <v>0.95026999999999995</v>
      </c>
      <c r="F48" s="10"/>
    </row>
    <row r="49" spans="1:6">
      <c r="A49" s="10">
        <v>48</v>
      </c>
      <c r="B49" s="10" t="s">
        <v>8</v>
      </c>
      <c r="C49" s="10">
        <v>36.524287296613302</v>
      </c>
      <c r="D49" s="10">
        <v>0.62223154403274905</v>
      </c>
      <c r="E49" s="10">
        <v>0.98850000000000005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108</v>
      </c>
      <c r="B2">
        <f>IF('177T'!C2="", "", '177T'!C2)</f>
        <v>-1</v>
      </c>
      <c r="C2">
        <f>IF('18S2'!C2="", "", '18S2'!C2)</f>
        <v>-1</v>
      </c>
      <c r="D2">
        <f>IF(RNAseP!C2="", "", RNAseP!C2)</f>
        <v>20.5987799172851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108</v>
      </c>
      <c r="B3">
        <f>IF('177T'!C3="", "", '177T'!C3)</f>
        <v>-1</v>
      </c>
      <c r="C3">
        <f>IF('18S2'!C3="", "", '18S2'!C3)</f>
        <v>-1</v>
      </c>
      <c r="D3">
        <f>IF(RNAseP!C3="", "", RNAseP!C3)</f>
        <v>20.4880385666177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108</v>
      </c>
      <c r="B4">
        <f>IF('177T'!C4="", "", '177T'!C4)</f>
        <v>-1</v>
      </c>
      <c r="C4">
        <f>IF('18S2'!C4="", "", '18S2'!C4)</f>
        <v>-1</v>
      </c>
      <c r="D4">
        <f>IF(RNAseP!C4="", "", RNAseP!C4)</f>
        <v>22.350952223558998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108</v>
      </c>
      <c r="B5">
        <f>IF('177T'!C5="", "", '177T'!C5)</f>
        <v>-1</v>
      </c>
      <c r="C5">
        <f>IF('18S2'!C5="", "", '18S2'!C5)</f>
        <v>-1</v>
      </c>
      <c r="D5">
        <f>IF(RNAseP!C5="", "", RNAseP!C5)</f>
        <v>22.355900221626001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109</v>
      </c>
      <c r="B6">
        <f>IF('177T'!C6="", "", '177T'!C6)</f>
        <v>-1</v>
      </c>
      <c r="C6">
        <f>IF('18S2'!C6="", "", '18S2'!C6)</f>
        <v>-1</v>
      </c>
      <c r="D6">
        <f>IF(RNAseP!C6="", "", RNAseP!C6)</f>
        <v>20.1911817446051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109</v>
      </c>
      <c r="B7">
        <f>IF('177T'!C7="", "", '177T'!C7)</f>
        <v>-1</v>
      </c>
      <c r="C7">
        <f>IF('18S2'!C7="", "", '18S2'!C7)</f>
        <v>-1</v>
      </c>
      <c r="D7">
        <f>IF(RNAseP!C7="", "", RNAseP!C7)</f>
        <v>20.280973069549699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109</v>
      </c>
      <c r="B8">
        <f>IF('177T'!C8="", "", '177T'!C8)</f>
        <v>-1</v>
      </c>
      <c r="C8">
        <f>IF('18S2'!C8="", "", '18S2'!C8)</f>
        <v>-1</v>
      </c>
      <c r="D8">
        <f>IF(RNAseP!C8="", "", RNAseP!C8)</f>
        <v>20.226080290051101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109</v>
      </c>
      <c r="B9">
        <f>IF('177T'!C9="", "", '177T'!C9)</f>
        <v>-1</v>
      </c>
      <c r="C9">
        <f>IF('18S2'!C9="", "", '18S2'!C9)</f>
        <v>-1</v>
      </c>
      <c r="D9">
        <f>IF(RNAseP!C9="", "", RNAseP!C9)</f>
        <v>20.231271704916999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110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23.754076708985799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110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23.836329460530798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110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23.591233677022402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110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23.552334794013099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111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21.281814236297901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111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21.2563501796437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111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21.149843025399999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111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21.1769414971352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112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21.3627183094016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112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21.378733973970402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112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21.3319667077884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112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21.309344830356601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113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23.196371869164199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113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23.224739987460499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113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24.024216980801501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113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24.0811916199503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114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22.293579725280299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114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22.2040757673131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114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22.187770727234799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114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22.195748466071201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115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24.133033705478201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115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24.100184012076401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115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24.0937586163862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115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24.001207121620801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116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20.857616787656401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116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20.718320283818301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116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20.817625544376199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116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20.759549475646899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117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21.407798264971898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117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21.408802127583499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117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21.3713938659861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117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21.285563426302701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23.9514184017237</v>
      </c>
      <c r="C42">
        <f>IF('18S2'!C42="", "", '18S2'!C42)</f>
        <v>21.338113238984501</v>
      </c>
      <c r="D42">
        <f>IF(RNAseP!C42="", "", RNAseP!C42)</f>
        <v>34.579914048531897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23.767553795422302</v>
      </c>
      <c r="C43">
        <f>IF('18S2'!C43="", "", '18S2'!C43)</f>
        <v>21.286635684088601</v>
      </c>
      <c r="D43">
        <f>IF(RNAseP!C43="", "", RNAseP!C43)</f>
        <v>35.097948847064202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24.214812320481698</v>
      </c>
      <c r="C44">
        <f>IF('18S2'!C44="", "", '18S2'!C44)</f>
        <v>21.190450339835099</v>
      </c>
      <c r="D44">
        <f>IF(RNAseP!C44="", "", RNAseP!C44)</f>
        <v>33.715049724166001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23.2484979715503</v>
      </c>
      <c r="C45">
        <f>IF('18S2'!C45="", "", '18S2'!C45)</f>
        <v>21.189926461207399</v>
      </c>
      <c r="D45">
        <f>IF(RNAseP!C45="", "", RNAseP!C45)</f>
        <v>33.866006276015398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37.503440834392698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0</v>
      </c>
      <c r="H46" s="3" t="str" cm="1">
        <f t="array" ref="H46">INDEX(DecisionC!$E$1:$E$56, MATCH(A46&amp;E46&amp;F46&amp;G46, DecisionC!$A$1:$A$56&amp;DecisionC!$B$1:$B$56&amp;DecisionC!$C$1:$C$56&amp;DecisionC!$D$1:$D$56, 0))</f>
        <v>F</v>
      </c>
      <c r="I46" s="3" t="str" cm="1">
        <f t="array" ref="I46">INDEX(DecisionC!$F$1:$F$56, MATCH(A46&amp;E46&amp;F46&amp;G46, DecisionC!$A$1:$A$56&amp;DecisionC!$B$1:$B$56&amp;DecisionC!$C$1:$C$56&amp;DecisionC!$D$1:$D$56, 0))</f>
        <v>RNAseP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35.1922317778306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37.776174743617403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0</v>
      </c>
      <c r="H48" s="3" t="str" cm="1">
        <f t="array" ref="H48">INDEX(DecisionC!$E$1:$E$56, MATCH(A48&amp;E48&amp;F48&amp;G48, DecisionC!$A$1:$A$56&amp;DecisionC!$B$1:$B$56&amp;DecisionC!$C$1:$C$56&amp;DecisionC!$D$1:$D$56, 0))</f>
        <v>F</v>
      </c>
      <c r="I48" s="3" t="str" cm="1">
        <f t="array" ref="I48">INDEX(DecisionC!$F$1:$F$56, MATCH(A48&amp;E48&amp;F48&amp;G48, DecisionC!$A$1:$A$56&amp;DecisionC!$B$1:$B$56&amp;DecisionC!$C$1:$C$56&amp;DecisionC!$D$1:$D$56, 0))</f>
        <v>RNAseP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36.524287296613302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A2" workbookViewId="0">
      <selection activeCell="C4" sqref="C4:G4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8" t="s">
        <v>40</v>
      </c>
      <c r="B1" s="28"/>
    </row>
    <row r="3" spans="1:8">
      <c r="A3" s="24" t="s">
        <v>41</v>
      </c>
      <c r="B3" s="25"/>
      <c r="C3" s="26">
        <v>45876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7">
        <v>66262118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108</v>
      </c>
      <c r="B16" s="11">
        <v>2402793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21,4 +/- 1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109</v>
      </c>
      <c r="B17" s="11">
        <v>2500027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20,2 +/- 0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110</v>
      </c>
      <c r="B18" s="11">
        <v>2400812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23,7 +/- 0,1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111</v>
      </c>
      <c r="B19" s="11">
        <v>2500113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21,2 +/- 0,1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112</v>
      </c>
      <c r="B20" s="11">
        <v>2500166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21,3 +/- 0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113</v>
      </c>
      <c r="B21" s="11">
        <v>2500089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23,6 +/- 0,5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114</v>
      </c>
      <c r="B22" s="11">
        <v>2402608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22,2 +/- 0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115</v>
      </c>
      <c r="B23" s="11">
        <v>2402441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24,1 +/- 0,1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116</v>
      </c>
      <c r="B24" s="11">
        <v>2402600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20,8 +/- 0,1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117</v>
      </c>
      <c r="B25" s="11">
        <v>2500138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21,4 +/- 0,1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23,8 +/- 0,4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34,3 +/- 0,6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F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36,7 +/- 1,2</v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31" t="s">
        <v>59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30" t="s">
        <v>62</v>
      </c>
      <c r="D30" s="30"/>
      <c r="E30" s="20"/>
    </row>
    <row r="31" spans="1:12">
      <c r="A31" s="18" t="s">
        <v>20</v>
      </c>
      <c r="B31" s="18" t="s">
        <v>21</v>
      </c>
      <c r="C31" s="30" t="s">
        <v>63</v>
      </c>
      <c r="D31" s="30"/>
      <c r="E31" s="20"/>
    </row>
    <row r="32" spans="1:12">
      <c r="A32" s="18" t="s">
        <v>22</v>
      </c>
      <c r="B32" s="18" t="s">
        <v>64</v>
      </c>
      <c r="C32" s="30" t="s">
        <v>65</v>
      </c>
      <c r="D32" s="30"/>
      <c r="E32" s="20"/>
    </row>
    <row r="33" spans="1:5">
      <c r="A33" s="18" t="s">
        <v>66</v>
      </c>
      <c r="B33" s="18" t="s">
        <v>67</v>
      </c>
      <c r="C33" s="30" t="s">
        <v>68</v>
      </c>
      <c r="D33" s="30"/>
      <c r="E33" s="20"/>
    </row>
    <row r="34" spans="1:5">
      <c r="A34" s="18" t="s">
        <v>17</v>
      </c>
      <c r="B34" s="18" t="s">
        <v>69</v>
      </c>
      <c r="C34" s="30" t="s">
        <v>70</v>
      </c>
      <c r="D34" s="30"/>
      <c r="E34" s="20"/>
    </row>
    <row r="35" spans="1:5">
      <c r="A35" s="18" t="s">
        <v>71</v>
      </c>
      <c r="B35" s="18" t="s">
        <v>72</v>
      </c>
      <c r="C35" s="30" t="s">
        <v>73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108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21,4 +/- 1</v>
      </c>
    </row>
    <row r="3" spans="1:11">
      <c r="A3" s="3">
        <f>Report!A17</f>
        <v>109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20,2 +/- 0</v>
      </c>
    </row>
    <row r="4" spans="1:11">
      <c r="A4" s="3">
        <f>Report!A18</f>
        <v>110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23,7 +/- 0,1</v>
      </c>
    </row>
    <row r="5" spans="1:11">
      <c r="A5" s="3">
        <f>Report!A19</f>
        <v>111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21,2 +/- 0,1</v>
      </c>
    </row>
    <row r="6" spans="1:11">
      <c r="A6" s="3">
        <f>Report!A20</f>
        <v>112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21,3 +/- 0</v>
      </c>
    </row>
    <row r="7" spans="1:11">
      <c r="A7" s="3">
        <f>Report!A21</f>
        <v>113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23,6 +/- 0,5</v>
      </c>
      <c r="K7" s="4"/>
    </row>
    <row r="8" spans="1:11">
      <c r="A8" s="3">
        <f>Report!A22</f>
        <v>114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22,2 +/- 0</v>
      </c>
    </row>
    <row r="9" spans="1:11">
      <c r="A9" s="3">
        <f>Report!A23</f>
        <v>115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24,1 +/- 0,1</v>
      </c>
    </row>
    <row r="10" spans="1:11">
      <c r="A10" s="3">
        <f>Report!A24</f>
        <v>116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20,8 +/- 0,1</v>
      </c>
    </row>
    <row r="11" spans="1:11">
      <c r="A11" s="3">
        <f>Report!A25</f>
        <v>117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21,4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23,8 +/- 0,4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21,3 +/- 0,1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34,3 +/- 0,6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F, F, F, F</v>
      </c>
      <c r="C13" s="3" t="str" cm="1">
        <f t="array" ref="C13">_xlfn.TEXTJOIN(", ", TRUE, IF(Analysis!$A$2:$A$82=A13, Analysis!$I$2:$I$82, ""))</f>
        <v>RNAseP, RNAseP, RNAseP,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F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36,7 +/- 1,2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2025-08-08T09:56:55+00:00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0561A-B55A-4FA5-95A3-E14CDF486049}"/>
</file>

<file path=customXml/itemProps2.xml><?xml version="1.0" encoding="utf-8"?>
<ds:datastoreItem xmlns:ds="http://schemas.openxmlformats.org/officeDocument/2006/customXml" ds:itemID="{3E8420E3-124E-49E3-A0EC-9805BE3AE10C}"/>
</file>

<file path=customXml/itemProps3.xml><?xml version="1.0" encoding="utf-8"?>
<ds:datastoreItem xmlns:ds="http://schemas.openxmlformats.org/officeDocument/2006/customXml" ds:itemID="{B83DCF33-FA98-4435-B240-5790AF275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2025-08-27T16:06:17Z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