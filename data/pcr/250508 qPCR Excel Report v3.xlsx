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OMOL\Users\USER\Desktop\03 - Biologie Moleculaire\0302 - Résultats qPCR\"/>
    </mc:Choice>
  </mc:AlternateContent>
  <xr:revisionPtr revIDLastSave="0" documentId="13_ncr:1_{A988606C-9FB8-4221-957A-7E28A1930A0E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10" yWindow="-110" windowWidth="19420" windowHeight="1162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<sst xmlns="http://schemas.openxmlformats.org/spreadsheetml/2006/main" count="420" uniqueCount="74">
  <si>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</si>
  <si>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</si>
  <si>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</si>
  <si>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</si>
  <si>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</si>
  <si>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</si>
  <si>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</si>
  <si>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</si>
  <si>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</si>
  <si>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</si>
  <si>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</si>
  <si>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</si>
  <si>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</si>
  <si>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</si>
  <si>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</si>
  <si>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</si>
  <si>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</si>
  <si>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</si>
  <si>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</si>
  <si>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</si>
  <si>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</si>
  <si>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</si>
  <si>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</si>
  <si>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</si>
  <si>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</si>
  <si>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</si>
  <si>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</si>
  <si>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</si>
  <si>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</si>
  <si>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</si>
  <si>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</si>
  <si>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</si>
  <si>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</si>
  <si>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</si>
  <si>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</si>
  <si>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</si>
  <si>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</si>
  <si>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</si>
  <si>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</si>
  <si>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</si>
  <si>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</si>
  <si>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</si>
  <si>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</si>
  <si>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</si>
  <si>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</si>
  <si>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2025-05-07 14.50.05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</si>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</sst>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quotePrefix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0" fillId="5" borderId="2" xfId="0" applyNumberFormat="1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>
      <c r="A2" s="13">
        <v>1</v>
      </c>
      <c r="B2" s="13">
        <v>21</v>
      </c>
      <c r="C2" s="13">
        <v>-1</v>
      </c>
      <c r="D2" s="13">
        <v>-1</v>
      </c>
      <c r="E2" s="13"/>
      <c r="F2" s="13" t="s">
        <v>6</v>
      </c>
    </row>
    <row r="3" spans="1:6">
      <c r="A3" s="13">
        <v>2</v>
      </c>
      <c r="B3" s="13">
        <v>21</v>
      </c>
      <c r="C3" s="13">
        <v>-1</v>
      </c>
      <c r="D3" s="13">
        <v>-1</v>
      </c>
      <c r="E3" s="13"/>
      <c r="F3" s="13" t="s">
        <v>6</v>
      </c>
    </row>
    <row r="4" spans="1:6">
      <c r="A4" s="13">
        <v>3</v>
      </c>
      <c r="B4" s="13">
        <v>21</v>
      </c>
      <c r="C4" s="13">
        <v>-1</v>
      </c>
      <c r="D4" s="13">
        <v>-1</v>
      </c>
      <c r="E4" s="13"/>
      <c r="F4" s="13" t="s">
        <v>6</v>
      </c>
    </row>
    <row r="5" spans="1:6">
      <c r="A5" s="13">
        <v>4</v>
      </c>
      <c r="B5" s="13">
        <v>21</v>
      </c>
      <c r="C5" s="13">
        <v>-1</v>
      </c>
      <c r="D5" s="13">
        <v>-1</v>
      </c>
      <c r="E5" s="13"/>
      <c r="F5" s="13" t="s">
        <v>6</v>
      </c>
    </row>
    <row r="6" spans="1:6">
      <c r="A6" s="13">
        <v>5</v>
      </c>
      <c r="B6" s="13">
        <v>22</v>
      </c>
      <c r="C6" s="13">
        <v>-1</v>
      </c>
      <c r="D6" s="13">
        <v>-1</v>
      </c>
      <c r="E6" s="13"/>
      <c r="F6" s="13" t="s">
        <v>6</v>
      </c>
    </row>
    <row r="7" spans="1:6">
      <c r="A7" s="13">
        <v>6</v>
      </c>
      <c r="B7" s="13">
        <v>22</v>
      </c>
      <c r="C7" s="13">
        <v>-1</v>
      </c>
      <c r="D7" s="13">
        <v>-1</v>
      </c>
      <c r="E7" s="13"/>
      <c r="F7" s="13" t="s">
        <v>6</v>
      </c>
    </row>
    <row r="8" spans="1:6">
      <c r="A8" s="13">
        <v>7</v>
      </c>
      <c r="B8" s="13">
        <v>22</v>
      </c>
      <c r="C8" s="13">
        <v>-1</v>
      </c>
      <c r="D8" s="13">
        <v>-1</v>
      </c>
      <c r="E8" s="13"/>
      <c r="F8" s="13" t="s">
        <v>6</v>
      </c>
    </row>
    <row r="9" spans="1:6">
      <c r="A9" s="13">
        <v>8</v>
      </c>
      <c r="B9" s="13">
        <v>22</v>
      </c>
      <c r="C9" s="13">
        <v>-1</v>
      </c>
      <c r="D9" s="13">
        <v>-1</v>
      </c>
      <c r="E9" s="13"/>
      <c r="F9" s="13" t="s">
        <v>6</v>
      </c>
    </row>
    <row r="10" spans="1:6">
      <c r="A10" s="13">
        <v>9</v>
      </c>
      <c r="B10" s="13">
        <v>23</v>
      </c>
      <c r="C10" s="13">
        <v>-1</v>
      </c>
      <c r="D10" s="13">
        <v>-1</v>
      </c>
      <c r="E10" s="13"/>
      <c r="F10" s="13" t="s">
        <v>6</v>
      </c>
    </row>
    <row r="11" spans="1:6">
      <c r="A11" s="13">
        <v>10</v>
      </c>
      <c r="B11" s="13">
        <v>23</v>
      </c>
      <c r="C11" s="13">
        <v>-1</v>
      </c>
      <c r="D11" s="13">
        <v>-1</v>
      </c>
      <c r="E11" s="13"/>
      <c r="F11" s="13" t="s">
        <v>6</v>
      </c>
    </row>
    <row r="12" spans="1:6">
      <c r="A12" s="13">
        <v>11</v>
      </c>
      <c r="B12" s="13">
        <v>23</v>
      </c>
      <c r="C12" s="13">
        <v>-1</v>
      </c>
      <c r="D12" s="13">
        <v>-1</v>
      </c>
      <c r="E12" s="13"/>
      <c r="F12" s="13" t="s">
        <v>6</v>
      </c>
    </row>
    <row r="13" spans="1:6">
      <c r="A13" s="13">
        <v>12</v>
      </c>
      <c r="B13" s="13">
        <v>23</v>
      </c>
      <c r="C13" s="13">
        <v>-1</v>
      </c>
      <c r="D13" s="13">
        <v>-1</v>
      </c>
      <c r="E13" s="13"/>
      <c r="F13" s="13" t="s">
        <v>6</v>
      </c>
    </row>
    <row r="14" spans="1:6">
      <c r="A14" s="13">
        <v>13</v>
      </c>
      <c r="B14" s="13">
        <v>24</v>
      </c>
      <c r="C14" s="13">
        <v>-1</v>
      </c>
      <c r="D14" s="13">
        <v>-1</v>
      </c>
      <c r="E14" s="13"/>
      <c r="F14" s="13" t="s">
        <v>6</v>
      </c>
    </row>
    <row r="15" spans="1:6">
      <c r="A15" s="13">
        <v>14</v>
      </c>
      <c r="B15" s="13">
        <v>24</v>
      </c>
      <c r="C15" s="13">
        <v>-1</v>
      </c>
      <c r="D15" s="13">
        <v>-1</v>
      </c>
      <c r="E15" s="13"/>
      <c r="F15" s="13" t="s">
        <v>6</v>
      </c>
    </row>
    <row r="16" spans="1:6">
      <c r="A16" s="13">
        <v>15</v>
      </c>
      <c r="B16" s="13">
        <v>24</v>
      </c>
      <c r="C16" s="13">
        <v>-1</v>
      </c>
      <c r="D16" s="13">
        <v>-1</v>
      </c>
      <c r="E16" s="13"/>
      <c r="F16" s="13" t="s">
        <v>6</v>
      </c>
    </row>
    <row r="17" spans="1:6">
      <c r="A17" s="13">
        <v>16</v>
      </c>
      <c r="B17" s="13">
        <v>24</v>
      </c>
      <c r="C17" s="13">
        <v>-1</v>
      </c>
      <c r="D17" s="13">
        <v>-1</v>
      </c>
      <c r="E17" s="13"/>
      <c r="F17" s="13" t="s">
        <v>6</v>
      </c>
    </row>
    <row r="18" spans="1:6">
      <c r="A18" s="13">
        <v>17</v>
      </c>
      <c r="B18" s="13">
        <v>25</v>
      </c>
      <c r="C18" s="13">
        <v>-1</v>
      </c>
      <c r="D18" s="13">
        <v>-1</v>
      </c>
      <c r="E18" s="13"/>
      <c r="F18" s="13" t="s">
        <v>6</v>
      </c>
    </row>
    <row r="19" spans="1:6">
      <c r="A19" s="13">
        <v>18</v>
      </c>
      <c r="B19" s="13">
        <v>25</v>
      </c>
      <c r="C19" s="13">
        <v>-1</v>
      </c>
      <c r="D19" s="13">
        <v>-1</v>
      </c>
      <c r="E19" s="13"/>
      <c r="F19" s="13" t="s">
        <v>6</v>
      </c>
    </row>
    <row r="20" spans="1:6">
      <c r="A20" s="13">
        <v>19</v>
      </c>
      <c r="B20" s="13">
        <v>25</v>
      </c>
      <c r="C20" s="13">
        <v>-1</v>
      </c>
      <c r="D20" s="13">
        <v>-1</v>
      </c>
      <c r="E20" s="13"/>
      <c r="F20" s="13" t="s">
        <v>6</v>
      </c>
    </row>
    <row r="21" spans="1:6">
      <c r="A21" s="13">
        <v>20</v>
      </c>
      <c r="B21" s="13">
        <v>25</v>
      </c>
      <c r="C21" s="13">
        <v>-1</v>
      </c>
      <c r="D21" s="13">
        <v>-1</v>
      </c>
      <c r="E21" s="13"/>
      <c r="F21" s="13" t="s">
        <v>6</v>
      </c>
    </row>
    <row r="22" spans="1:6">
      <c r="A22" s="13">
        <v>21</v>
      </c>
      <c r="B22" s="13">
        <v>26</v>
      </c>
      <c r="C22" s="13">
        <v>-1</v>
      </c>
      <c r="D22" s="13">
        <v>-1</v>
      </c>
      <c r="E22" s="13"/>
      <c r="F22" s="13" t="s">
        <v>6</v>
      </c>
    </row>
    <row r="23" spans="1:6">
      <c r="A23" s="13">
        <v>22</v>
      </c>
      <c r="B23" s="13">
        <v>26</v>
      </c>
      <c r="C23" s="13">
        <v>-1</v>
      </c>
      <c r="D23" s="13">
        <v>-1</v>
      </c>
      <c r="E23" s="13"/>
      <c r="F23" s="13" t="s">
        <v>6</v>
      </c>
    </row>
    <row r="24" spans="1:6">
      <c r="A24" s="13">
        <v>23</v>
      </c>
      <c r="B24" s="13">
        <v>26</v>
      </c>
      <c r="C24" s="13">
        <v>-1</v>
      </c>
      <c r="D24" s="13">
        <v>-1</v>
      </c>
      <c r="E24" s="13"/>
      <c r="F24" s="13" t="s">
        <v>6</v>
      </c>
    </row>
    <row r="25" spans="1:6">
      <c r="A25" s="13">
        <v>24</v>
      </c>
      <c r="B25" s="13">
        <v>26</v>
      </c>
      <c r="C25" s="13">
        <v>-1</v>
      </c>
      <c r="D25" s="13">
        <v>-1</v>
      </c>
      <c r="E25" s="13"/>
      <c r="F25" s="13" t="s">
        <v>6</v>
      </c>
    </row>
    <row r="26" spans="1:6">
      <c r="A26" s="13">
        <v>25</v>
      </c>
      <c r="B26" s="13">
        <v>27</v>
      </c>
      <c r="C26" s="13">
        <v>-1</v>
      </c>
      <c r="D26" s="13">
        <v>-1</v>
      </c>
      <c r="E26" s="13"/>
      <c r="F26" s="13" t="s">
        <v>6</v>
      </c>
    </row>
    <row r="27" spans="1:6">
      <c r="A27" s="13">
        <v>26</v>
      </c>
      <c r="B27" s="13">
        <v>27</v>
      </c>
      <c r="C27" s="13">
        <v>-1</v>
      </c>
      <c r="D27" s="13">
        <v>-1</v>
      </c>
      <c r="E27" s="13"/>
      <c r="F27" s="13" t="s">
        <v>6</v>
      </c>
    </row>
    <row r="28" spans="1:6">
      <c r="A28" s="13">
        <v>27</v>
      </c>
      <c r="B28" s="13">
        <v>27</v>
      </c>
      <c r="C28" s="13">
        <v>-1</v>
      </c>
      <c r="D28" s="13">
        <v>-1</v>
      </c>
      <c r="E28" s="13"/>
      <c r="F28" s="13" t="s">
        <v>6</v>
      </c>
    </row>
    <row r="29" spans="1:6">
      <c r="A29" s="13">
        <v>28</v>
      </c>
      <c r="B29" s="13">
        <v>27</v>
      </c>
      <c r="C29" s="13">
        <v>-1</v>
      </c>
      <c r="D29" s="13">
        <v>-1</v>
      </c>
      <c r="E29" s="13"/>
      <c r="F29" s="13" t="s">
        <v>6</v>
      </c>
    </row>
    <row r="30" spans="1:6">
      <c r="A30" s="13">
        <v>29</v>
      </c>
      <c r="B30" s="13">
        <v>28</v>
      </c>
      <c r="C30" s="13">
        <v>-1</v>
      </c>
      <c r="D30" s="13">
        <v>-1</v>
      </c>
      <c r="E30" s="13"/>
      <c r="F30" s="13" t="s">
        <v>6</v>
      </c>
    </row>
    <row r="31" spans="1:6">
      <c r="A31" s="13">
        <v>30</v>
      </c>
      <c r="B31" s="13">
        <v>28</v>
      </c>
      <c r="C31" s="13">
        <v>-1</v>
      </c>
      <c r="D31" s="13">
        <v>-1</v>
      </c>
      <c r="E31" s="13"/>
      <c r="F31" s="13" t="s">
        <v>6</v>
      </c>
    </row>
    <row r="32" spans="1:6">
      <c r="A32" s="13">
        <v>31</v>
      </c>
      <c r="B32" s="13">
        <v>28</v>
      </c>
      <c r="C32" s="13">
        <v>-1</v>
      </c>
      <c r="D32" s="13">
        <v>-1</v>
      </c>
      <c r="E32" s="13"/>
      <c r="F32" s="13" t="s">
        <v>6</v>
      </c>
    </row>
    <row r="33" spans="1:6">
      <c r="A33" s="13">
        <v>32</v>
      </c>
      <c r="B33" s="13">
        <v>28</v>
      </c>
      <c r="C33" s="13">
        <v>-1</v>
      </c>
      <c r="D33" s="13">
        <v>-1</v>
      </c>
      <c r="E33" s="13"/>
      <c r="F33" s="13" t="s">
        <v>6</v>
      </c>
    </row>
    <row r="34" spans="1:6">
      <c r="A34" s="13">
        <v>33</v>
      </c>
      <c r="B34" s="13">
        <v>29</v>
      </c>
      <c r="C34" s="13">
        <v>-1</v>
      </c>
      <c r="D34" s="13">
        <v>-1</v>
      </c>
      <c r="E34" s="13"/>
      <c r="F34" s="13" t="s">
        <v>6</v>
      </c>
    </row>
    <row r="35" spans="1:6">
      <c r="A35" s="13">
        <v>34</v>
      </c>
      <c r="B35" s="13">
        <v>29</v>
      </c>
      <c r="C35" s="13">
        <v>-1</v>
      </c>
      <c r="D35" s="13">
        <v>-1</v>
      </c>
      <c r="E35" s="13"/>
      <c r="F35" s="13" t="s">
        <v>6</v>
      </c>
    </row>
    <row r="36" spans="1:6">
      <c r="A36" s="13">
        <v>35</v>
      </c>
      <c r="B36" s="13">
        <v>29</v>
      </c>
      <c r="C36" s="13">
        <v>-1</v>
      </c>
      <c r="D36" s="13">
        <v>-1</v>
      </c>
      <c r="E36" s="13"/>
      <c r="F36" s="13" t="s">
        <v>6</v>
      </c>
    </row>
    <row r="37" spans="1:6">
      <c r="A37" s="13">
        <v>36</v>
      </c>
      <c r="B37" s="13">
        <v>29</v>
      </c>
      <c r="C37" s="13">
        <v>-1</v>
      </c>
      <c r="D37" s="13">
        <v>-1</v>
      </c>
      <c r="E37" s="13"/>
      <c r="F37" s="13" t="s">
        <v>6</v>
      </c>
    </row>
    <row r="38" spans="1:6">
      <c r="A38" s="13">
        <v>37</v>
      </c>
      <c r="B38" s="13">
        <v>30</v>
      </c>
      <c r="C38" s="13">
        <v>-1</v>
      </c>
      <c r="D38" s="13">
        <v>-1</v>
      </c>
      <c r="E38" s="13"/>
      <c r="F38" s="13" t="s">
        <v>6</v>
      </c>
    </row>
    <row r="39" spans="1:6">
      <c r="A39" s="13">
        <v>38</v>
      </c>
      <c r="B39" s="13">
        <v>30</v>
      </c>
      <c r="C39" s="13">
        <v>-1</v>
      </c>
      <c r="D39" s="13">
        <v>-1</v>
      </c>
      <c r="E39" s="13"/>
      <c r="F39" s="13" t="s">
        <v>6</v>
      </c>
    </row>
    <row r="40" spans="1:6">
      <c r="A40" s="13">
        <v>39</v>
      </c>
      <c r="B40" s="13">
        <v>30</v>
      </c>
      <c r="C40" s="13">
        <v>-1</v>
      </c>
      <c r="D40" s="13">
        <v>-1</v>
      </c>
      <c r="E40" s="13"/>
      <c r="F40" s="13" t="s">
        <v>6</v>
      </c>
    </row>
    <row r="41" spans="1:6">
      <c r="A41" s="13">
        <v>40</v>
      </c>
      <c r="B41" s="13">
        <v>30</v>
      </c>
      <c r="C41" s="13">
        <v>-1</v>
      </c>
      <c r="D41" s="13">
        <v>-1</v>
      </c>
      <c r="E41" s="13"/>
      <c r="F41" s="13" t="s">
        <v>6</v>
      </c>
    </row>
    <row r="42" spans="1:6">
      <c r="A42" s="13">
        <v>41</v>
      </c>
      <c r="B42" s="13" t="s">
        <v>7</v>
      </c>
      <c r="C42" s="13">
        <v>22.274808194067301</v>
      </c>
      <c r="D42" s="13">
        <v>0.82417546837384803</v>
      </c>
      <c r="E42" s="13">
        <v>0.99994000000000005</v>
      </c>
      <c r="F42" s="13"/>
    </row>
    <row r="43" spans="1:6">
      <c r="A43" s="13">
        <v>42</v>
      </c>
      <c r="B43" s="13" t="s">
        <v>7</v>
      </c>
      <c r="C43" s="13">
        <v>22.9108871745022</v>
      </c>
      <c r="D43" s="13">
        <v>0.82634966400658205</v>
      </c>
      <c r="E43" s="13">
        <v>0.99882000000000004</v>
      </c>
      <c r="F43" s="13"/>
    </row>
    <row r="44" spans="1:6">
      <c r="A44" s="13">
        <v>43</v>
      </c>
      <c r="B44" s="13" t="s">
        <v>7</v>
      </c>
      <c r="C44" s="13">
        <v>22.033850288168299</v>
      </c>
      <c r="D44" s="13">
        <v>0.79369948909904897</v>
      </c>
      <c r="E44" s="13">
        <v>0.99997999999999998</v>
      </c>
      <c r="F44" s="13"/>
    </row>
    <row r="45" spans="1:6">
      <c r="A45" s="13">
        <v>44</v>
      </c>
      <c r="B45" s="13" t="s">
        <v>7</v>
      </c>
      <c r="C45" s="13">
        <v>22.175591517743001</v>
      </c>
      <c r="D45" s="13">
        <v>0.85344783694089299</v>
      </c>
      <c r="E45" s="13">
        <v>0.99968000000000001</v>
      </c>
      <c r="F45" s="13"/>
    </row>
    <row r="46" spans="1:6">
      <c r="A46" s="13">
        <v>45</v>
      </c>
      <c r="B46" s="13" t="s">
        <v>8</v>
      </c>
      <c r="C46" s="13">
        <v>-1</v>
      </c>
      <c r="D46" s="13">
        <v>-1</v>
      </c>
      <c r="E46" s="13"/>
      <c r="F46" s="13" t="s">
        <v>6</v>
      </c>
    </row>
    <row r="47" spans="1:6">
      <c r="A47" s="13">
        <v>46</v>
      </c>
      <c r="B47" s="13" t="s">
        <v>8</v>
      </c>
      <c r="C47" s="13">
        <v>-1</v>
      </c>
      <c r="D47" s="13">
        <v>-1</v>
      </c>
      <c r="E47" s="13"/>
      <c r="F47" s="13" t="s">
        <v>6</v>
      </c>
    </row>
    <row r="48" spans="1:6">
      <c r="A48" s="13">
        <v>47</v>
      </c>
      <c r="B48" s="13" t="s">
        <v>8</v>
      </c>
      <c r="C48" s="13">
        <v>-1</v>
      </c>
      <c r="D48" s="13">
        <v>-1</v>
      </c>
      <c r="E48" s="13"/>
      <c r="F48" s="13" t="s">
        <v>6</v>
      </c>
    </row>
    <row r="49" spans="1:6">
      <c r="A49" s="13">
        <v>48</v>
      </c>
      <c r="B49" s="13" t="s">
        <v>8</v>
      </c>
      <c r="C49" s="13">
        <v>-1</v>
      </c>
      <c r="D49" s="13">
        <v>-1</v>
      </c>
      <c r="E49" s="13"/>
      <c r="F49" s="13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>
      <c r="A2" s="14">
        <v>1</v>
      </c>
      <c r="B2" s="14">
        <v>21</v>
      </c>
      <c r="C2" s="14">
        <v>-1</v>
      </c>
      <c r="D2" s="14">
        <v>-1</v>
      </c>
      <c r="E2" s="14"/>
      <c r="F2" s="14" t="s">
        <v>6</v>
      </c>
    </row>
    <row r="3" spans="1:6">
      <c r="A3" s="14">
        <v>2</v>
      </c>
      <c r="B3" s="14">
        <v>21</v>
      </c>
      <c r="C3" s="14">
        <v>-1</v>
      </c>
      <c r="D3" s="14">
        <v>-1</v>
      </c>
      <c r="E3" s="14"/>
      <c r="F3" s="14" t="s">
        <v>6</v>
      </c>
    </row>
    <row r="4" spans="1:6">
      <c r="A4" s="14">
        <v>3</v>
      </c>
      <c r="B4" s="14">
        <v>21</v>
      </c>
      <c r="C4" s="14">
        <v>-1</v>
      </c>
      <c r="D4" s="14">
        <v>-1</v>
      </c>
      <c r="E4" s="14"/>
      <c r="F4" s="14" t="s">
        <v>6</v>
      </c>
    </row>
    <row r="5" spans="1:6">
      <c r="A5" s="14">
        <v>4</v>
      </c>
      <c r="B5" s="14">
        <v>21</v>
      </c>
      <c r="C5" s="14">
        <v>-1</v>
      </c>
      <c r="D5" s="14">
        <v>-1</v>
      </c>
      <c r="E5" s="14"/>
      <c r="F5" s="14" t="s">
        <v>6</v>
      </c>
    </row>
    <row r="6" spans="1:6">
      <c r="A6" s="14">
        <v>5</v>
      </c>
      <c r="B6" s="14">
        <v>22</v>
      </c>
      <c r="C6" s="14">
        <v>-1</v>
      </c>
      <c r="D6" s="14">
        <v>-1</v>
      </c>
      <c r="E6" s="14"/>
      <c r="F6" s="14" t="s">
        <v>6</v>
      </c>
    </row>
    <row r="7" spans="1:6">
      <c r="A7" s="14">
        <v>6</v>
      </c>
      <c r="B7" s="14">
        <v>22</v>
      </c>
      <c r="C7" s="14">
        <v>-1</v>
      </c>
      <c r="D7" s="14">
        <v>-1</v>
      </c>
      <c r="E7" s="14"/>
      <c r="F7" s="14" t="s">
        <v>6</v>
      </c>
    </row>
    <row r="8" spans="1:6">
      <c r="A8" s="14">
        <v>7</v>
      </c>
      <c r="B8" s="14">
        <v>22</v>
      </c>
      <c r="C8" s="14">
        <v>-1</v>
      </c>
      <c r="D8" s="14">
        <v>-1</v>
      </c>
      <c r="E8" s="14"/>
      <c r="F8" s="14" t="s">
        <v>6</v>
      </c>
    </row>
    <row r="9" spans="1:6">
      <c r="A9" s="14">
        <v>8</v>
      </c>
      <c r="B9" s="14">
        <v>22</v>
      </c>
      <c r="C9" s="14">
        <v>-1</v>
      </c>
      <c r="D9" s="14">
        <v>-1</v>
      </c>
      <c r="E9" s="14"/>
      <c r="F9" s="14" t="s">
        <v>6</v>
      </c>
    </row>
    <row r="10" spans="1:6">
      <c r="A10" s="14">
        <v>9</v>
      </c>
      <c r="B10" s="14">
        <v>23</v>
      </c>
      <c r="C10" s="14">
        <v>-1</v>
      </c>
      <c r="D10" s="14">
        <v>-1</v>
      </c>
      <c r="E10" s="14"/>
      <c r="F10" s="14" t="s">
        <v>6</v>
      </c>
    </row>
    <row r="11" spans="1:6">
      <c r="A11" s="14">
        <v>10</v>
      </c>
      <c r="B11" s="14">
        <v>23</v>
      </c>
      <c r="C11" s="14">
        <v>-1</v>
      </c>
      <c r="D11" s="14">
        <v>-1</v>
      </c>
      <c r="E11" s="14"/>
      <c r="F11" s="14" t="s">
        <v>6</v>
      </c>
    </row>
    <row r="12" spans="1:6">
      <c r="A12" s="14">
        <v>11</v>
      </c>
      <c r="B12" s="14">
        <v>23</v>
      </c>
      <c r="C12" s="14">
        <v>-1</v>
      </c>
      <c r="D12" s="14">
        <v>-1</v>
      </c>
      <c r="E12" s="14"/>
      <c r="F12" s="14" t="s">
        <v>6</v>
      </c>
    </row>
    <row r="13" spans="1:6">
      <c r="A13" s="14">
        <v>12</v>
      </c>
      <c r="B13" s="14">
        <v>23</v>
      </c>
      <c r="C13" s="14">
        <v>-1</v>
      </c>
      <c r="D13" s="14">
        <v>-1</v>
      </c>
      <c r="E13" s="14"/>
      <c r="F13" s="14" t="s">
        <v>6</v>
      </c>
    </row>
    <row r="14" spans="1:6">
      <c r="A14" s="14">
        <v>13</v>
      </c>
      <c r="B14" s="14">
        <v>24</v>
      </c>
      <c r="C14" s="14">
        <v>-1</v>
      </c>
      <c r="D14" s="14">
        <v>-1</v>
      </c>
      <c r="E14" s="14"/>
      <c r="F14" s="14" t="s">
        <v>6</v>
      </c>
    </row>
    <row r="15" spans="1:6">
      <c r="A15" s="14">
        <v>14</v>
      </c>
      <c r="B15" s="14">
        <v>24</v>
      </c>
      <c r="C15" s="14">
        <v>-1</v>
      </c>
      <c r="D15" s="14">
        <v>-1</v>
      </c>
      <c r="E15" s="14"/>
      <c r="F15" s="14" t="s">
        <v>6</v>
      </c>
    </row>
    <row r="16" spans="1:6">
      <c r="A16" s="14">
        <v>15</v>
      </c>
      <c r="B16" s="14">
        <v>24</v>
      </c>
      <c r="C16" s="14">
        <v>-1</v>
      </c>
      <c r="D16" s="14">
        <v>-1</v>
      </c>
      <c r="E16" s="14"/>
      <c r="F16" s="14" t="s">
        <v>6</v>
      </c>
    </row>
    <row r="17" spans="1:6">
      <c r="A17" s="14">
        <v>16</v>
      </c>
      <c r="B17" s="14">
        <v>24</v>
      </c>
      <c r="C17" s="14">
        <v>-1</v>
      </c>
      <c r="D17" s="14">
        <v>-1</v>
      </c>
      <c r="E17" s="14"/>
      <c r="F17" s="14" t="s">
        <v>6</v>
      </c>
    </row>
    <row r="18" spans="1:6">
      <c r="A18" s="14">
        <v>17</v>
      </c>
      <c r="B18" s="14">
        <v>25</v>
      </c>
      <c r="C18" s="14">
        <v>-1</v>
      </c>
      <c r="D18" s="14">
        <v>-1</v>
      </c>
      <c r="E18" s="14"/>
      <c r="F18" s="14" t="s">
        <v>6</v>
      </c>
    </row>
    <row r="19" spans="1:6">
      <c r="A19" s="14">
        <v>18</v>
      </c>
      <c r="B19" s="14">
        <v>25</v>
      </c>
      <c r="C19" s="14">
        <v>-1</v>
      </c>
      <c r="D19" s="14">
        <v>-1</v>
      </c>
      <c r="E19" s="14"/>
      <c r="F19" s="14" t="s">
        <v>6</v>
      </c>
    </row>
    <row r="20" spans="1:6">
      <c r="A20" s="14">
        <v>19</v>
      </c>
      <c r="B20" s="14">
        <v>25</v>
      </c>
      <c r="C20" s="14">
        <v>-1</v>
      </c>
      <c r="D20" s="14">
        <v>-1</v>
      </c>
      <c r="E20" s="14"/>
      <c r="F20" s="14" t="s">
        <v>6</v>
      </c>
    </row>
    <row r="21" spans="1:6">
      <c r="A21" s="14">
        <v>20</v>
      </c>
      <c r="B21" s="14">
        <v>25</v>
      </c>
      <c r="C21" s="14">
        <v>-1</v>
      </c>
      <c r="D21" s="14">
        <v>-1</v>
      </c>
      <c r="E21" s="14"/>
      <c r="F21" s="14" t="s">
        <v>6</v>
      </c>
    </row>
    <row r="22" spans="1:6">
      <c r="A22" s="14">
        <v>21</v>
      </c>
      <c r="B22" s="14">
        <v>26</v>
      </c>
      <c r="C22" s="14">
        <v>-1</v>
      </c>
      <c r="D22" s="14">
        <v>-1</v>
      </c>
      <c r="E22" s="14"/>
      <c r="F22" s="14" t="s">
        <v>6</v>
      </c>
    </row>
    <row r="23" spans="1:6">
      <c r="A23" s="14">
        <v>22</v>
      </c>
      <c r="B23" s="14">
        <v>26</v>
      </c>
      <c r="C23" s="14">
        <v>-1</v>
      </c>
      <c r="D23" s="14">
        <v>-1</v>
      </c>
      <c r="E23" s="14"/>
      <c r="F23" s="14" t="s">
        <v>6</v>
      </c>
    </row>
    <row r="24" spans="1:6">
      <c r="A24" s="14">
        <v>23</v>
      </c>
      <c r="B24" s="14">
        <v>26</v>
      </c>
      <c r="C24" s="14">
        <v>-1</v>
      </c>
      <c r="D24" s="14">
        <v>-1</v>
      </c>
      <c r="E24" s="14"/>
      <c r="F24" s="14" t="s">
        <v>6</v>
      </c>
    </row>
    <row r="25" spans="1:6">
      <c r="A25" s="14">
        <v>24</v>
      </c>
      <c r="B25" s="14">
        <v>26</v>
      </c>
      <c r="C25" s="14">
        <v>-1</v>
      </c>
      <c r="D25" s="14">
        <v>-1</v>
      </c>
      <c r="E25" s="14"/>
      <c r="F25" s="14" t="s">
        <v>6</v>
      </c>
    </row>
    <row r="26" spans="1:6">
      <c r="A26" s="14">
        <v>25</v>
      </c>
      <c r="B26" s="14">
        <v>27</v>
      </c>
      <c r="C26" s="14">
        <v>-1</v>
      </c>
      <c r="D26" s="14">
        <v>-1</v>
      </c>
      <c r="E26" s="14"/>
      <c r="F26" s="14" t="s">
        <v>6</v>
      </c>
    </row>
    <row r="27" spans="1:6">
      <c r="A27" s="14">
        <v>26</v>
      </c>
      <c r="B27" s="14">
        <v>27</v>
      </c>
      <c r="C27" s="14">
        <v>-1</v>
      </c>
      <c r="D27" s="14">
        <v>-1</v>
      </c>
      <c r="E27" s="14"/>
      <c r="F27" s="14" t="s">
        <v>6</v>
      </c>
    </row>
    <row r="28" spans="1:6">
      <c r="A28" s="14">
        <v>27</v>
      </c>
      <c r="B28" s="14">
        <v>27</v>
      </c>
      <c r="C28" s="14">
        <v>-1</v>
      </c>
      <c r="D28" s="14">
        <v>-1</v>
      </c>
      <c r="E28" s="14"/>
      <c r="F28" s="14" t="s">
        <v>6</v>
      </c>
    </row>
    <row r="29" spans="1:6">
      <c r="A29" s="14">
        <v>28</v>
      </c>
      <c r="B29" s="14">
        <v>27</v>
      </c>
      <c r="C29" s="14">
        <v>-1</v>
      </c>
      <c r="D29" s="14">
        <v>-1</v>
      </c>
      <c r="E29" s="14"/>
      <c r="F29" s="14" t="s">
        <v>6</v>
      </c>
    </row>
    <row r="30" spans="1:6">
      <c r="A30" s="14">
        <v>29</v>
      </c>
      <c r="B30" s="14">
        <v>28</v>
      </c>
      <c r="C30" s="14">
        <v>-1</v>
      </c>
      <c r="D30" s="14">
        <v>-1</v>
      </c>
      <c r="E30" s="14"/>
      <c r="F30" s="14" t="s">
        <v>6</v>
      </c>
    </row>
    <row r="31" spans="1:6">
      <c r="A31" s="14">
        <v>30</v>
      </c>
      <c r="B31" s="14">
        <v>28</v>
      </c>
      <c r="C31" s="14">
        <v>-1</v>
      </c>
      <c r="D31" s="14">
        <v>-1</v>
      </c>
      <c r="E31" s="14"/>
      <c r="F31" s="14" t="s">
        <v>6</v>
      </c>
    </row>
    <row r="32" spans="1:6">
      <c r="A32" s="14">
        <v>31</v>
      </c>
      <c r="B32" s="14">
        <v>28</v>
      </c>
      <c r="C32" s="14">
        <v>-1</v>
      </c>
      <c r="D32" s="14">
        <v>-1</v>
      </c>
      <c r="E32" s="14"/>
      <c r="F32" s="14" t="s">
        <v>6</v>
      </c>
    </row>
    <row r="33" spans="1:6">
      <c r="A33" s="14">
        <v>32</v>
      </c>
      <c r="B33" s="14">
        <v>28</v>
      </c>
      <c r="C33" s="14">
        <v>-1</v>
      </c>
      <c r="D33" s="14">
        <v>-1</v>
      </c>
      <c r="E33" s="14"/>
      <c r="F33" s="14" t="s">
        <v>6</v>
      </c>
    </row>
    <row r="34" spans="1:6">
      <c r="A34" s="14">
        <v>33</v>
      </c>
      <c r="B34" s="14">
        <v>29</v>
      </c>
      <c r="C34" s="14">
        <v>-1</v>
      </c>
      <c r="D34" s="14">
        <v>-1</v>
      </c>
      <c r="E34" s="14"/>
      <c r="F34" s="14" t="s">
        <v>6</v>
      </c>
    </row>
    <row r="35" spans="1:6">
      <c r="A35" s="14">
        <v>34</v>
      </c>
      <c r="B35" s="14">
        <v>29</v>
      </c>
      <c r="C35" s="14">
        <v>-1</v>
      </c>
      <c r="D35" s="14">
        <v>-1</v>
      </c>
      <c r="E35" s="14"/>
      <c r="F35" s="14" t="s">
        <v>6</v>
      </c>
    </row>
    <row r="36" spans="1:6">
      <c r="A36" s="14">
        <v>35</v>
      </c>
      <c r="B36" s="14">
        <v>29</v>
      </c>
      <c r="C36" s="14">
        <v>-1</v>
      </c>
      <c r="D36" s="14">
        <v>-1</v>
      </c>
      <c r="E36" s="14"/>
      <c r="F36" s="14" t="s">
        <v>6</v>
      </c>
    </row>
    <row r="37" spans="1:6">
      <c r="A37" s="14">
        <v>36</v>
      </c>
      <c r="B37" s="14">
        <v>29</v>
      </c>
      <c r="C37" s="14">
        <v>-1</v>
      </c>
      <c r="D37" s="14">
        <v>-1</v>
      </c>
      <c r="E37" s="14"/>
      <c r="F37" s="14" t="s">
        <v>6</v>
      </c>
    </row>
    <row r="38" spans="1:6">
      <c r="A38" s="14">
        <v>37</v>
      </c>
      <c r="B38" s="14">
        <v>30</v>
      </c>
      <c r="C38" s="14">
        <v>-1</v>
      </c>
      <c r="D38" s="14">
        <v>-1</v>
      </c>
      <c r="E38" s="14"/>
      <c r="F38" s="14" t="s">
        <v>6</v>
      </c>
    </row>
    <row r="39" spans="1:6">
      <c r="A39" s="14">
        <v>38</v>
      </c>
      <c r="B39" s="14">
        <v>30</v>
      </c>
      <c r="C39" s="14">
        <v>-1</v>
      </c>
      <c r="D39" s="14">
        <v>-1</v>
      </c>
      <c r="E39" s="14"/>
      <c r="F39" s="14" t="s">
        <v>6</v>
      </c>
    </row>
    <row r="40" spans="1:6">
      <c r="A40" s="14">
        <v>39</v>
      </c>
      <c r="B40" s="14">
        <v>30</v>
      </c>
      <c r="C40" s="14">
        <v>-1</v>
      </c>
      <c r="D40" s="14">
        <v>-1</v>
      </c>
      <c r="E40" s="14"/>
      <c r="F40" s="14" t="s">
        <v>6</v>
      </c>
    </row>
    <row r="41" spans="1:6">
      <c r="A41" s="14">
        <v>40</v>
      </c>
      <c r="B41" s="14">
        <v>30</v>
      </c>
      <c r="C41" s="14">
        <v>-1</v>
      </c>
      <c r="D41" s="14">
        <v>-1</v>
      </c>
      <c r="E41" s="14"/>
      <c r="F41" s="14" t="s">
        <v>6</v>
      </c>
    </row>
    <row r="42" spans="1:6">
      <c r="A42" s="14">
        <v>41</v>
      </c>
      <c r="B42" s="14" t="s">
        <v>7</v>
      </c>
      <c r="C42" s="14">
        <v>20.407412047933501</v>
      </c>
      <c r="D42" s="14">
        <v>0.80826362863177703</v>
      </c>
      <c r="E42" s="14">
        <v>0.99880000000000002</v>
      </c>
      <c r="F42" s="14"/>
    </row>
    <row r="43" spans="1:6">
      <c r="A43" s="14">
        <v>42</v>
      </c>
      <c r="B43" s="14" t="s">
        <v>7</v>
      </c>
      <c r="C43" s="14">
        <v>20.517663632830502</v>
      </c>
      <c r="D43" s="14">
        <v>0.773141437936402</v>
      </c>
      <c r="E43" s="14">
        <v>0.99780000000000002</v>
      </c>
      <c r="F43" s="14"/>
    </row>
    <row r="44" spans="1:6">
      <c r="A44" s="14">
        <v>43</v>
      </c>
      <c r="B44" s="14" t="s">
        <v>7</v>
      </c>
      <c r="C44" s="14">
        <v>20.101573721730801</v>
      </c>
      <c r="D44" s="14">
        <v>0.82417110001126903</v>
      </c>
      <c r="E44" s="14">
        <v>0.99819000000000002</v>
      </c>
      <c r="F44" s="14"/>
    </row>
    <row r="45" spans="1:6">
      <c r="A45" s="14">
        <v>44</v>
      </c>
      <c r="B45" s="14" t="s">
        <v>7</v>
      </c>
      <c r="C45" s="14">
        <v>20.054491819619599</v>
      </c>
      <c r="D45" s="14">
        <v>0.82175394199382801</v>
      </c>
      <c r="E45" s="14">
        <v>0.99792000000000003</v>
      </c>
      <c r="F45" s="14"/>
    </row>
    <row r="46" spans="1:6">
      <c r="A46" s="14">
        <v>45</v>
      </c>
      <c r="B46" s="14" t="s">
        <v>8</v>
      </c>
      <c r="C46" s="14">
        <v>-1</v>
      </c>
      <c r="D46" s="14">
        <v>-1</v>
      </c>
      <c r="E46" s="14"/>
      <c r="F46" s="14" t="s">
        <v>6</v>
      </c>
    </row>
    <row r="47" spans="1:6">
      <c r="A47" s="14">
        <v>46</v>
      </c>
      <c r="B47" s="14" t="s">
        <v>8</v>
      </c>
      <c r="C47" s="14">
        <v>-1</v>
      </c>
      <c r="D47" s="14">
        <v>-1</v>
      </c>
      <c r="E47" s="14"/>
      <c r="F47" s="14" t="s">
        <v>6</v>
      </c>
    </row>
    <row r="48" spans="1:6">
      <c r="A48" s="14">
        <v>47</v>
      </c>
      <c r="B48" s="14" t="s">
        <v>8</v>
      </c>
      <c r="C48" s="14">
        <v>-1</v>
      </c>
      <c r="D48" s="14">
        <v>-1</v>
      </c>
      <c r="E48" s="14"/>
      <c r="F48" s="14" t="s">
        <v>6</v>
      </c>
    </row>
    <row r="49" spans="1:6">
      <c r="A49" s="14">
        <v>48</v>
      </c>
      <c r="B49" s="14" t="s">
        <v>8</v>
      </c>
      <c r="C49" s="14">
        <v>-1</v>
      </c>
      <c r="D49" s="14">
        <v>-1</v>
      </c>
      <c r="E49" s="14"/>
      <c r="F49" s="14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5">
        <v>1</v>
      </c>
      <c r="B2" s="15">
        <v>21</v>
      </c>
      <c r="C2" s="15">
        <v>23.0840006118217</v>
      </c>
      <c r="D2" s="15">
        <v>1.0099274458292999</v>
      </c>
      <c r="E2" s="15">
        <v>0.99885999999999997</v>
      </c>
      <c r="F2" s="15"/>
    </row>
    <row r="3" spans="1:6">
      <c r="A3" s="15">
        <v>2</v>
      </c>
      <c r="B3" s="15">
        <v>21</v>
      </c>
      <c r="C3" s="15">
        <v>23.0366815227971</v>
      </c>
      <c r="D3" s="15">
        <v>0.97993127732666796</v>
      </c>
      <c r="E3" s="15">
        <v>0.99912999999999996</v>
      </c>
      <c r="F3" s="15"/>
    </row>
    <row r="4" spans="1:6">
      <c r="A4" s="15">
        <v>3</v>
      </c>
      <c r="B4" s="15">
        <v>21</v>
      </c>
      <c r="C4" s="15">
        <v>23.133169137296399</v>
      </c>
      <c r="D4" s="15">
        <v>0.99350255722428304</v>
      </c>
      <c r="E4" s="15">
        <v>0.99900999999999995</v>
      </c>
      <c r="F4" s="15"/>
    </row>
    <row r="5" spans="1:6">
      <c r="A5" s="15">
        <v>4</v>
      </c>
      <c r="B5" s="15">
        <v>21</v>
      </c>
      <c r="C5" s="15">
        <v>23.147075119825299</v>
      </c>
      <c r="D5" s="15">
        <v>0.98047037835072803</v>
      </c>
      <c r="E5" s="15">
        <v>0.99912999999999996</v>
      </c>
      <c r="F5" s="15"/>
    </row>
    <row r="6" spans="1:6">
      <c r="A6" s="15">
        <v>5</v>
      </c>
      <c r="B6" s="15">
        <v>22</v>
      </c>
      <c r="C6" s="15">
        <v>22.396091195431602</v>
      </c>
      <c r="D6" s="15">
        <v>0.92639096336580695</v>
      </c>
      <c r="E6" s="15">
        <v>0.99973000000000001</v>
      </c>
      <c r="F6" s="15"/>
    </row>
    <row r="7" spans="1:6">
      <c r="A7" s="15">
        <v>6</v>
      </c>
      <c r="B7" s="15">
        <v>22</v>
      </c>
      <c r="C7" s="15">
        <v>22.3586152150414</v>
      </c>
      <c r="D7" s="15">
        <v>0.912539932190366</v>
      </c>
      <c r="E7" s="15">
        <v>0.99975000000000003</v>
      </c>
      <c r="F7" s="15"/>
    </row>
    <row r="8" spans="1:6">
      <c r="A8" s="15">
        <v>7</v>
      </c>
      <c r="B8" s="15">
        <v>22</v>
      </c>
      <c r="C8" s="15">
        <v>22.2829445350594</v>
      </c>
      <c r="D8" s="15">
        <v>0.87246655667419704</v>
      </c>
      <c r="E8" s="15">
        <v>0.99985000000000002</v>
      </c>
      <c r="F8" s="15"/>
    </row>
    <row r="9" spans="1:6">
      <c r="A9" s="15">
        <v>8</v>
      </c>
      <c r="B9" s="15">
        <v>22</v>
      </c>
      <c r="C9" s="15">
        <v>22.2941886904512</v>
      </c>
      <c r="D9" s="15">
        <v>0.972897116916009</v>
      </c>
      <c r="E9" s="15">
        <v>0.99929999999999997</v>
      </c>
      <c r="F9" s="15"/>
    </row>
    <row r="10" spans="1:6">
      <c r="A10" s="15">
        <v>9</v>
      </c>
      <c r="B10" s="15">
        <v>23</v>
      </c>
      <c r="C10" s="15">
        <v>22.102439106170401</v>
      </c>
      <c r="D10" s="15">
        <v>0.95025667023517502</v>
      </c>
      <c r="E10" s="15">
        <v>0.99922</v>
      </c>
      <c r="F10" s="15"/>
    </row>
    <row r="11" spans="1:6">
      <c r="A11" s="15">
        <v>10</v>
      </c>
      <c r="B11" s="15">
        <v>23</v>
      </c>
      <c r="C11" s="15">
        <v>22.396093305779502</v>
      </c>
      <c r="D11" s="15">
        <v>0.91425509675316796</v>
      </c>
      <c r="E11" s="15">
        <v>0.99973999999999996</v>
      </c>
      <c r="F11" s="15"/>
    </row>
    <row r="12" spans="1:6">
      <c r="A12" s="15">
        <v>11</v>
      </c>
      <c r="B12" s="15">
        <v>23</v>
      </c>
      <c r="C12" s="15">
        <v>22.1637540460043</v>
      </c>
      <c r="D12" s="15">
        <v>0.93518358958501202</v>
      </c>
      <c r="E12" s="15">
        <v>0.99931999999999999</v>
      </c>
      <c r="F12" s="15"/>
    </row>
    <row r="13" spans="1:6">
      <c r="A13" s="15">
        <v>12</v>
      </c>
      <c r="B13" s="15">
        <v>23</v>
      </c>
      <c r="C13" s="15">
        <v>22.114847702557299</v>
      </c>
      <c r="D13" s="15">
        <v>0.96617880527932598</v>
      </c>
      <c r="E13" s="15">
        <v>0.99909000000000003</v>
      </c>
      <c r="F13" s="15"/>
    </row>
    <row r="14" spans="1:6">
      <c r="A14" s="15">
        <v>13</v>
      </c>
      <c r="B14" s="15">
        <v>24</v>
      </c>
      <c r="C14" s="15">
        <v>20.657633867585901</v>
      </c>
      <c r="D14" s="15">
        <v>0.91890920039855095</v>
      </c>
      <c r="E14" s="15">
        <v>0.99961</v>
      </c>
      <c r="F14" s="15"/>
    </row>
    <row r="15" spans="1:6">
      <c r="A15" s="15">
        <v>14</v>
      </c>
      <c r="B15" s="15">
        <v>24</v>
      </c>
      <c r="C15" s="15">
        <v>20.747503071339299</v>
      </c>
      <c r="D15" s="15">
        <v>0.94246367834098599</v>
      </c>
      <c r="E15" s="15">
        <v>0.99936999999999998</v>
      </c>
      <c r="F15" s="15"/>
    </row>
    <row r="16" spans="1:6">
      <c r="A16" s="15">
        <v>15</v>
      </c>
      <c r="B16" s="15">
        <v>24</v>
      </c>
      <c r="C16" s="15">
        <v>20.978557586200399</v>
      </c>
      <c r="D16" s="15">
        <v>1.0468105885201999</v>
      </c>
      <c r="E16" s="15">
        <v>0.99831999999999999</v>
      </c>
      <c r="F16" s="15"/>
    </row>
    <row r="17" spans="1:6">
      <c r="A17" s="15">
        <v>16</v>
      </c>
      <c r="B17" s="15">
        <v>24</v>
      </c>
      <c r="C17" s="15">
        <v>20.6928154235543</v>
      </c>
      <c r="D17" s="15">
        <v>0.92980641662167696</v>
      </c>
      <c r="E17" s="15">
        <v>0.99958000000000002</v>
      </c>
      <c r="F17" s="15"/>
    </row>
    <row r="18" spans="1:6">
      <c r="A18" s="15">
        <v>17</v>
      </c>
      <c r="B18" s="15">
        <v>25</v>
      </c>
      <c r="C18" s="15">
        <v>22.175847969867899</v>
      </c>
      <c r="D18" s="15">
        <v>0.96537865314634197</v>
      </c>
      <c r="E18" s="15">
        <v>0.99914000000000003</v>
      </c>
      <c r="F18" s="15"/>
    </row>
    <row r="19" spans="1:6">
      <c r="A19" s="15">
        <v>18</v>
      </c>
      <c r="B19" s="15">
        <v>25</v>
      </c>
      <c r="C19" s="15">
        <v>22.244091106367499</v>
      </c>
      <c r="D19" s="15">
        <v>0.97479531904813999</v>
      </c>
      <c r="E19" s="15">
        <v>0.99912999999999996</v>
      </c>
      <c r="F19" s="15"/>
    </row>
    <row r="20" spans="1:6">
      <c r="A20" s="15">
        <v>19</v>
      </c>
      <c r="B20" s="15">
        <v>25</v>
      </c>
      <c r="C20" s="15">
        <v>22.224325304283099</v>
      </c>
      <c r="D20" s="15">
        <v>0.98573265221941597</v>
      </c>
      <c r="E20" s="15">
        <v>0.999</v>
      </c>
      <c r="F20" s="15"/>
    </row>
    <row r="21" spans="1:6">
      <c r="A21" s="15">
        <v>20</v>
      </c>
      <c r="B21" s="15">
        <v>25</v>
      </c>
      <c r="C21" s="15">
        <v>22.1779282631536</v>
      </c>
      <c r="D21" s="15">
        <v>0.96219458289780402</v>
      </c>
      <c r="E21" s="15">
        <v>0.99924999999999997</v>
      </c>
      <c r="F21" s="15"/>
    </row>
    <row r="22" spans="1:6">
      <c r="A22" s="15">
        <v>21</v>
      </c>
      <c r="B22" s="15">
        <v>26</v>
      </c>
      <c r="C22" s="15">
        <v>22.1263178564584</v>
      </c>
      <c r="D22" s="15">
        <v>0.96151704662538495</v>
      </c>
      <c r="E22" s="15">
        <v>0.99922999999999995</v>
      </c>
      <c r="F22" s="15"/>
    </row>
    <row r="23" spans="1:6">
      <c r="A23" s="15">
        <v>22</v>
      </c>
      <c r="B23" s="15">
        <v>26</v>
      </c>
      <c r="C23" s="15">
        <v>37.427634585943899</v>
      </c>
      <c r="D23" s="15">
        <v>0.46299651398135</v>
      </c>
      <c r="E23" s="15">
        <v>0.97955000000000003</v>
      </c>
      <c r="F23" s="15"/>
    </row>
    <row r="24" spans="1:6">
      <c r="A24" s="15">
        <v>23</v>
      </c>
      <c r="B24" s="15">
        <v>26</v>
      </c>
      <c r="C24" s="15">
        <v>22.138501935972101</v>
      </c>
      <c r="D24" s="15">
        <v>0.98739095825478496</v>
      </c>
      <c r="E24" s="15">
        <v>0.99890999999999996</v>
      </c>
      <c r="F24" s="15"/>
    </row>
    <row r="25" spans="1:6">
      <c r="A25" s="15">
        <v>24</v>
      </c>
      <c r="B25" s="15">
        <v>26</v>
      </c>
      <c r="C25" s="15">
        <v>22.289424878814401</v>
      </c>
      <c r="D25" s="15">
        <v>0.95635575425147301</v>
      </c>
      <c r="E25" s="15">
        <v>0.99948000000000004</v>
      </c>
      <c r="F25" s="15"/>
    </row>
    <row r="26" spans="1:6">
      <c r="A26" s="15">
        <v>25</v>
      </c>
      <c r="B26" s="15">
        <v>27</v>
      </c>
      <c r="C26" s="15">
        <v>21.265210974328401</v>
      </c>
      <c r="D26" s="15">
        <v>0.95901505386871899</v>
      </c>
      <c r="E26" s="15">
        <v>0.99936999999999998</v>
      </c>
      <c r="F26" s="15"/>
    </row>
    <row r="27" spans="1:6">
      <c r="A27" s="15">
        <v>26</v>
      </c>
      <c r="B27" s="15">
        <v>27</v>
      </c>
      <c r="C27" s="15">
        <v>21.368007873923499</v>
      </c>
      <c r="D27" s="15">
        <v>0.95898978760251696</v>
      </c>
      <c r="E27" s="15">
        <v>0.99955000000000005</v>
      </c>
      <c r="F27" s="15"/>
    </row>
    <row r="28" spans="1:6">
      <c r="A28" s="15">
        <v>27</v>
      </c>
      <c r="B28" s="15">
        <v>27</v>
      </c>
      <c r="C28" s="15">
        <v>21.307071457994901</v>
      </c>
      <c r="D28" s="15">
        <v>0.96123828003904499</v>
      </c>
      <c r="E28" s="15">
        <v>0.99938000000000005</v>
      </c>
      <c r="F28" s="15"/>
    </row>
    <row r="29" spans="1:6">
      <c r="A29" s="15">
        <v>28</v>
      </c>
      <c r="B29" s="15">
        <v>27</v>
      </c>
      <c r="C29" s="15">
        <v>21.277278240168702</v>
      </c>
      <c r="D29" s="15">
        <v>0.96377370684210195</v>
      </c>
      <c r="E29" s="15">
        <v>0.99939</v>
      </c>
      <c r="F29" s="15"/>
    </row>
    <row r="30" spans="1:6">
      <c r="A30" s="15">
        <v>29</v>
      </c>
      <c r="B30" s="15">
        <v>28</v>
      </c>
      <c r="C30" s="15">
        <v>21.0333855637165</v>
      </c>
      <c r="D30" s="15">
        <v>0.97762258995607698</v>
      </c>
      <c r="E30" s="15">
        <v>0.99897000000000002</v>
      </c>
      <c r="F30" s="15"/>
    </row>
    <row r="31" spans="1:6">
      <c r="A31" s="15">
        <v>30</v>
      </c>
      <c r="B31" s="15">
        <v>28</v>
      </c>
      <c r="C31" s="15">
        <v>22.207531168157701</v>
      </c>
      <c r="D31" s="15">
        <v>1.0012275967012301</v>
      </c>
      <c r="E31" s="15">
        <v>0.99897000000000002</v>
      </c>
      <c r="F31" s="15"/>
    </row>
    <row r="32" spans="1:6">
      <c r="A32" s="15">
        <v>31</v>
      </c>
      <c r="B32" s="15">
        <v>28</v>
      </c>
      <c r="C32" s="15">
        <v>20.757094865291599</v>
      </c>
      <c r="D32" s="15">
        <v>0.87991206380606601</v>
      </c>
      <c r="E32" s="15">
        <v>0.99977000000000005</v>
      </c>
      <c r="F32" s="15"/>
    </row>
    <row r="33" spans="1:6">
      <c r="A33" s="15">
        <v>32</v>
      </c>
      <c r="B33" s="15">
        <v>28</v>
      </c>
      <c r="C33" s="15">
        <v>20.8755723164948</v>
      </c>
      <c r="D33" s="15">
        <v>0.87264879128857098</v>
      </c>
      <c r="E33" s="15">
        <v>0.99973999999999996</v>
      </c>
      <c r="F33" s="15"/>
    </row>
    <row r="34" spans="1:6">
      <c r="A34" s="15">
        <v>33</v>
      </c>
      <c r="B34" s="15">
        <v>29</v>
      </c>
      <c r="C34" s="15">
        <v>22.481312232479699</v>
      </c>
      <c r="D34" s="15">
        <v>0.94265110912123296</v>
      </c>
      <c r="E34" s="15">
        <v>0.99965999999999999</v>
      </c>
      <c r="F34" s="15"/>
    </row>
    <row r="35" spans="1:6">
      <c r="A35" s="15">
        <v>34</v>
      </c>
      <c r="B35" s="15">
        <v>29</v>
      </c>
      <c r="C35" s="15">
        <v>22.181832560599101</v>
      </c>
      <c r="D35" s="15">
        <v>0.95170067138693104</v>
      </c>
      <c r="E35" s="15">
        <v>0.99938000000000005</v>
      </c>
      <c r="F35" s="15"/>
    </row>
    <row r="36" spans="1:6">
      <c r="A36" s="15">
        <v>35</v>
      </c>
      <c r="B36" s="15">
        <v>29</v>
      </c>
      <c r="C36" s="15">
        <v>22.213228861019399</v>
      </c>
      <c r="D36" s="15">
        <v>0.95881485000586297</v>
      </c>
      <c r="E36" s="15">
        <v>0.99931999999999999</v>
      </c>
      <c r="F36" s="15"/>
    </row>
    <row r="37" spans="1:6">
      <c r="A37" s="15">
        <v>36</v>
      </c>
      <c r="B37" s="15">
        <v>29</v>
      </c>
      <c r="C37" s="15">
        <v>22.1887941439618</v>
      </c>
      <c r="D37" s="15">
        <v>0.95963982606840903</v>
      </c>
      <c r="E37" s="15">
        <v>0.99926999999999999</v>
      </c>
      <c r="F37" s="15"/>
    </row>
    <row r="38" spans="1:6">
      <c r="A38" s="15">
        <v>37</v>
      </c>
      <c r="B38" s="15">
        <v>30</v>
      </c>
      <c r="C38" s="15">
        <v>22.037702714133701</v>
      </c>
      <c r="D38" s="15">
        <v>0.98411466602067998</v>
      </c>
      <c r="E38" s="15">
        <v>0.99892999999999998</v>
      </c>
      <c r="F38" s="15"/>
    </row>
    <row r="39" spans="1:6">
      <c r="A39" s="15">
        <v>38</v>
      </c>
      <c r="B39" s="15">
        <v>30</v>
      </c>
      <c r="C39" s="15">
        <v>22.100849118260399</v>
      </c>
      <c r="D39" s="15">
        <v>0.977203695188951</v>
      </c>
      <c r="E39" s="15">
        <v>0.99900999999999995</v>
      </c>
      <c r="F39" s="15"/>
    </row>
    <row r="40" spans="1:6">
      <c r="A40" s="15">
        <v>39</v>
      </c>
      <c r="B40" s="15">
        <v>30</v>
      </c>
      <c r="C40" s="15">
        <v>22.093705580887601</v>
      </c>
      <c r="D40" s="15">
        <v>0.98298094245696999</v>
      </c>
      <c r="E40" s="15">
        <v>0.99890999999999996</v>
      </c>
      <c r="F40" s="15"/>
    </row>
    <row r="41" spans="1:6">
      <c r="A41" s="15">
        <v>40</v>
      </c>
      <c r="B41" s="15">
        <v>30</v>
      </c>
      <c r="C41" s="15">
        <v>22.092063654016901</v>
      </c>
      <c r="D41" s="15">
        <v>0.98186317470678597</v>
      </c>
      <c r="E41" s="15">
        <v>0.99887000000000004</v>
      </c>
      <c r="F41" s="15"/>
    </row>
    <row r="42" spans="1:6">
      <c r="A42" s="15">
        <v>41</v>
      </c>
      <c r="B42" s="15" t="s">
        <v>7</v>
      </c>
      <c r="C42" s="15">
        <v>34.999039465600703</v>
      </c>
      <c r="D42" s="15">
        <v>0.50320127493380795</v>
      </c>
      <c r="E42" s="15">
        <v>0.99836999999999998</v>
      </c>
      <c r="F42" s="15"/>
    </row>
    <row r="43" spans="1:6">
      <c r="A43" s="15">
        <v>42</v>
      </c>
      <c r="B43" s="15" t="s">
        <v>7</v>
      </c>
      <c r="C43" s="15">
        <v>34.552821468587503</v>
      </c>
      <c r="D43" s="15">
        <v>0.56733595204373199</v>
      </c>
      <c r="E43" s="15">
        <v>0.99744999999999995</v>
      </c>
      <c r="F43" s="15"/>
    </row>
    <row r="44" spans="1:6">
      <c r="A44" s="15">
        <v>43</v>
      </c>
      <c r="B44" s="15" t="s">
        <v>7</v>
      </c>
      <c r="C44" s="15">
        <v>34.277845040271004</v>
      </c>
      <c r="D44" s="15">
        <v>0.54440509895505196</v>
      </c>
      <c r="E44" s="15">
        <v>0.99922</v>
      </c>
      <c r="F44" s="15"/>
    </row>
    <row r="45" spans="1:6">
      <c r="A45" s="15">
        <v>44</v>
      </c>
      <c r="B45" s="15" t="s">
        <v>7</v>
      </c>
      <c r="C45" s="15">
        <v>33.241707502477603</v>
      </c>
      <c r="D45" s="15">
        <v>0.64476873945865698</v>
      </c>
      <c r="E45" s="15">
        <v>0.99939</v>
      </c>
      <c r="F45" s="15"/>
    </row>
    <row r="46" spans="1:6">
      <c r="A46" s="15">
        <v>45</v>
      </c>
      <c r="B46" s="15" t="s">
        <v>8</v>
      </c>
      <c r="C46" s="15">
        <v>-1</v>
      </c>
      <c r="D46" s="15">
        <v>-1</v>
      </c>
      <c r="E46" s="15"/>
      <c r="F46" s="15" t="s">
        <v>6</v>
      </c>
    </row>
    <row r="47" spans="1:6">
      <c r="A47" s="15">
        <v>46</v>
      </c>
      <c r="B47" s="15" t="s">
        <v>8</v>
      </c>
      <c r="C47" s="15">
        <v>-1</v>
      </c>
      <c r="D47" s="15">
        <v>-1</v>
      </c>
      <c r="E47" s="15"/>
      <c r="F47" s="15" t="s">
        <v>6</v>
      </c>
    </row>
    <row r="48" spans="1:6">
      <c r="A48" s="15">
        <v>47</v>
      </c>
      <c r="B48" s="15" t="s">
        <v>8</v>
      </c>
      <c r="C48" s="15">
        <v>-1</v>
      </c>
      <c r="D48" s="15">
        <v>-1</v>
      </c>
      <c r="E48" s="15"/>
      <c r="F48" s="15" t="s">
        <v>6</v>
      </c>
    </row>
    <row r="49" spans="1:6">
      <c r="A49" s="15">
        <v>48</v>
      </c>
      <c r="B49" s="15" t="s">
        <v>8</v>
      </c>
      <c r="C49" s="15">
        <v>-1</v>
      </c>
      <c r="D49" s="15">
        <v>-1</v>
      </c>
      <c r="E49" s="15"/>
      <c r="F49" s="15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4.4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21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23.0840006118217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21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23.0366815227971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21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23.133169137296399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21</v>
      </c>
      <c r="B5">
        <f>IF('177T'!C5="", "", '177T'!C5)</f>
        <v>-1</v>
      </c>
      <c r="C5">
        <f>IF('18S2'!C5="", "", '18S2'!C5)</f>
        <v>-1</v>
      </c>
      <c r="D5">
        <f>IF(RNAseP!C5="", "", RNAseP!C5)</f>
        <v>23.147075119825299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22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22.396091195431602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22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22.3586152150414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22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22.2829445350594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22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22.2941886904512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22.102439106170401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22.396093305779502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22.1637540460043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23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22.114847702557299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20.657633867585901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20.747503071339299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20.978557586200399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20.6928154235543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22.175847969867899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22.244091106367499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22.224325304283099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22.1779282631536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22.1263178564584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37.427634585943899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0</v>
      </c>
      <c r="H23" s="3" t="str" cm="1">
        <f t="array" ref="H23">INDEX(Decision!$D$1:$D$28, MATCH(E23&amp;F23&amp;G23, Decision!$A$1:$A$28&amp;Decision!$B$1:$B$28&amp;Decision!$C$1:$C$28, 0))</f>
        <v>F</v>
      </c>
      <c r="I23" t="str" cm="1">
        <f t="array" ref="I23">INDEX(Decision!$E$1:$E$28, MATCH(E23&amp;F23&amp;G23, Decision!$A$1:$A$28&amp;Decision!$B$1:$B$28&amp;Decision!$C$1:$C$28, 0))</f>
        <v>low human DNA</v>
      </c>
    </row>
    <row r="24" spans="1:9">
      <c r="A24">
        <f>IF(AND('177T'!B24 = '18S2'!B24, '177T'!B24 = RNAseP!B24, '177T'!B24 &lt;&gt; ""), '177T'!B24, IF('177T'!B24 = "", "", "Mismatch"))</f>
        <v>26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22.138501935972101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22.289424878814401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21.265210974328401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21.368007873923499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21.307071457994901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21.277278240168702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21.0333855637165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22.207531168157701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20.757094865291599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20.8755723164948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22.481312232479699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22.181832560599101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22.213228861019399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22.1887941439618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30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22.037702714133701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30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22.100849118260399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30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22.093705580887601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30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22.092063654016901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22.274808194067301</v>
      </c>
      <c r="C42">
        <f>IF('18S2'!C42="", "", '18S2'!C42)</f>
        <v>20.407412047933501</v>
      </c>
      <c r="D42">
        <f>IF(RNAseP!C42="", "", RNAseP!C42)</f>
        <v>34.999039465600703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22.9108871745022</v>
      </c>
      <c r="C43">
        <f>IF('18S2'!C43="", "", '18S2'!C43)</f>
        <v>20.517663632830502</v>
      </c>
      <c r="D43">
        <f>IF(RNAseP!C43="", "", RNAseP!C43)</f>
        <v>34.552821468587503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22.033850288168299</v>
      </c>
      <c r="C44">
        <f>IF('18S2'!C44="", "", '18S2'!C44)</f>
        <v>20.101573721730801</v>
      </c>
      <c r="D44">
        <f>IF(RNAseP!C44="", "", RNAseP!C44)</f>
        <v>34.277845040271004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22.175591517743001</v>
      </c>
      <c r="C45">
        <f>IF('18S2'!C45="", "", '18S2'!C45)</f>
        <v>20.054491819619599</v>
      </c>
      <c r="D45">
        <f>IF(RNAseP!C45="", "", RNAseP!C45)</f>
        <v>33.241707502477603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4.4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4.4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4.4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A7" workbookViewId="0">
      <selection activeCell="B25" sqref="B25"/>
    </sheetView>
  </sheetViews>
  <sheetFormatPr defaultColWidth="9.140625" defaultRowHeight="14.45"/>
  <cols>
    <col min="1" max="1" width="13.42578125" style="3" bestFit="1" customWidth="1"/>
    <col min="2" max="2" width="13.42578125" style="3" customWidth="1"/>
    <col min="3" max="3" width="13.42578125" customWidth="1"/>
    <col min="4" max="6" width="14.85546875" customWidth="1"/>
    <col min="7" max="8" width="13.42578125" customWidth="1"/>
  </cols>
  <sheetData>
    <row r="1" spans="1:8" ht="18.600000000000001">
      <c r="A1" s="24" t="s">
        <v>40</v>
      </c>
      <c r="B1" s="24"/>
    </row>
    <row r="3" spans="1:8">
      <c r="A3" s="18" t="s">
        <v>41</v>
      </c>
      <c r="B3" s="19"/>
      <c r="C3" s="20">
        <v>45785</v>
      </c>
      <c r="D3" s="21"/>
      <c r="E3" s="21"/>
      <c r="F3" s="22"/>
    </row>
    <row r="4" spans="1:8">
      <c r="A4" s="18" t="s">
        <v>42</v>
      </c>
      <c r="B4" s="19"/>
      <c r="C4" s="23" t="s">
        <v>43</v>
      </c>
      <c r="D4" s="21"/>
      <c r="E4" s="21"/>
      <c r="F4" s="22"/>
    </row>
    <row r="5" spans="1:8">
      <c r="A5" s="18" t="s">
        <v>44</v>
      </c>
      <c r="B5" s="19"/>
      <c r="C5" s="23" t="s">
        <v>45</v>
      </c>
      <c r="D5" s="21"/>
      <c r="E5" s="21"/>
      <c r="F5" s="22"/>
    </row>
    <row r="6" spans="1:8">
      <c r="A6" s="18" t="s">
        <v>46</v>
      </c>
      <c r="B6" s="19"/>
      <c r="C6" s="23">
        <v>301</v>
      </c>
      <c r="D6" s="21"/>
      <c r="E6" s="21"/>
      <c r="F6" s="22"/>
    </row>
    <row r="7" spans="1:8">
      <c r="A7" s="18" t="s">
        <v>47</v>
      </c>
      <c r="B7" s="19"/>
      <c r="C7" s="23">
        <v>66262118</v>
      </c>
      <c r="D7" s="21"/>
      <c r="E7" s="21"/>
      <c r="F7" s="22"/>
    </row>
    <row r="8" spans="1:8">
      <c r="A8" s="18" t="s">
        <v>48</v>
      </c>
      <c r="B8" s="19"/>
      <c r="C8" s="20">
        <v>45771</v>
      </c>
      <c r="D8" s="21"/>
      <c r="E8" s="21"/>
      <c r="F8" s="22"/>
    </row>
    <row r="9" spans="1:8">
      <c r="A9" s="18" t="s">
        <v>49</v>
      </c>
      <c r="B9" s="19"/>
      <c r="C9" s="20">
        <v>45771</v>
      </c>
      <c r="D9" s="21"/>
      <c r="E9" s="21"/>
      <c r="F9" s="22"/>
    </row>
    <row r="10" spans="1:8">
      <c r="A10" s="18" t="s">
        <v>50</v>
      </c>
      <c r="B10" s="19"/>
      <c r="C10" s="20">
        <v>45771</v>
      </c>
      <c r="D10" s="21"/>
      <c r="E10" s="21"/>
      <c r="F10" s="22"/>
    </row>
    <row r="11" spans="1:8">
      <c r="A11" s="18" t="s">
        <v>51</v>
      </c>
      <c r="B11" s="19"/>
      <c r="C11" s="23">
        <v>2311257</v>
      </c>
      <c r="D11" s="21"/>
      <c r="E11" s="21"/>
      <c r="F11" s="22"/>
    </row>
    <row r="12" spans="1:8">
      <c r="A12" s="18" t="s">
        <v>52</v>
      </c>
      <c r="B12" s="19"/>
      <c r="C12" s="23">
        <v>45771</v>
      </c>
      <c r="D12" s="21"/>
      <c r="E12" s="21"/>
      <c r="F12" s="22"/>
    </row>
    <row r="15" spans="1:8">
      <c r="A15" s="8" t="str" cm="1">
        <f t="array" ref="A15">IF(INDEX(Analysis!A:A,MATCH(0,COUNTIF($A$14:A14,Analysis!A:A),0))="","",INDEX(Analysis!A:A,MATCH(0,COUNTIF($A$14:A14,Analysis!A:A),0)))</f>
        <v>Sample</v>
      </c>
      <c r="B15" s="8" t="s">
        <v>53</v>
      </c>
      <c r="C15" s="8" t="s">
        <v>54</v>
      </c>
      <c r="D15" s="9" t="s">
        <v>9</v>
      </c>
      <c r="E15" s="10" t="s">
        <v>10</v>
      </c>
      <c r="F15" s="11" t="s">
        <v>11</v>
      </c>
      <c r="H15" s="17"/>
    </row>
    <row r="16" spans="1:8">
      <c r="A16" s="12" cm="1">
        <f t="array" ref="A16">IF(INDEX(Analysis!A:A,MATCH(0,COUNTIF($A$14:A15,Analysis!A:A),0))="","",INDEX(Analysis!A:A,MATCH(0,COUNTIF($A$14:A15,Analysis!A:A),0)))</f>
        <v>21</v>
      </c>
      <c r="B16" s="16">
        <v>2402281</v>
      </c>
      <c r="C16" s="12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12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12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12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23,1 +/- 0,1</v>
      </c>
    </row>
    <row r="17" spans="1:12">
      <c r="A17" s="12" cm="1">
        <f t="array" ref="A17">IF(INDEX(Analysis!A:A,MATCH(0,COUNTIF($A$14:A16,Analysis!A:A),0))="","",INDEX(Analysis!A:A,MATCH(0,COUNTIF($A$14:A16,Analysis!A:A),0)))</f>
        <v>22</v>
      </c>
      <c r="B17" s="16">
        <v>2400896</v>
      </c>
      <c r="C17" s="12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12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12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12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22,3 +/- 0,1</v>
      </c>
      <c r="J17" s="17"/>
    </row>
    <row r="18" spans="1:12">
      <c r="A18" s="12" cm="1">
        <f t="array" ref="A18">IF(INDEX(Analysis!A:A,MATCH(0,COUNTIF($A$14:A17,Analysis!A:A),0))="","",INDEX(Analysis!A:A,MATCH(0,COUNTIF($A$14:A17,Analysis!A:A),0)))</f>
        <v>23</v>
      </c>
      <c r="B18" s="16">
        <v>2400882</v>
      </c>
      <c r="C18" s="12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12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12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12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22,2 +/- 0,1</v>
      </c>
    </row>
    <row r="19" spans="1:12">
      <c r="A19" s="12" cm="1">
        <f t="array" ref="A19">IF(INDEX(Analysis!A:A,MATCH(0,COUNTIF($A$14:A18,Analysis!A:A),0))="","",INDEX(Analysis!A:A,MATCH(0,COUNTIF($A$14:A18,Analysis!A:A),0)))</f>
        <v>24</v>
      </c>
      <c r="B19" s="16">
        <v>2402847</v>
      </c>
      <c r="C19" s="12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12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12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12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20,8 +/- 0,1</v>
      </c>
    </row>
    <row r="20" spans="1:12">
      <c r="A20" s="12" cm="1">
        <f t="array" ref="A20">IF(INDEX(Analysis!A:A,MATCH(0,COUNTIF($A$14:A19,Analysis!A:A),0))="","",INDEX(Analysis!A:A,MATCH(0,COUNTIF($A$14:A19,Analysis!A:A),0)))</f>
        <v>25</v>
      </c>
      <c r="B20" s="16">
        <v>2402836</v>
      </c>
      <c r="C20" s="12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12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12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12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22,2 +/- 0</v>
      </c>
    </row>
    <row r="21" spans="1:12">
      <c r="A21" s="12" cm="1">
        <f t="array" ref="A21">IF(INDEX(Analysis!A:A,MATCH(0,COUNTIF($A$14:A20,Analysis!A:A),0))="","",INDEX(Analysis!A:A,MATCH(0,COUNTIF($A$14:A20,Analysis!A:A),0)))</f>
        <v>26</v>
      </c>
      <c r="B21" s="16">
        <v>2402906</v>
      </c>
      <c r="C21" s="12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12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12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12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26 +/- 7,6</v>
      </c>
      <c r="L21" s="4"/>
    </row>
    <row r="22" spans="1:12">
      <c r="A22" s="12" cm="1">
        <f t="array" ref="A22">IF(INDEX(Analysis!A:A,MATCH(0,COUNTIF($A$14:A21,Analysis!A:A),0))="","",INDEX(Analysis!A:A,MATCH(0,COUNTIF($A$14:A21,Analysis!A:A),0)))</f>
        <v>27</v>
      </c>
      <c r="B22" s="16">
        <v>2402820</v>
      </c>
      <c r="C22" s="12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12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12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12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21,3 +/- 0</v>
      </c>
    </row>
    <row r="23" spans="1:12">
      <c r="A23" s="12" cm="1">
        <f t="array" ref="A23">IF(INDEX(Analysis!A:A,MATCH(0,COUNTIF($A$14:A22,Analysis!A:A),0))="","",INDEX(Analysis!A:A,MATCH(0,COUNTIF($A$14:A22,Analysis!A:A),0)))</f>
        <v>28</v>
      </c>
      <c r="B23" s="16">
        <v>2402959</v>
      </c>
      <c r="C23" s="12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12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12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12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21,2 +/- 0,7</v>
      </c>
    </row>
    <row r="24" spans="1:12">
      <c r="A24" s="12" cm="1">
        <f t="array" ref="A24">IF(INDEX(Analysis!A:A,MATCH(0,COUNTIF($A$14:A23,Analysis!A:A),0))="","",INDEX(Analysis!A:A,MATCH(0,COUNTIF($A$14:A23,Analysis!A:A),0)))</f>
        <v>29</v>
      </c>
      <c r="B24" s="16">
        <v>2402917</v>
      </c>
      <c r="C24" s="12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12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12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12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22,3 +/- 0,1</v>
      </c>
    </row>
    <row r="25" spans="1:12">
      <c r="A25" s="12" cm="1">
        <f t="array" ref="A25">IF(INDEX(Analysis!A:A,MATCH(0,COUNTIF($A$14:A24,Analysis!A:A),0))="","",INDEX(Analysis!A:A,MATCH(0,COUNTIF($A$14:A24,Analysis!A:A),0)))</f>
        <v>30</v>
      </c>
      <c r="B25" s="16">
        <v>2402937</v>
      </c>
      <c r="C25" s="12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12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12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12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</v>
      </c>
    </row>
    <row r="26" spans="1:12">
      <c r="A26" s="12" t="str" cm="1">
        <f t="array" ref="A26">IF(INDEX(Analysis!A:A,MATCH(0,COUNTIF($A$14:A25,Analysis!A:A),0))="","",INDEX(Analysis!A:A,MATCH(0,COUNTIF($A$14:A25,Analysis!A:A),0)))</f>
        <v>CP</v>
      </c>
      <c r="B26" s="12"/>
      <c r="C26" s="12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12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22,3 +/- 0,4</v>
      </c>
      <c r="E26" s="12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20,3 +/- 0,2</v>
      </c>
      <c r="F26" s="12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34,3 +/- 0,7</v>
      </c>
    </row>
    <row r="27" spans="1:12">
      <c r="A27" s="12" t="str" cm="1">
        <f t="array" ref="A27">IF(INDEX(Analysis!A:A,MATCH(0,COUNTIF($A$14:A26,Analysis!A:A),0))="","",INDEX(Analysis!A:A,MATCH(0,COUNTIF($A$14:A26,Analysis!A:A),0)))</f>
        <v>CN</v>
      </c>
      <c r="B27" s="12"/>
      <c r="C27" s="12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12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12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12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28" spans="1:12">
      <c r="C28" s="3"/>
      <c r="D28" s="3"/>
      <c r="E28" s="3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8" t="s">
        <v>55</v>
      </c>
      <c r="B29" s="8" t="s">
        <v>56</v>
      </c>
      <c r="C29" s="26" t="s">
        <v>57</v>
      </c>
      <c r="D29" s="26"/>
      <c r="E29" s="3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2" t="s">
        <v>58</v>
      </c>
      <c r="B30" s="12" t="s">
        <v>59</v>
      </c>
      <c r="C30" s="25" t="s">
        <v>60</v>
      </c>
      <c r="D30" s="25"/>
      <c r="E30" s="3"/>
    </row>
    <row r="31" spans="1:12">
      <c r="A31" s="12" t="s">
        <v>20</v>
      </c>
      <c r="B31" s="12" t="s">
        <v>21</v>
      </c>
      <c r="C31" s="25" t="s">
        <v>61</v>
      </c>
      <c r="D31" s="25"/>
      <c r="E31" s="3"/>
    </row>
    <row r="32" spans="1:12">
      <c r="A32" s="12" t="s">
        <v>22</v>
      </c>
      <c r="B32" s="12" t="s">
        <v>62</v>
      </c>
      <c r="C32" s="25" t="s">
        <v>63</v>
      </c>
      <c r="D32" s="25"/>
      <c r="E32" s="3"/>
    </row>
    <row r="33" spans="1:5">
      <c r="A33" s="12" t="s">
        <v>64</v>
      </c>
      <c r="B33" s="12" t="s">
        <v>65</v>
      </c>
      <c r="C33" s="25" t="s">
        <v>66</v>
      </c>
      <c r="D33" s="25"/>
      <c r="E33" s="3"/>
    </row>
    <row r="34" spans="1:5">
      <c r="A34" s="12" t="s">
        <v>17</v>
      </c>
      <c r="B34" s="12" t="s">
        <v>67</v>
      </c>
      <c r="C34" s="25" t="s">
        <v>68</v>
      </c>
      <c r="D34" s="25"/>
      <c r="E34" s="3"/>
    </row>
    <row r="35" spans="1:5">
      <c r="A35" s="12" t="s">
        <v>69</v>
      </c>
      <c r="B35" s="12" t="s">
        <v>70</v>
      </c>
      <c r="C35" s="25" t="s">
        <v>71</v>
      </c>
      <c r="D35" s="25"/>
      <c r="E35" s="3"/>
    </row>
    <row r="36" spans="1:5">
      <c r="C36" s="3"/>
      <c r="D36" s="3"/>
      <c r="E36" s="3"/>
    </row>
    <row r="37" spans="1:5">
      <c r="C37" s="3"/>
      <c r="D37" s="3"/>
      <c r="E37" s="3"/>
    </row>
    <row r="38" spans="1:5">
      <c r="C38" s="3"/>
      <c r="D38" s="3"/>
      <c r="E38" s="3"/>
    </row>
    <row r="39" spans="1:5">
      <c r="C39" s="3"/>
      <c r="D39" s="3"/>
      <c r="E39" s="3"/>
    </row>
    <row r="40" spans="1:5">
      <c r="C40" s="3"/>
      <c r="D40" s="3"/>
      <c r="E40" s="3"/>
    </row>
    <row r="41" spans="1:5">
      <c r="C41" s="3"/>
      <c r="D41" s="3"/>
      <c r="E41" s="3"/>
    </row>
    <row r="42" spans="1:5">
      <c r="C42" s="3"/>
      <c r="D42" s="3"/>
      <c r="E42" s="3"/>
    </row>
    <row r="43" spans="1:5">
      <c r="C43" s="3"/>
      <c r="D43" s="3"/>
      <c r="E43" s="3"/>
    </row>
    <row r="44" spans="1:5">
      <c r="C44" s="3"/>
      <c r="D44" s="3"/>
      <c r="E44" s="3"/>
    </row>
    <row r="45" spans="1:5">
      <c r="C45" s="3"/>
      <c r="D45" s="3"/>
      <c r="E45" s="3"/>
    </row>
    <row r="46" spans="1:5">
      <c r="C46" s="3"/>
      <c r="D46" s="3"/>
      <c r="E46" s="3"/>
    </row>
    <row r="47" spans="1:5">
      <c r="C47" s="3"/>
      <c r="D47" s="3"/>
      <c r="E47" s="3"/>
    </row>
    <row r="48" spans="1:5">
      <c r="C48" s="3"/>
      <c r="D48" s="3"/>
      <c r="E48" s="3"/>
    </row>
    <row r="49" spans="3:5">
      <c r="C49" s="3"/>
      <c r="D49" s="3"/>
      <c r="E49" s="3"/>
    </row>
    <row r="50" spans="3:5">
      <c r="C50" s="3"/>
      <c r="D50" s="3"/>
      <c r="E50" s="3"/>
    </row>
    <row r="51" spans="3:5">
      <c r="C51" s="3"/>
      <c r="D51" s="3"/>
      <c r="E51" s="3"/>
    </row>
    <row r="52" spans="3:5">
      <c r="C52" s="3"/>
      <c r="D52" s="3"/>
      <c r="E52" s="3"/>
    </row>
    <row r="53" spans="3:5">
      <c r="C53" s="3"/>
      <c r="D53" s="3"/>
      <c r="E53" s="3"/>
    </row>
    <row r="54" spans="3:5">
      <c r="C54" s="3"/>
      <c r="D54" s="3"/>
      <c r="E54" s="3"/>
    </row>
    <row r="55" spans="3:5">
      <c r="C55" s="3"/>
      <c r="D55" s="3"/>
      <c r="E55" s="3"/>
    </row>
    <row r="56" spans="3:5">
      <c r="C56" s="3"/>
      <c r="D56" s="3"/>
      <c r="E56" s="3"/>
    </row>
    <row r="57" spans="3:5">
      <c r="C57" s="3"/>
      <c r="D57" s="3"/>
      <c r="E57" s="3"/>
    </row>
    <row r="58" spans="3:5">
      <c r="C58" s="3"/>
      <c r="D58" s="3"/>
      <c r="E58" s="3"/>
    </row>
  </sheetData>
  <sheetProtection selectLockedCells="1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C6:F6"/>
    <mergeCell ref="A10:B10"/>
    <mergeCell ref="A11:B11"/>
    <mergeCell ref="C5:F5"/>
    <mergeCell ref="C4:F4"/>
    <mergeCell ref="C3:F3"/>
    <mergeCell ref="A5:B5"/>
    <mergeCell ref="A4:B4"/>
    <mergeCell ref="A3:B3"/>
    <mergeCell ref="A12:B12"/>
    <mergeCell ref="C10:F10"/>
    <mergeCell ref="C11:F11"/>
    <mergeCell ref="C12:F12"/>
    <mergeCell ref="A7:B7"/>
    <mergeCell ref="A8:B8"/>
    <mergeCell ref="A9:B9"/>
    <mergeCell ref="C7:F7"/>
    <mergeCell ref="C8:F8"/>
    <mergeCell ref="C9:F9"/>
  </mergeCells>
  <conditionalFormatting sqref="C15:C27">
    <cfRule type="cellIs" dxfId="8" priority="4" operator="equal">
      <formula>"OK"</formula>
    </cfRule>
    <cfRule type="cellIs" dxfId="7" priority="5" operator="equal">
      <formula>"N"</formula>
    </cfRule>
    <cfRule type="cellIs" dxfId="6" priority="6" operator="equal">
      <formula>"C"</formula>
    </cfRule>
  </conditionalFormatting>
  <conditionalFormatting sqref="C16:C25">
    <cfRule type="cellIs" dxfId="5" priority="1" operator="equal">
      <formula>"R"</formula>
    </cfRule>
    <cfRule type="cellIs" dxfId="4" priority="3" operator="equal">
      <formula>"P"</formula>
    </cfRule>
  </conditionalFormatting>
  <conditionalFormatting sqref="C16:C27">
    <cfRule type="cellIs" dxfId="3" priority="2" operator="equal">
      <formula>"S"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4.4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72</v>
      </c>
      <c r="C1" s="2" t="s">
        <v>73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23,1 +/- 0,1</v>
      </c>
    </row>
    <row r="3" spans="1:11">
      <c r="A3" s="3">
        <f>Report!A17</f>
        <v>22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22,3 +/- 0,1</v>
      </c>
    </row>
    <row r="4" spans="1:11">
      <c r="A4" s="3">
        <f>Report!A18</f>
        <v>23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22,2 +/- 0,1</v>
      </c>
    </row>
    <row r="5" spans="1:11">
      <c r="A5" s="3">
        <f>Report!A19</f>
        <v>24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20,8 +/- 0,1</v>
      </c>
    </row>
    <row r="6" spans="1:11">
      <c r="A6" s="3">
        <f>Report!A20</f>
        <v>25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22,2 +/- 0</v>
      </c>
    </row>
    <row r="7" spans="1:11">
      <c r="A7" s="3">
        <f>Report!A21</f>
        <v>26</v>
      </c>
      <c r="B7" s="3" t="str" cm="1">
        <f t="array" ref="B7">_xlfn.TEXTJOIN(", ", TRUE, IF(Analysis!$A$2:$A$82=A7, Analysis!$H$2:$H$82, ""))</f>
        <v>N, F, N, N</v>
      </c>
      <c r="C7" s="3" t="str" cm="1">
        <f t="array" ref="C7">_xlfn.TEXTJOIN(", ", TRUE, IF(Analysis!$A$2:$A$82=A7, Analysis!$I$2:$I$82, ""))</f>
        <v>negative, low human DNA,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26 +/- 7,6</v>
      </c>
      <c r="K7" s="4"/>
    </row>
    <row r="8" spans="1:11">
      <c r="A8" s="3">
        <f>Report!A22</f>
        <v>27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21,3 +/- 0</v>
      </c>
    </row>
    <row r="9" spans="1:11">
      <c r="A9" s="3">
        <f>Report!A23</f>
        <v>28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21,2 +/- 0,7</v>
      </c>
    </row>
    <row r="10" spans="1:11">
      <c r="A10" s="3">
        <f>Report!A24</f>
        <v>29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22,3 +/- 0,1</v>
      </c>
    </row>
    <row r="11" spans="1:11">
      <c r="A11" s="3">
        <f>Report!A25</f>
        <v>30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22,3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20,3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34,3 +/- 0,7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2025-05-08T13:28:44+00:00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A9CA31-69D7-49B9-AD4C-D96AB75F5B35}"/>
</file>

<file path=customXml/itemProps2.xml><?xml version="1.0" encoding="utf-8"?>
<ds:datastoreItem xmlns:ds="http://schemas.openxmlformats.org/officeDocument/2006/customXml" ds:itemID="{8442ACDB-3533-40B1-8321-3EC1D30FEF4D}"/>
</file>

<file path=customXml/itemProps3.xml><?xml version="1.0" encoding="utf-8"?>
<ds:datastoreItem xmlns:ds="http://schemas.openxmlformats.org/officeDocument/2006/customXml" ds:itemID="{141E38AB-A64F-4E89-A96E-7D6D693D4A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2025-05-16T10:46:46Z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