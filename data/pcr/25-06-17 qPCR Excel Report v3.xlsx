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97119756-C73F-452E-8DAC-B54296AAEC77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3240" yWindow="4560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<sst xmlns="http://schemas.openxmlformats.org/spreadsheetml/2006/main" count="432" uniqueCount="76">
  <si>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</si>
  <si>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</si>
  <si>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</si>
  <si>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</si>
  <si>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</si>
  <si>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</si>
  <si>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</si>
  <si>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</si>
  <si>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</si>
  <si>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</si>
  <si>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</si>
  <si>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</si>
  <si>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</si>
  <si>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</si>
  <si>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</si>
  <si>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</si>
  <si>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</si>
  <si>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</si>
  <si>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</si>
  <si>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</si>
  <si>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</si>
  <si>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</si>
  <si>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</si>
  <si>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</si>
  <si>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</si>
  <si>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</si>
  <si>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</si>
  <si>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</si>
  <si>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</si>
  <si>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</si>
  <si>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</si>
  <si>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</si>
  <si>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</si>
  <si>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</si>
  <si>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</si>
  <si>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</si>
  <si>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</si>
  <si>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</si>
  <si>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</si>
  <si>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</si>
  <si>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</si>
  <si>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</si>
  <si>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</si>
  <si>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</si>
  <si>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</si>
  <si>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2025-06-17 12.34.08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</si>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</sst>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61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61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61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61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62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62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62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62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63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63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63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63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64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64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64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64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65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65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65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65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66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66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66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66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67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67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67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67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68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68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68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68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69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69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69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69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70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70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70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70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24.901279003791501</v>
      </c>
      <c r="D42" s="8">
        <v>0.76458433697528405</v>
      </c>
      <c r="E42" s="8">
        <v>0.99985999999999997</v>
      </c>
      <c r="F42" s="8"/>
    </row>
    <row r="43" spans="1:6">
      <c r="A43" s="8">
        <v>42</v>
      </c>
      <c r="B43" s="8" t="s">
        <v>7</v>
      </c>
      <c r="C43" s="8">
        <v>25.492349811255998</v>
      </c>
      <c r="D43" s="8">
        <v>0.91824081413213998</v>
      </c>
      <c r="E43" s="8">
        <v>0.99946999999999997</v>
      </c>
      <c r="F43" s="8"/>
    </row>
    <row r="44" spans="1:6">
      <c r="A44" s="8">
        <v>43</v>
      </c>
      <c r="B44" s="8" t="s">
        <v>7</v>
      </c>
      <c r="C44" s="8">
        <v>23.038999632038198</v>
      </c>
      <c r="D44" s="8">
        <v>0.85900587191479305</v>
      </c>
      <c r="E44" s="8">
        <v>0.99995999999999996</v>
      </c>
      <c r="F44" s="8"/>
    </row>
    <row r="45" spans="1:6">
      <c r="A45" s="8">
        <v>44</v>
      </c>
      <c r="B45" s="8" t="s">
        <v>7</v>
      </c>
      <c r="C45" s="8">
        <v>25.034063035858701</v>
      </c>
      <c r="D45" s="8">
        <v>0.95412955273293498</v>
      </c>
      <c r="E45" s="8">
        <v>0.99919000000000002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opLeftCell="A19"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61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61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61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61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62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62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62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62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63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63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63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63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64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64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64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64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65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65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65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65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66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66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66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66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67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67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67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67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68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68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68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68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69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69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69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69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70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70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70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70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22.837561780434701</v>
      </c>
      <c r="D42" s="9">
        <v>0.82550776660271996</v>
      </c>
      <c r="E42" s="9">
        <v>0.99812000000000001</v>
      </c>
      <c r="F42" s="9"/>
    </row>
    <row r="43" spans="1:6">
      <c r="A43" s="9">
        <v>42</v>
      </c>
      <c r="B43" s="9" t="s">
        <v>7</v>
      </c>
      <c r="C43" s="9">
        <v>22.996170288138</v>
      </c>
      <c r="D43" s="9">
        <v>0.81720232538257898</v>
      </c>
      <c r="E43" s="9">
        <v>0.99782999999999999</v>
      </c>
      <c r="F43" s="9"/>
    </row>
    <row r="44" spans="1:6">
      <c r="A44" s="9">
        <v>43</v>
      </c>
      <c r="B44" s="9" t="s">
        <v>7</v>
      </c>
      <c r="C44" s="9">
        <v>21.7168119481506</v>
      </c>
      <c r="D44" s="9">
        <v>0.83158937135764099</v>
      </c>
      <c r="E44" s="9">
        <v>0.99831000000000003</v>
      </c>
      <c r="F44" s="9"/>
    </row>
    <row r="45" spans="1:6">
      <c r="A45" s="9">
        <v>44</v>
      </c>
      <c r="B45" s="9" t="s">
        <v>7</v>
      </c>
      <c r="C45" s="9">
        <v>22.592372424808101</v>
      </c>
      <c r="D45" s="9">
        <v>0.80992212291619403</v>
      </c>
      <c r="E45" s="9">
        <v>0.99853999999999998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61</v>
      </c>
      <c r="C2" s="10">
        <v>20.459819978074201</v>
      </c>
      <c r="D2" s="10">
        <v>0.99687749922878299</v>
      </c>
      <c r="E2" s="10">
        <v>0.99922999999999995</v>
      </c>
      <c r="F2" s="10"/>
    </row>
    <row r="3" spans="1:6">
      <c r="A3" s="10">
        <v>2</v>
      </c>
      <c r="B3" s="10">
        <v>61</v>
      </c>
      <c r="C3" s="10">
        <v>20.475006581236102</v>
      </c>
      <c r="D3" s="10">
        <v>0.98905741329515995</v>
      </c>
      <c r="E3" s="10">
        <v>0.99911000000000005</v>
      </c>
      <c r="F3" s="10"/>
    </row>
    <row r="4" spans="1:6">
      <c r="A4" s="10">
        <v>3</v>
      </c>
      <c r="B4" s="10">
        <v>61</v>
      </c>
      <c r="C4" s="10">
        <v>20.391587620797701</v>
      </c>
      <c r="D4" s="10">
        <v>0.99517624384149395</v>
      </c>
      <c r="E4" s="10">
        <v>0.99909999999999999</v>
      </c>
      <c r="F4" s="10"/>
    </row>
    <row r="5" spans="1:6">
      <c r="A5" s="10">
        <v>4</v>
      </c>
      <c r="B5" s="10">
        <v>61</v>
      </c>
      <c r="C5" s="10">
        <v>20.396770179527699</v>
      </c>
      <c r="D5" s="10">
        <v>0.99055828097403298</v>
      </c>
      <c r="E5" s="10">
        <v>0.99914000000000003</v>
      </c>
      <c r="F5" s="10"/>
    </row>
    <row r="6" spans="1:6">
      <c r="A6" s="10">
        <v>5</v>
      </c>
      <c r="B6" s="10">
        <v>62</v>
      </c>
      <c r="C6" s="10">
        <v>23.213991770596699</v>
      </c>
      <c r="D6" s="10">
        <v>1.0004013939880501</v>
      </c>
      <c r="E6" s="10">
        <v>0.99870999999999999</v>
      </c>
      <c r="F6" s="10"/>
    </row>
    <row r="7" spans="1:6">
      <c r="A7" s="10">
        <v>6</v>
      </c>
      <c r="B7" s="10">
        <v>62</v>
      </c>
      <c r="C7" s="10">
        <v>23.1389415005576</v>
      </c>
      <c r="D7" s="10">
        <v>0.92185158190067396</v>
      </c>
      <c r="E7" s="10">
        <v>0.99922</v>
      </c>
      <c r="F7" s="10"/>
    </row>
    <row r="8" spans="1:6">
      <c r="A8" s="10">
        <v>7</v>
      </c>
      <c r="B8" s="10">
        <v>62</v>
      </c>
      <c r="C8" s="10">
        <v>23.0591902330554</v>
      </c>
      <c r="D8" s="10">
        <v>0.90756719975352895</v>
      </c>
      <c r="E8" s="10">
        <v>0.99939</v>
      </c>
      <c r="F8" s="10"/>
    </row>
    <row r="9" spans="1:6">
      <c r="A9" s="10">
        <v>8</v>
      </c>
      <c r="B9" s="10">
        <v>62</v>
      </c>
      <c r="C9" s="10">
        <v>23.092552163548199</v>
      </c>
      <c r="D9" s="10">
        <v>0.93546134898081901</v>
      </c>
      <c r="E9" s="10">
        <v>0.99904000000000004</v>
      </c>
      <c r="F9" s="10"/>
    </row>
    <row r="10" spans="1:6">
      <c r="A10" s="10">
        <v>9</v>
      </c>
      <c r="B10" s="10">
        <v>63</v>
      </c>
      <c r="C10" s="10">
        <v>28.3427097532471</v>
      </c>
      <c r="D10" s="10">
        <v>0.95522882738834103</v>
      </c>
      <c r="E10" s="10">
        <v>0.99941000000000002</v>
      </c>
      <c r="F10" s="10"/>
    </row>
    <row r="11" spans="1:6">
      <c r="A11" s="10">
        <v>10</v>
      </c>
      <c r="B11" s="10">
        <v>63</v>
      </c>
      <c r="C11" s="10">
        <v>28.138074225141501</v>
      </c>
      <c r="D11" s="10">
        <v>0.91331714476373005</v>
      </c>
      <c r="E11" s="10">
        <v>0.99934000000000001</v>
      </c>
      <c r="F11" s="10"/>
    </row>
    <row r="12" spans="1:6">
      <c r="A12" s="10">
        <v>11</v>
      </c>
      <c r="B12" s="10">
        <v>63</v>
      </c>
      <c r="C12" s="10">
        <v>28.055149335199498</v>
      </c>
      <c r="D12" s="10">
        <v>0.91770868641887104</v>
      </c>
      <c r="E12" s="10">
        <v>0.99931999999999999</v>
      </c>
      <c r="F12" s="10"/>
    </row>
    <row r="13" spans="1:6">
      <c r="A13" s="10">
        <v>12</v>
      </c>
      <c r="B13" s="10">
        <v>63</v>
      </c>
      <c r="C13" s="10">
        <v>28.173003844031498</v>
      </c>
      <c r="D13" s="10">
        <v>0.98476105814681303</v>
      </c>
      <c r="E13" s="10">
        <v>0.99873000000000001</v>
      </c>
      <c r="F13" s="10"/>
    </row>
    <row r="14" spans="1:6">
      <c r="A14" s="10">
        <v>13</v>
      </c>
      <c r="B14" s="10">
        <v>64</v>
      </c>
      <c r="C14" s="10">
        <v>24.569558126119301</v>
      </c>
      <c r="D14" s="10">
        <v>0.93333425154418403</v>
      </c>
      <c r="E14" s="10">
        <v>0.99951999999999996</v>
      </c>
      <c r="F14" s="10"/>
    </row>
    <row r="15" spans="1:6">
      <c r="A15" s="10">
        <v>14</v>
      </c>
      <c r="B15" s="10">
        <v>64</v>
      </c>
      <c r="C15" s="10">
        <v>24.571767416015</v>
      </c>
      <c r="D15" s="10">
        <v>0.95838421244655003</v>
      </c>
      <c r="E15" s="10">
        <v>0.99922999999999995</v>
      </c>
      <c r="F15" s="10"/>
    </row>
    <row r="16" spans="1:6">
      <c r="A16" s="10">
        <v>15</v>
      </c>
      <c r="B16" s="10">
        <v>64</v>
      </c>
      <c r="C16" s="10">
        <v>24.546390297106701</v>
      </c>
      <c r="D16" s="10">
        <v>0.95484269609114203</v>
      </c>
      <c r="E16" s="10">
        <v>0.99926000000000004</v>
      </c>
      <c r="F16" s="10"/>
    </row>
    <row r="17" spans="1:6">
      <c r="A17" s="10">
        <v>16</v>
      </c>
      <c r="B17" s="10">
        <v>64</v>
      </c>
      <c r="C17" s="10">
        <v>24.548859570825801</v>
      </c>
      <c r="D17" s="10">
        <v>0.95941942190977003</v>
      </c>
      <c r="E17" s="10">
        <v>0.99924999999999997</v>
      </c>
      <c r="F17" s="10"/>
    </row>
    <row r="18" spans="1:6">
      <c r="A18" s="10">
        <v>17</v>
      </c>
      <c r="B18" s="10">
        <v>65</v>
      </c>
      <c r="C18" s="10">
        <v>36.499091687672099</v>
      </c>
      <c r="D18" s="10">
        <v>0.41898202074506902</v>
      </c>
      <c r="E18" s="10">
        <v>0.96492</v>
      </c>
      <c r="F18" s="10"/>
    </row>
    <row r="19" spans="1:6">
      <c r="A19" s="10">
        <v>18</v>
      </c>
      <c r="B19" s="10">
        <v>65</v>
      </c>
      <c r="C19" s="10">
        <v>22.019308300165701</v>
      </c>
      <c r="D19" s="10">
        <v>0.90564286723764298</v>
      </c>
      <c r="E19" s="10">
        <v>0.99914999999999998</v>
      </c>
      <c r="F19" s="10"/>
    </row>
    <row r="20" spans="1:6">
      <c r="A20" s="10">
        <v>19</v>
      </c>
      <c r="B20" s="10">
        <v>65</v>
      </c>
      <c r="C20" s="10">
        <v>22.0184720406948</v>
      </c>
      <c r="D20" s="10">
        <v>0.93423071072645003</v>
      </c>
      <c r="E20" s="10">
        <v>0.99902000000000002</v>
      </c>
      <c r="F20" s="10"/>
    </row>
    <row r="21" spans="1:6">
      <c r="A21" s="10">
        <v>20</v>
      </c>
      <c r="B21" s="10">
        <v>65</v>
      </c>
      <c r="C21" s="10">
        <v>22.038628918103001</v>
      </c>
      <c r="D21" s="10">
        <v>0.92293366588126002</v>
      </c>
      <c r="E21" s="10">
        <v>0.99909999999999999</v>
      </c>
      <c r="F21" s="10"/>
    </row>
    <row r="22" spans="1:6">
      <c r="A22" s="10">
        <v>21</v>
      </c>
      <c r="B22" s="10">
        <v>66</v>
      </c>
      <c r="C22" s="10">
        <v>23.627161081697501</v>
      </c>
      <c r="D22" s="10">
        <v>0.93642044503657695</v>
      </c>
      <c r="E22" s="10">
        <v>0.99944</v>
      </c>
      <c r="F22" s="10"/>
    </row>
    <row r="23" spans="1:6">
      <c r="A23" s="10">
        <v>22</v>
      </c>
      <c r="B23" s="10">
        <v>66</v>
      </c>
      <c r="C23" s="10">
        <v>23.4899398718002</v>
      </c>
      <c r="D23" s="10">
        <v>0.91674236954241795</v>
      </c>
      <c r="E23" s="10">
        <v>0.99946000000000002</v>
      </c>
      <c r="F23" s="10"/>
    </row>
    <row r="24" spans="1:6">
      <c r="A24" s="10">
        <v>23</v>
      </c>
      <c r="B24" s="10">
        <v>66</v>
      </c>
      <c r="C24" s="10">
        <v>23.4054663749993</v>
      </c>
      <c r="D24" s="10">
        <v>0.89133326497314402</v>
      </c>
      <c r="E24" s="10">
        <v>0.99955000000000005</v>
      </c>
      <c r="F24" s="10"/>
    </row>
    <row r="25" spans="1:6">
      <c r="A25" s="10">
        <v>24</v>
      </c>
      <c r="B25" s="10">
        <v>66</v>
      </c>
      <c r="C25" s="10">
        <v>23.282150368757399</v>
      </c>
      <c r="D25" s="10">
        <v>0.91007460420145003</v>
      </c>
      <c r="E25" s="10">
        <v>0.99931000000000003</v>
      </c>
      <c r="F25" s="10"/>
    </row>
    <row r="26" spans="1:6">
      <c r="A26" s="10">
        <v>25</v>
      </c>
      <c r="B26" s="10">
        <v>67</v>
      </c>
      <c r="C26" s="10">
        <v>30.642554773588699</v>
      </c>
      <c r="D26" s="10">
        <v>0.94877335055147705</v>
      </c>
      <c r="E26" s="10">
        <v>0.99958000000000002</v>
      </c>
      <c r="F26" s="10"/>
    </row>
    <row r="27" spans="1:6">
      <c r="A27" s="10">
        <v>26</v>
      </c>
      <c r="B27" s="10">
        <v>67</v>
      </c>
      <c r="C27" s="10">
        <v>30.336596852236301</v>
      </c>
      <c r="D27" s="10">
        <v>0.96359816832563805</v>
      </c>
      <c r="E27" s="10">
        <v>0.99946999999999997</v>
      </c>
      <c r="F27" s="10"/>
    </row>
    <row r="28" spans="1:6">
      <c r="A28" s="10">
        <v>27</v>
      </c>
      <c r="B28" s="10">
        <v>67</v>
      </c>
      <c r="C28" s="10">
        <v>30.4195683593383</v>
      </c>
      <c r="D28" s="10">
        <v>0.95498899124124104</v>
      </c>
      <c r="E28" s="10">
        <v>0.99953999999999998</v>
      </c>
      <c r="F28" s="10"/>
    </row>
    <row r="29" spans="1:6">
      <c r="A29" s="10">
        <v>28</v>
      </c>
      <c r="B29" s="10">
        <v>67</v>
      </c>
      <c r="C29" s="10">
        <v>30.5345891083109</v>
      </c>
      <c r="D29" s="10">
        <v>0.95880978721742405</v>
      </c>
      <c r="E29" s="10">
        <v>0.99958000000000002</v>
      </c>
      <c r="F29" s="10"/>
    </row>
    <row r="30" spans="1:6">
      <c r="A30" s="10">
        <v>29</v>
      </c>
      <c r="B30" s="10">
        <v>68</v>
      </c>
      <c r="C30" s="10">
        <v>23.097524150366102</v>
      </c>
      <c r="D30" s="10">
        <v>0.90075604883044202</v>
      </c>
      <c r="E30" s="10">
        <v>0.99946999999999997</v>
      </c>
      <c r="F30" s="10"/>
    </row>
    <row r="31" spans="1:6">
      <c r="A31" s="10">
        <v>30</v>
      </c>
      <c r="B31" s="10">
        <v>68</v>
      </c>
      <c r="C31" s="10">
        <v>23.294556709335701</v>
      </c>
      <c r="D31" s="10">
        <v>0.91190976653098299</v>
      </c>
      <c r="E31" s="10">
        <v>0.99934000000000001</v>
      </c>
      <c r="F31" s="10"/>
    </row>
    <row r="32" spans="1:6">
      <c r="A32" s="10">
        <v>31</v>
      </c>
      <c r="B32" s="10">
        <v>68</v>
      </c>
      <c r="C32" s="10">
        <v>23.203874480050601</v>
      </c>
      <c r="D32" s="10">
        <v>0.89967676374104899</v>
      </c>
      <c r="E32" s="10">
        <v>0.99948000000000004</v>
      </c>
      <c r="F32" s="10"/>
    </row>
    <row r="33" spans="1:6">
      <c r="A33" s="10">
        <v>32</v>
      </c>
      <c r="B33" s="10">
        <v>68</v>
      </c>
      <c r="C33" s="10">
        <v>23.2888374421129</v>
      </c>
      <c r="D33" s="10">
        <v>0.922822739704103</v>
      </c>
      <c r="E33" s="10">
        <v>0.99929000000000001</v>
      </c>
      <c r="F33" s="10"/>
    </row>
    <row r="34" spans="1:6">
      <c r="A34" s="10">
        <v>33</v>
      </c>
      <c r="B34" s="10">
        <v>69</v>
      </c>
      <c r="C34" s="10">
        <v>21.1098223601143</v>
      </c>
      <c r="D34" s="10">
        <v>0.91762345672860102</v>
      </c>
      <c r="E34" s="10">
        <v>0.99912999999999996</v>
      </c>
      <c r="F34" s="10"/>
    </row>
    <row r="35" spans="1:6">
      <c r="A35" s="10">
        <v>34</v>
      </c>
      <c r="B35" s="10">
        <v>69</v>
      </c>
      <c r="C35" s="10">
        <v>21.1680690074861</v>
      </c>
      <c r="D35" s="10">
        <v>0.89837923573150602</v>
      </c>
      <c r="E35" s="10">
        <v>0.99926999999999999</v>
      </c>
      <c r="F35" s="10"/>
    </row>
    <row r="36" spans="1:6">
      <c r="A36" s="10">
        <v>35</v>
      </c>
      <c r="B36" s="10">
        <v>69</v>
      </c>
      <c r="C36" s="10">
        <v>20.9842298636935</v>
      </c>
      <c r="D36" s="10">
        <v>0.87702326405376096</v>
      </c>
      <c r="E36" s="10">
        <v>0.99944999999999995</v>
      </c>
      <c r="F36" s="10"/>
    </row>
    <row r="37" spans="1:6">
      <c r="A37" s="10">
        <v>36</v>
      </c>
      <c r="B37" s="10">
        <v>69</v>
      </c>
      <c r="C37" s="10">
        <v>20.9329764093997</v>
      </c>
      <c r="D37" s="10">
        <v>0.91989953440966998</v>
      </c>
      <c r="E37" s="10">
        <v>0.99911000000000005</v>
      </c>
      <c r="F37" s="10"/>
    </row>
    <row r="38" spans="1:6">
      <c r="A38" s="10">
        <v>37</v>
      </c>
      <c r="B38" s="10">
        <v>70</v>
      </c>
      <c r="C38" s="10">
        <v>22.309563025980399</v>
      </c>
      <c r="D38" s="10">
        <v>0.97378572511233397</v>
      </c>
      <c r="E38" s="10">
        <v>0.99887999999999999</v>
      </c>
      <c r="F38" s="10"/>
    </row>
    <row r="39" spans="1:6">
      <c r="A39" s="10">
        <v>38</v>
      </c>
      <c r="B39" s="10">
        <v>70</v>
      </c>
      <c r="C39" s="10">
        <v>22.157786633473499</v>
      </c>
      <c r="D39" s="10">
        <v>0.89039558098185401</v>
      </c>
      <c r="E39" s="10">
        <v>0.99944999999999995</v>
      </c>
      <c r="F39" s="10"/>
    </row>
    <row r="40" spans="1:6">
      <c r="A40" s="10">
        <v>39</v>
      </c>
      <c r="B40" s="10">
        <v>70</v>
      </c>
      <c r="C40" s="10">
        <v>22.124368911499602</v>
      </c>
      <c r="D40" s="10">
        <v>0.86988885110771896</v>
      </c>
      <c r="E40" s="10">
        <v>0.99961</v>
      </c>
      <c r="F40" s="10"/>
    </row>
    <row r="41" spans="1:6">
      <c r="A41" s="10">
        <v>40</v>
      </c>
      <c r="B41" s="10">
        <v>70</v>
      </c>
      <c r="C41" s="10">
        <v>22.098761746689298</v>
      </c>
      <c r="D41" s="10">
        <v>0.91435847251401203</v>
      </c>
      <c r="E41" s="10">
        <v>0.99924000000000002</v>
      </c>
      <c r="F41" s="10"/>
    </row>
    <row r="42" spans="1:6">
      <c r="A42" s="10">
        <v>41</v>
      </c>
      <c r="B42" s="10" t="s">
        <v>7</v>
      </c>
      <c r="C42" s="10">
        <v>35.415079344386498</v>
      </c>
      <c r="D42" s="10">
        <v>0.48231053701384002</v>
      </c>
      <c r="E42" s="10">
        <v>0.99443999999999999</v>
      </c>
      <c r="F42" s="10"/>
    </row>
    <row r="43" spans="1:6">
      <c r="A43" s="10">
        <v>42</v>
      </c>
      <c r="B43" s="10" t="s">
        <v>7</v>
      </c>
      <c r="C43" s="10">
        <v>34.617892559933097</v>
      </c>
      <c r="D43" s="10">
        <v>0.56854546706241105</v>
      </c>
      <c r="E43" s="10">
        <v>0.99456</v>
      </c>
      <c r="F43" s="10"/>
    </row>
    <row r="44" spans="1:6">
      <c r="A44" s="10">
        <v>43</v>
      </c>
      <c r="B44" s="10" t="s">
        <v>7</v>
      </c>
      <c r="C44" s="10">
        <v>34.231206507684902</v>
      </c>
      <c r="D44" s="10">
        <v>0.58322556960216598</v>
      </c>
      <c r="E44" s="10">
        <v>0.99763999999999997</v>
      </c>
      <c r="F44" s="10"/>
    </row>
    <row r="45" spans="1:6">
      <c r="A45" s="10">
        <v>44</v>
      </c>
      <c r="B45" s="10" t="s">
        <v>7</v>
      </c>
      <c r="C45" s="10">
        <v>37.109022341834297</v>
      </c>
      <c r="D45" s="10">
        <v>0.38440410026993499</v>
      </c>
      <c r="E45" s="10">
        <v>0.98455000000000004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36.886651135524602</v>
      </c>
      <c r="D49" s="10">
        <v>0.38043228268870399</v>
      </c>
      <c r="E49" s="10">
        <v>0.95470999999999995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61</v>
      </c>
      <c r="B2">
        <f>IF('177T'!C2="", "", '177T'!C2)</f>
        <v>-1</v>
      </c>
      <c r="C2">
        <f>IF('18S2'!C2="", "", '18S2'!C2)</f>
        <v>-1</v>
      </c>
      <c r="D2">
        <f>IF(RNAseP!C2="", "", RNAseP!C2)</f>
        <v>20.459819978074201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61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20.475006581236102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61</v>
      </c>
      <c r="B4">
        <f>IF('177T'!C4="", "", '177T'!C4)</f>
        <v>-1</v>
      </c>
      <c r="C4">
        <f>IF('18S2'!C4="", "", '18S2'!C4)</f>
        <v>-1</v>
      </c>
      <c r="D4">
        <f>IF(RNAseP!C4="", "", RNAseP!C4)</f>
        <v>20.391587620797701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61</v>
      </c>
      <c r="B5">
        <f>IF('177T'!C5="", "", '177T'!C5)</f>
        <v>-1</v>
      </c>
      <c r="C5">
        <f>IF('18S2'!C5="", "", '18S2'!C5)</f>
        <v>-1</v>
      </c>
      <c r="D5">
        <f>IF(RNAseP!C5="", "", RNAseP!C5)</f>
        <v>20.396770179527699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62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23.213991770596699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62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23.1389415005576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62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23.0591902330554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62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23.092552163548199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63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28.3427097532471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0</v>
      </c>
      <c r="H10" s="3" t="str" cm="1">
        <f t="array" ref="H10">INDEX(Decision!$D$1:$D$28, MATCH(E10&amp;F10&amp;G10, Decision!$A$1:$A$28&amp;Decision!$B$1:$B$28&amp;Decision!$C$1:$C$28, 0))</f>
        <v>F</v>
      </c>
      <c r="I10" t="str" cm="1">
        <f t="array" ref="I10">INDEX(Decision!$E$1:$E$28, MATCH(E10&amp;F10&amp;G10, Decision!$A$1:$A$28&amp;Decision!$B$1:$B$28&amp;Decision!$C$1:$C$28, 0))</f>
        <v>low human DNA</v>
      </c>
    </row>
    <row r="11" spans="1:9">
      <c r="A11">
        <f>IF(AND('177T'!B11 = '18S2'!B11, '177T'!B11 = RNAseP!B11, '177T'!B11 &lt;&gt; ""), '177T'!B11, IF('177T'!B11 = "", "", "Mismatch"))</f>
        <v>63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28.138074225141501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0</v>
      </c>
      <c r="H11" s="3" t="str" cm="1">
        <f t="array" ref="H11">INDEX(Decision!$D$1:$D$28, MATCH(E11&amp;F11&amp;G11, Decision!$A$1:$A$28&amp;Decision!$B$1:$B$28&amp;Decision!$C$1:$C$28, 0))</f>
        <v>F</v>
      </c>
      <c r="I11" t="str" cm="1">
        <f t="array" ref="I11">INDEX(Decision!$E$1:$E$28, MATCH(E11&amp;F11&amp;G11, Decision!$A$1:$A$28&amp;Decision!$B$1:$B$28&amp;Decision!$C$1:$C$28, 0))</f>
        <v>low human DNA</v>
      </c>
    </row>
    <row r="12" spans="1:9">
      <c r="A12">
        <f>IF(AND('177T'!B12 = '18S2'!B12, '177T'!B12 = RNAseP!B12, '177T'!B12 &lt;&gt; ""), '177T'!B12, IF('177T'!B12 = "", "", "Mismatch"))</f>
        <v>63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28.055149335199498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0</v>
      </c>
      <c r="H12" s="3" t="str" cm="1">
        <f t="array" ref="H12">INDEX(Decision!$D$1:$D$28, MATCH(E12&amp;F12&amp;G12, Decision!$A$1:$A$28&amp;Decision!$B$1:$B$28&amp;Decision!$C$1:$C$28, 0))</f>
        <v>F</v>
      </c>
      <c r="I12" t="str" cm="1">
        <f t="array" ref="I12">INDEX(Decision!$E$1:$E$28, MATCH(E12&amp;F12&amp;G12, Decision!$A$1:$A$28&amp;Decision!$B$1:$B$28&amp;Decision!$C$1:$C$28, 0))</f>
        <v>low human DNA</v>
      </c>
    </row>
    <row r="13" spans="1:9">
      <c r="A13">
        <f>IF(AND('177T'!B13 = '18S2'!B13, '177T'!B13 = RNAseP!B13, '177T'!B13 &lt;&gt; ""), '177T'!B13, IF('177T'!B13 = "", "", "Mismatch"))</f>
        <v>63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28.173003844031498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0</v>
      </c>
      <c r="H13" s="3" t="str" cm="1">
        <f t="array" ref="H13">INDEX(Decision!$D$1:$D$28, MATCH(E13&amp;F13&amp;G13, Decision!$A$1:$A$28&amp;Decision!$B$1:$B$28&amp;Decision!$C$1:$C$28, 0))</f>
        <v>F</v>
      </c>
      <c r="I13" t="str" cm="1">
        <f t="array" ref="I13">INDEX(Decision!$E$1:$E$28, MATCH(E13&amp;F13&amp;G13, Decision!$A$1:$A$28&amp;Decision!$B$1:$B$28&amp;Decision!$C$1:$C$28, 0))</f>
        <v>low human DNA</v>
      </c>
    </row>
    <row r="14" spans="1:9">
      <c r="A14">
        <f>IF(AND('177T'!B14 = '18S2'!B14, '177T'!B14 = RNAseP!B14, '177T'!B14 &lt;&gt; ""), '177T'!B14, IF('177T'!B14 = "", "", "Mismatch"))</f>
        <v>64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24.569558126119301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64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24.571767416015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64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24.546390297106701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64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24.548859570825801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65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36.499091687672099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0</v>
      </c>
      <c r="H18" s="3" t="str" cm="1">
        <f t="array" ref="H18">INDEX(Decision!$D$1:$D$28, MATCH(E18&amp;F18&amp;G18, Decision!$A$1:$A$28&amp;Decision!$B$1:$B$28&amp;Decision!$C$1:$C$28, 0))</f>
        <v>F</v>
      </c>
      <c r="I18" t="str" cm="1">
        <f t="array" ref="I18">INDEX(Decision!$E$1:$E$28, MATCH(E18&amp;F18&amp;G18, Decision!$A$1:$A$28&amp;Decision!$B$1:$B$28&amp;Decision!$C$1:$C$28, 0))</f>
        <v>low human DNA</v>
      </c>
    </row>
    <row r="19" spans="1:9">
      <c r="A19">
        <f>IF(AND('177T'!B19 = '18S2'!B19, '177T'!B19 = RNAseP!B19, '177T'!B19 &lt;&gt; ""), '177T'!B19, IF('177T'!B19 = "", "", "Mismatch"))</f>
        <v>65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22.019308300165701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65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22.0184720406948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65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22.038628918103001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66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23.627161081697501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66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23.4899398718002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66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23.4054663749993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66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23.282150368757399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67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30.642554773588699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0</v>
      </c>
      <c r="H26" s="3" t="str" cm="1">
        <f t="array" ref="H26">INDEX(Decision!$D$1:$D$28, MATCH(E26&amp;F26&amp;G26, Decision!$A$1:$A$28&amp;Decision!$B$1:$B$28&amp;Decision!$C$1:$C$28, 0))</f>
        <v>F</v>
      </c>
      <c r="I26" t="str" cm="1">
        <f t="array" ref="I26">INDEX(Decision!$E$1:$E$28, MATCH(E26&amp;F26&amp;G26, Decision!$A$1:$A$28&amp;Decision!$B$1:$B$28&amp;Decision!$C$1:$C$28, 0))</f>
        <v>low human DNA</v>
      </c>
    </row>
    <row r="27" spans="1:9">
      <c r="A27">
        <f>IF(AND('177T'!B27 = '18S2'!B27, '177T'!B27 = RNAseP!B27, '177T'!B27 &lt;&gt; ""), '177T'!B27, IF('177T'!B27 = "", "", "Mismatch"))</f>
        <v>67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30.336596852236301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0</v>
      </c>
      <c r="H27" s="3" t="str" cm="1">
        <f t="array" ref="H27">INDEX(Decision!$D$1:$D$28, MATCH(E27&amp;F27&amp;G27, Decision!$A$1:$A$28&amp;Decision!$B$1:$B$28&amp;Decision!$C$1:$C$28, 0))</f>
        <v>F</v>
      </c>
      <c r="I27" t="str" cm="1">
        <f t="array" ref="I27">INDEX(Decision!$E$1:$E$28, MATCH(E27&amp;F27&amp;G27, Decision!$A$1:$A$28&amp;Decision!$B$1:$B$28&amp;Decision!$C$1:$C$28, 0))</f>
        <v>low human DNA</v>
      </c>
    </row>
    <row r="28" spans="1:9">
      <c r="A28">
        <f>IF(AND('177T'!B28 = '18S2'!B28, '177T'!B28 = RNAseP!B28, '177T'!B28 &lt;&gt; ""), '177T'!B28, IF('177T'!B28 = "", "", "Mismatch"))</f>
        <v>67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30.4195683593383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0</v>
      </c>
      <c r="H28" s="3" t="str" cm="1">
        <f t="array" ref="H28">INDEX(Decision!$D$1:$D$28, MATCH(E28&amp;F28&amp;G28, Decision!$A$1:$A$28&amp;Decision!$B$1:$B$28&amp;Decision!$C$1:$C$28, 0))</f>
        <v>F</v>
      </c>
      <c r="I28" t="str" cm="1">
        <f t="array" ref="I28">INDEX(Decision!$E$1:$E$28, MATCH(E28&amp;F28&amp;G28, Decision!$A$1:$A$28&amp;Decision!$B$1:$B$28&amp;Decision!$C$1:$C$28, 0))</f>
        <v>low human DNA</v>
      </c>
    </row>
    <row r="29" spans="1:9">
      <c r="A29">
        <f>IF(AND('177T'!B29 = '18S2'!B29, '177T'!B29 = RNAseP!B29, '177T'!B29 &lt;&gt; ""), '177T'!B29, IF('177T'!B29 = "", "", "Mismatch"))</f>
        <v>67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30.5345891083109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0</v>
      </c>
      <c r="H29" s="3" t="str" cm="1">
        <f t="array" ref="H29">INDEX(Decision!$D$1:$D$28, MATCH(E29&amp;F29&amp;G29, Decision!$A$1:$A$28&amp;Decision!$B$1:$B$28&amp;Decision!$C$1:$C$28, 0))</f>
        <v>F</v>
      </c>
      <c r="I29" t="str" cm="1">
        <f t="array" ref="I29">INDEX(Decision!$E$1:$E$28, MATCH(E29&amp;F29&amp;G29, Decision!$A$1:$A$28&amp;Decision!$B$1:$B$28&amp;Decision!$C$1:$C$28, 0))</f>
        <v>low human DNA</v>
      </c>
    </row>
    <row r="30" spans="1:9">
      <c r="A30">
        <f>IF(AND('177T'!B30 = '18S2'!B30, '177T'!B30 = RNAseP!B30, '177T'!B30 &lt;&gt; ""), '177T'!B30, IF('177T'!B30 = "", "", "Mismatch"))</f>
        <v>68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23.097524150366102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68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23.294556709335701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68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23.203874480050601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68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23.2888374421129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69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21.1098223601143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69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21.1680690074861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69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20.9842298636935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69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20.9329764093997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70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22.309563025980399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70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22.157786633473499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70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22.124368911499602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70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22.098761746689298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24.901279003791501</v>
      </c>
      <c r="C42">
        <f>IF('18S2'!C42="", "", '18S2'!C42)</f>
        <v>22.837561780434701</v>
      </c>
      <c r="D42">
        <f>IF(RNAseP!C42="", "", RNAseP!C42)</f>
        <v>35.415079344386498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25.492349811255998</v>
      </c>
      <c r="C43">
        <f>IF('18S2'!C43="", "", '18S2'!C43)</f>
        <v>22.996170288138</v>
      </c>
      <c r="D43">
        <f>IF(RNAseP!C43="", "", RNAseP!C43)</f>
        <v>34.617892559933097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23.038999632038198</v>
      </c>
      <c r="C44">
        <f>IF('18S2'!C44="", "", '18S2'!C44)</f>
        <v>21.7168119481506</v>
      </c>
      <c r="D44">
        <f>IF(RNAseP!C44="", "", RNAseP!C44)</f>
        <v>34.231206507684902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25.034063035858701</v>
      </c>
      <c r="C45">
        <f>IF('18S2'!C45="", "", '18S2'!C45)</f>
        <v>22.592372424808101</v>
      </c>
      <c r="D45">
        <f>IF(RNAseP!C45="", "", RNAseP!C45)</f>
        <v>37.109022341834297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36.886651135524602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9" workbookViewId="0">
      <selection activeCell="G28" sqref="G28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45825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61</v>
      </c>
      <c r="B16" s="11">
        <v>2402788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20,4 +/- 0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62</v>
      </c>
      <c r="B17" s="11">
        <v>2402949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23,1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63</v>
      </c>
      <c r="B18" s="11">
        <v>2402765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F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28,2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64</v>
      </c>
      <c r="B19" s="11">
        <v>2402795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24,6 +/- 0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65</v>
      </c>
      <c r="B20" s="11">
        <v>2402770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25,6 +/- 7,2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66</v>
      </c>
      <c r="B21" s="11">
        <v>2402404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23,5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67</v>
      </c>
      <c r="B22" s="11">
        <v>2500144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F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30,5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68</v>
      </c>
      <c r="B23" s="11">
        <v>2500035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69</v>
      </c>
      <c r="B24" s="11">
        <v>2500140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70</v>
      </c>
      <c r="B25" s="11">
        <v>2402481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22,2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24,6 +/- 1,1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22,5 +/- 0,6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+/- 1,3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36,9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25" t="s">
        <v>59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24" t="s">
        <v>62</v>
      </c>
      <c r="D30" s="24"/>
      <c r="E30" s="20"/>
    </row>
    <row r="31" spans="1:12">
      <c r="A31" s="18" t="s">
        <v>20</v>
      </c>
      <c r="B31" s="18" t="s">
        <v>21</v>
      </c>
      <c r="C31" s="24" t="s">
        <v>63</v>
      </c>
      <c r="D31" s="24"/>
      <c r="E31" s="20"/>
    </row>
    <row r="32" spans="1:12">
      <c r="A32" s="18" t="s">
        <v>22</v>
      </c>
      <c r="B32" s="18" t="s">
        <v>64</v>
      </c>
      <c r="C32" s="24" t="s">
        <v>65</v>
      </c>
      <c r="D32" s="24"/>
      <c r="E32" s="20"/>
    </row>
    <row r="33" spans="1:5">
      <c r="A33" s="18" t="s">
        <v>66</v>
      </c>
      <c r="B33" s="18" t="s">
        <v>67</v>
      </c>
      <c r="C33" s="24" t="s">
        <v>68</v>
      </c>
      <c r="D33" s="24"/>
      <c r="E33" s="20"/>
    </row>
    <row r="34" spans="1:5">
      <c r="A34" s="18" t="s">
        <v>17</v>
      </c>
      <c r="B34" s="18" t="s">
        <v>69</v>
      </c>
      <c r="C34" s="24" t="s">
        <v>70</v>
      </c>
      <c r="D34" s="24"/>
      <c r="E34" s="20"/>
    </row>
    <row r="35" spans="1:5">
      <c r="A35" s="18" t="s">
        <v>71</v>
      </c>
      <c r="B35" s="18" t="s">
        <v>72</v>
      </c>
      <c r="C35" s="24" t="s">
        <v>73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61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20,4 +/- 0</v>
      </c>
    </row>
    <row r="3" spans="1:11">
      <c r="A3" s="3">
        <f>Report!A17</f>
        <v>62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23,1 +/- 0,1</v>
      </c>
    </row>
    <row r="4" spans="1:11">
      <c r="A4" s="3">
        <f>Report!A18</f>
        <v>63</v>
      </c>
      <c r="B4" s="3" t="str" cm="1">
        <f t="array" ref="B4">_xlfn.TEXTJOIN(", ", TRUE, IF(Analysis!$A$2:$A$82=A4, Analysis!$H$2:$H$82, ""))</f>
        <v>F, F, F, F</v>
      </c>
      <c r="C4" s="3" t="str" cm="1">
        <f t="array" ref="C4">_xlfn.TEXTJOIN(", ", TRUE, IF(Analysis!$A$2:$A$82=A4, Analysis!$I$2:$I$82, ""))</f>
        <v>low human DNA, low human DNA, low human DNA, low human DNA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F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28,2 +/- 0,1</v>
      </c>
    </row>
    <row r="5" spans="1:11">
      <c r="A5" s="3">
        <f>Report!A19</f>
        <v>64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24,6 +/- 0</v>
      </c>
    </row>
    <row r="6" spans="1:11">
      <c r="A6" s="3">
        <f>Report!A20</f>
        <v>65</v>
      </c>
      <c r="B6" s="3" t="str" cm="1">
        <f t="array" ref="B6">_xlfn.TEXTJOIN(", ", TRUE, IF(Analysis!$A$2:$A$82=A6, Analysis!$H$2:$H$82, ""))</f>
        <v>F, N, N, N</v>
      </c>
      <c r="C6" s="3" t="str" cm="1">
        <f t="array" ref="C6">_xlfn.TEXTJOIN(", ", TRUE, IF(Analysis!$A$2:$A$82=A6, Analysis!$I$2:$I$82, ""))</f>
        <v>low human DNA,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25,6 +/- 7,2</v>
      </c>
    </row>
    <row r="7" spans="1:11">
      <c r="A7" s="3">
        <f>Report!A21</f>
        <v>66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23,5 +/- 0,1</v>
      </c>
      <c r="K7" s="4"/>
    </row>
    <row r="8" spans="1:11">
      <c r="A8" s="3">
        <f>Report!A22</f>
        <v>67</v>
      </c>
      <c r="B8" s="3" t="str" cm="1">
        <f t="array" ref="B8">_xlfn.TEXTJOIN(", ", TRUE, IF(Analysis!$A$2:$A$82=A8, Analysis!$H$2:$H$82, ""))</f>
        <v>F, F, F, F</v>
      </c>
      <c r="C8" s="3" t="str" cm="1">
        <f t="array" ref="C8">_xlfn.TEXTJOIN(", ", TRUE, IF(Analysis!$A$2:$A$82=A8, Analysis!$I$2:$I$82, ""))</f>
        <v>low human DNA, low human DNA, low human DNA, low human DNA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F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30,5 +/- 0,1</v>
      </c>
    </row>
    <row r="9" spans="1:11">
      <c r="A9" s="3">
        <f>Report!A23</f>
        <v>68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+/- 0,1</v>
      </c>
    </row>
    <row r="10" spans="1:11">
      <c r="A10" s="3">
        <f>Report!A24</f>
        <v>69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 +/- 0,1</v>
      </c>
    </row>
    <row r="11" spans="1:11">
      <c r="A11" s="3">
        <f>Report!A25</f>
        <v>70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22,2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24,6 +/- 1,1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22,5 +/- 0,6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35,3 +/- 1,3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F</v>
      </c>
      <c r="C13" s="3" t="str" cm="1">
        <f t="array" ref="C13">_xlfn.TEXTJOIN(", ", TRUE, IF(Analysis!$A$2:$A$82=A13, Analysis!$I$2:$I$82, ""))</f>
        <v>clean, clean,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36,9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2025-07-21T07:41:42+00:00</Uploaded>
  </documentManagement>
</p:properties>
</file>

<file path=customXml/itemProps1.xml><?xml version="1.0" encoding="utf-8"?>
<ds:datastoreItem xmlns:ds="http://schemas.openxmlformats.org/officeDocument/2006/customXml" ds:itemID="{8ACEE917-F6B2-47EA-92B9-932B85C6193E}"/>
</file>

<file path=customXml/itemProps2.xml><?xml version="1.0" encoding="utf-8"?>
<ds:datastoreItem xmlns:ds="http://schemas.openxmlformats.org/officeDocument/2006/customXml" ds:itemID="{AF9261A2-AF07-443D-94A0-2389008652A8}"/>
</file>

<file path=customXml/itemProps3.xml><?xml version="1.0" encoding="utf-8"?>
<ds:datastoreItem xmlns:ds="http://schemas.openxmlformats.org/officeDocument/2006/customXml" ds:itemID="{9795D577-4786-43CF-9305-37F98516B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2025-10-01T16:19:39Z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