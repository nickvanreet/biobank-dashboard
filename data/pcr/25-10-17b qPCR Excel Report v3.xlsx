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CE94A951-8CA2-4A70-AE37-0F4307C60508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720" firstSheet="8" activeTab="8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<sst xmlns="http://schemas.openxmlformats.org/spreadsheetml/2006/main" count="417" uniqueCount="73">
  <si>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</si>
  <si>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</si>
  <si>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</si>
  <si>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</si>
  <si>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</si>
  <si>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</si>
  <si>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</si>
  <si>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</si>
  <si>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</si>
  <si>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</si>
  <si>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</si>
  <si>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</si>
  <si>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</si>
  <si>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</si>
  <si>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</si>
  <si>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</si>
  <si>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</si>
  <si>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</si>
  <si>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</si>
  <si>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</si>
  <si>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</si>
  <si>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</si>
  <si>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</si>
  <si>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</si>
  <si>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</si>
  <si>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</si>
  <si>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</si>
  <si>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</si>
  <si>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</si>
  <si>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</si>
  <si>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</si>
  <si>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</si>
  <si>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</si>
  <si>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</si>
  <si>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</si>
  <si>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</si>
  <si>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</si>
  <si>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</si>
  <si>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</si>
  <si>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</si>
  <si>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</si>
  <si>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</si>
  <si>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</si>
  <si>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Qrun file name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</si>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</sst>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286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286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286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286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287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287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287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287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288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288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288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288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289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289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289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289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290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290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290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290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291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291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291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291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292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292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292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292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293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293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293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293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294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294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294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294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295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295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295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295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22.469645171809901</v>
      </c>
      <c r="D42" s="8">
        <v>0.872460853187631</v>
      </c>
      <c r="E42" s="8">
        <v>0.99992000000000003</v>
      </c>
      <c r="F42" s="8"/>
    </row>
    <row r="43" spans="1:6">
      <c r="A43" s="8">
        <v>42</v>
      </c>
      <c r="B43" s="8" t="s">
        <v>7</v>
      </c>
      <c r="C43" s="8">
        <v>20.278179086661201</v>
      </c>
      <c r="D43" s="8">
        <v>0.83400614778809501</v>
      </c>
      <c r="E43" s="8">
        <v>0.99997000000000003</v>
      </c>
      <c r="F43" s="8"/>
    </row>
    <row r="44" spans="1:6">
      <c r="A44" s="8">
        <v>43</v>
      </c>
      <c r="B44" s="8" t="s">
        <v>7</v>
      </c>
      <c r="C44" s="8">
        <v>23.291788378437001</v>
      </c>
      <c r="D44" s="8">
        <v>0.83204296911952802</v>
      </c>
      <c r="E44" s="8">
        <v>0.99977000000000005</v>
      </c>
      <c r="F44" s="8"/>
    </row>
    <row r="45" spans="1:6">
      <c r="A45" s="8">
        <v>44</v>
      </c>
      <c r="B45" s="8" t="s">
        <v>7</v>
      </c>
      <c r="C45" s="8">
        <v>23.0688829857869</v>
      </c>
      <c r="D45" s="8">
        <v>0.93127992296546602</v>
      </c>
      <c r="E45" s="8">
        <v>0.99890000000000001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286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286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286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286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287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287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287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287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288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288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288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288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289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289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289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289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290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290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290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290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291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291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291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291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292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292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292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292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293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293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293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293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294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294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294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294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295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295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295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295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20.198605799729201</v>
      </c>
      <c r="D42" s="9">
        <v>0.84077316718893502</v>
      </c>
      <c r="E42" s="9">
        <v>0.99833000000000005</v>
      </c>
      <c r="F42" s="9"/>
    </row>
    <row r="43" spans="1:6">
      <c r="A43" s="9">
        <v>42</v>
      </c>
      <c r="B43" s="9" t="s">
        <v>7</v>
      </c>
      <c r="C43" s="9">
        <v>19.308434151181999</v>
      </c>
      <c r="D43" s="9">
        <v>0.83419123592187105</v>
      </c>
      <c r="E43" s="9">
        <v>0.99883999999999995</v>
      </c>
      <c r="F43" s="9"/>
    </row>
    <row r="44" spans="1:6">
      <c r="A44" s="9">
        <v>43</v>
      </c>
      <c r="B44" s="9" t="s">
        <v>7</v>
      </c>
      <c r="C44" s="9">
        <v>20.385515839986301</v>
      </c>
      <c r="D44" s="9">
        <v>0.82500034131357303</v>
      </c>
      <c r="E44" s="9">
        <v>0.99873000000000001</v>
      </c>
      <c r="F44" s="9"/>
    </row>
    <row r="45" spans="1:6">
      <c r="A45" s="9">
        <v>44</v>
      </c>
      <c r="B45" s="9" t="s">
        <v>7</v>
      </c>
      <c r="C45" s="9">
        <v>20.105590157254699</v>
      </c>
      <c r="D45" s="9">
        <v>0.83903260424909398</v>
      </c>
      <c r="E45" s="9">
        <v>0.998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286</v>
      </c>
      <c r="C2" s="10">
        <v>28.248126221489599</v>
      </c>
      <c r="D2" s="10">
        <v>0.93014470318778097</v>
      </c>
      <c r="E2" s="10">
        <v>0.99955000000000005</v>
      </c>
      <c r="F2" s="10"/>
    </row>
    <row r="3" spans="1:6">
      <c r="A3" s="10">
        <v>2</v>
      </c>
      <c r="B3" s="10">
        <v>286</v>
      </c>
      <c r="C3" s="10">
        <v>28.694973693594001</v>
      </c>
      <c r="D3" s="10">
        <v>0.98261104213266304</v>
      </c>
      <c r="E3" s="10">
        <v>0.99819000000000002</v>
      </c>
      <c r="F3" s="10"/>
    </row>
    <row r="4" spans="1:6">
      <c r="A4" s="10">
        <v>3</v>
      </c>
      <c r="B4" s="10">
        <v>286</v>
      </c>
      <c r="C4" s="10">
        <v>28.3695198388716</v>
      </c>
      <c r="D4" s="10">
        <v>0.81299721813373105</v>
      </c>
      <c r="E4" s="10">
        <v>0.99972000000000005</v>
      </c>
      <c r="F4" s="10"/>
    </row>
    <row r="5" spans="1:6">
      <c r="A5" s="10">
        <v>4</v>
      </c>
      <c r="B5" s="10">
        <v>286</v>
      </c>
      <c r="C5" s="10">
        <v>27.595295164864499</v>
      </c>
      <c r="D5" s="10">
        <v>0.97271780540028296</v>
      </c>
      <c r="E5" s="10">
        <v>0.99905999999999995</v>
      </c>
      <c r="F5" s="10"/>
    </row>
    <row r="6" spans="1:6">
      <c r="A6" s="10">
        <v>5</v>
      </c>
      <c r="B6" s="10">
        <v>287</v>
      </c>
      <c r="C6" s="10">
        <v>28.767306797684402</v>
      </c>
      <c r="D6" s="10">
        <v>0.96785434067080101</v>
      </c>
      <c r="E6" s="10">
        <v>0.99941000000000002</v>
      </c>
      <c r="F6" s="10"/>
    </row>
    <row r="7" spans="1:6">
      <c r="A7" s="10">
        <v>6</v>
      </c>
      <c r="B7" s="10">
        <v>287</v>
      </c>
      <c r="C7" s="10">
        <v>28.182104409833698</v>
      </c>
      <c r="D7" s="10">
        <v>0.92821792883394605</v>
      </c>
      <c r="E7" s="10">
        <v>0.99965999999999999</v>
      </c>
      <c r="F7" s="10"/>
    </row>
    <row r="8" spans="1:6">
      <c r="A8" s="10">
        <v>7</v>
      </c>
      <c r="B8" s="10">
        <v>287</v>
      </c>
      <c r="C8" s="10">
        <v>28.799480141226599</v>
      </c>
      <c r="D8" s="10">
        <v>1.02457855903919</v>
      </c>
      <c r="E8" s="10">
        <v>0.99907000000000001</v>
      </c>
      <c r="F8" s="10"/>
    </row>
    <row r="9" spans="1:6">
      <c r="A9" s="10">
        <v>8</v>
      </c>
      <c r="B9" s="10">
        <v>287</v>
      </c>
      <c r="C9" s="10">
        <v>28.597092872005302</v>
      </c>
      <c r="D9" s="10">
        <v>0.956934036938906</v>
      </c>
      <c r="E9" s="10">
        <v>0.99978999999999996</v>
      </c>
      <c r="F9" s="10"/>
    </row>
    <row r="10" spans="1:6">
      <c r="A10" s="10">
        <v>9</v>
      </c>
      <c r="B10" s="10">
        <v>288</v>
      </c>
      <c r="C10" s="10">
        <v>28.354518939390601</v>
      </c>
      <c r="D10" s="10">
        <v>0.92376796054803501</v>
      </c>
      <c r="E10" s="10">
        <v>0.99988999999999995</v>
      </c>
      <c r="F10" s="10"/>
    </row>
    <row r="11" spans="1:6">
      <c r="A11" s="10">
        <v>10</v>
      </c>
      <c r="B11" s="10">
        <v>288</v>
      </c>
      <c r="C11" s="10">
        <v>28.131362915105001</v>
      </c>
      <c r="D11" s="10">
        <v>0.94055815936551601</v>
      </c>
      <c r="E11" s="10">
        <v>0.99955000000000005</v>
      </c>
      <c r="F11" s="10"/>
    </row>
    <row r="12" spans="1:6">
      <c r="A12" s="10">
        <v>11</v>
      </c>
      <c r="B12" s="10">
        <v>288</v>
      </c>
      <c r="C12" s="10">
        <v>28.003889970762401</v>
      </c>
      <c r="D12" s="10">
        <v>0.93726014790471801</v>
      </c>
      <c r="E12" s="10">
        <v>0.99985999999999997</v>
      </c>
      <c r="F12" s="10"/>
    </row>
    <row r="13" spans="1:6">
      <c r="A13" s="10">
        <v>12</v>
      </c>
      <c r="B13" s="10">
        <v>288</v>
      </c>
      <c r="C13" s="10">
        <v>27.720351846742901</v>
      </c>
      <c r="D13" s="10">
        <v>1.0419623466026999</v>
      </c>
      <c r="E13" s="10">
        <v>0.99956999999999996</v>
      </c>
      <c r="F13" s="10"/>
    </row>
    <row r="14" spans="1:6">
      <c r="A14" s="10">
        <v>13</v>
      </c>
      <c r="B14" s="10">
        <v>289</v>
      </c>
      <c r="C14" s="10">
        <v>27.500743589280901</v>
      </c>
      <c r="D14" s="10">
        <v>1.0654722385681299</v>
      </c>
      <c r="E14" s="10">
        <v>0.99795</v>
      </c>
      <c r="F14" s="10"/>
    </row>
    <row r="15" spans="1:6">
      <c r="A15" s="10">
        <v>14</v>
      </c>
      <c r="B15" s="10">
        <v>289</v>
      </c>
      <c r="C15" s="10">
        <v>27.9153753730041</v>
      </c>
      <c r="D15" s="10">
        <v>0.99647346385763202</v>
      </c>
      <c r="E15" s="10">
        <v>0.99936999999999998</v>
      </c>
      <c r="F15" s="10"/>
    </row>
    <row r="16" spans="1:6">
      <c r="A16" s="10">
        <v>15</v>
      </c>
      <c r="B16" s="10">
        <v>289</v>
      </c>
      <c r="C16" s="10">
        <v>27.2054394185527</v>
      </c>
      <c r="D16" s="10">
        <v>0.90915471163693595</v>
      </c>
      <c r="E16" s="10">
        <v>0.99972000000000005</v>
      </c>
      <c r="F16" s="10"/>
    </row>
    <row r="17" spans="1:6">
      <c r="A17" s="10">
        <v>16</v>
      </c>
      <c r="B17" s="10">
        <v>289</v>
      </c>
      <c r="C17" s="10">
        <v>27.565859441043902</v>
      </c>
      <c r="D17" s="10">
        <v>0.992011889935836</v>
      </c>
      <c r="E17" s="10">
        <v>0.99926000000000004</v>
      </c>
      <c r="F17" s="10"/>
    </row>
    <row r="18" spans="1:6">
      <c r="A18" s="10">
        <v>17</v>
      </c>
      <c r="B18" s="10">
        <v>290</v>
      </c>
      <c r="C18" s="10">
        <v>27.226090847135598</v>
      </c>
      <c r="D18" s="10">
        <v>0.93608507302769195</v>
      </c>
      <c r="E18" s="10">
        <v>0.99995000000000001</v>
      </c>
      <c r="F18" s="10"/>
    </row>
    <row r="19" spans="1:6">
      <c r="A19" s="10">
        <v>18</v>
      </c>
      <c r="B19" s="10">
        <v>290</v>
      </c>
      <c r="C19" s="10">
        <v>26.9728504541071</v>
      </c>
      <c r="D19" s="10">
        <v>0.94191496218353299</v>
      </c>
      <c r="E19" s="10">
        <v>0.99987000000000004</v>
      </c>
      <c r="F19" s="10"/>
    </row>
    <row r="20" spans="1:6">
      <c r="A20" s="10">
        <v>19</v>
      </c>
      <c r="B20" s="10">
        <v>290</v>
      </c>
      <c r="C20" s="10">
        <v>27.219938695943</v>
      </c>
      <c r="D20" s="10">
        <v>0.96863708675152405</v>
      </c>
      <c r="E20" s="10">
        <v>0.99987999999999999</v>
      </c>
      <c r="F20" s="10"/>
    </row>
    <row r="21" spans="1:6">
      <c r="A21" s="10">
        <v>20</v>
      </c>
      <c r="B21" s="10">
        <v>290</v>
      </c>
      <c r="C21" s="10">
        <v>26.7954876661036</v>
      </c>
      <c r="D21" s="10">
        <v>0.94859849923738604</v>
      </c>
      <c r="E21" s="10">
        <v>0.99985999999999997</v>
      </c>
      <c r="F21" s="10"/>
    </row>
    <row r="22" spans="1:6">
      <c r="A22" s="10">
        <v>21</v>
      </c>
      <c r="B22" s="10">
        <v>291</v>
      </c>
      <c r="C22" s="10">
        <v>27.157154111623601</v>
      </c>
      <c r="D22" s="10">
        <v>0.95866399670276803</v>
      </c>
      <c r="E22" s="10">
        <v>0.99978999999999996</v>
      </c>
      <c r="F22" s="10"/>
    </row>
    <row r="23" spans="1:6">
      <c r="A23" s="10">
        <v>22</v>
      </c>
      <c r="B23" s="10">
        <v>291</v>
      </c>
      <c r="C23" s="10">
        <v>27.790458791496199</v>
      </c>
      <c r="D23" s="10">
        <v>0.96823797021895097</v>
      </c>
      <c r="E23" s="10">
        <v>0.99968999999999997</v>
      </c>
      <c r="F23" s="10"/>
    </row>
    <row r="24" spans="1:6">
      <c r="A24" s="10">
        <v>23</v>
      </c>
      <c r="B24" s="10">
        <v>291</v>
      </c>
      <c r="C24" s="10">
        <v>27.661144135998001</v>
      </c>
      <c r="D24" s="10">
        <v>1.0038191175089399</v>
      </c>
      <c r="E24" s="10">
        <v>0.99934999999999996</v>
      </c>
      <c r="F24" s="10"/>
    </row>
    <row r="25" spans="1:6">
      <c r="A25" s="10">
        <v>24</v>
      </c>
      <c r="B25" s="10">
        <v>291</v>
      </c>
      <c r="C25" s="10">
        <v>27.222854924451401</v>
      </c>
      <c r="D25" s="10">
        <v>0.90872239361544005</v>
      </c>
      <c r="E25" s="10">
        <v>0.99999000000000005</v>
      </c>
      <c r="F25" s="10"/>
    </row>
    <row r="26" spans="1:6">
      <c r="A26" s="10">
        <v>25</v>
      </c>
      <c r="B26" s="10">
        <v>292</v>
      </c>
      <c r="C26" s="10">
        <v>26.706541140323999</v>
      </c>
      <c r="D26" s="10">
        <v>1.0977129354203601</v>
      </c>
      <c r="E26" s="10">
        <v>0.99790000000000001</v>
      </c>
      <c r="F26" s="10"/>
    </row>
    <row r="27" spans="1:6">
      <c r="A27" s="10">
        <v>26</v>
      </c>
      <c r="B27" s="10">
        <v>292</v>
      </c>
      <c r="C27" s="10">
        <v>27.484210465799499</v>
      </c>
      <c r="D27" s="10">
        <v>0.93589656686205402</v>
      </c>
      <c r="E27" s="10">
        <v>0.99975999999999998</v>
      </c>
      <c r="F27" s="10"/>
    </row>
    <row r="28" spans="1:6">
      <c r="A28" s="10">
        <v>27</v>
      </c>
      <c r="B28" s="10">
        <v>292</v>
      </c>
      <c r="C28" s="10">
        <v>27.397870313517998</v>
      </c>
      <c r="D28" s="10">
        <v>0.906689421467612</v>
      </c>
      <c r="E28" s="10">
        <v>0.99983999999999995</v>
      </c>
      <c r="F28" s="10"/>
    </row>
    <row r="29" spans="1:6">
      <c r="A29" s="10">
        <v>28</v>
      </c>
      <c r="B29" s="10">
        <v>292</v>
      </c>
      <c r="C29" s="10">
        <v>27.565683162024101</v>
      </c>
      <c r="D29" s="10">
        <v>0.93786070468335503</v>
      </c>
      <c r="E29" s="10">
        <v>0.99953999999999998</v>
      </c>
      <c r="F29" s="10"/>
    </row>
    <row r="30" spans="1:6">
      <c r="A30" s="10">
        <v>29</v>
      </c>
      <c r="B30" s="10">
        <v>293</v>
      </c>
      <c r="C30" s="10">
        <v>25.1996651810353</v>
      </c>
      <c r="D30" s="10">
        <v>0.95517517881897196</v>
      </c>
      <c r="E30" s="10">
        <v>0.99860000000000004</v>
      </c>
      <c r="F30" s="10"/>
    </row>
    <row r="31" spans="1:6">
      <c r="A31" s="10">
        <v>30</v>
      </c>
      <c r="B31" s="10">
        <v>293</v>
      </c>
      <c r="C31" s="10">
        <v>25.199781156137199</v>
      </c>
      <c r="D31" s="10">
        <v>0.95943577344917097</v>
      </c>
      <c r="E31" s="10">
        <v>0.99980999999999998</v>
      </c>
      <c r="F31" s="10"/>
    </row>
    <row r="32" spans="1:6">
      <c r="A32" s="10">
        <v>31</v>
      </c>
      <c r="B32" s="10">
        <v>293</v>
      </c>
      <c r="C32" s="10">
        <v>24.926587268893599</v>
      </c>
      <c r="D32" s="10">
        <v>1.0420629037990301</v>
      </c>
      <c r="E32" s="10">
        <v>0.99804999999999999</v>
      </c>
      <c r="F32" s="10"/>
    </row>
    <row r="33" spans="1:6">
      <c r="A33" s="10">
        <v>32</v>
      </c>
      <c r="B33" s="10">
        <v>293</v>
      </c>
      <c r="C33" s="10">
        <v>25.092368650302198</v>
      </c>
      <c r="D33" s="10">
        <v>1.0046283074252</v>
      </c>
      <c r="E33" s="10">
        <v>0.99950000000000006</v>
      </c>
      <c r="F33" s="10"/>
    </row>
    <row r="34" spans="1:6">
      <c r="A34" s="10">
        <v>33</v>
      </c>
      <c r="B34" s="10">
        <v>294</v>
      </c>
      <c r="C34" s="10">
        <v>26.068870738746899</v>
      </c>
      <c r="D34" s="10">
        <v>0.97311820347188005</v>
      </c>
      <c r="E34" s="10">
        <v>0.99973000000000001</v>
      </c>
      <c r="F34" s="10"/>
    </row>
    <row r="35" spans="1:6">
      <c r="A35" s="10">
        <v>34</v>
      </c>
      <c r="B35" s="10">
        <v>294</v>
      </c>
      <c r="C35" s="10">
        <v>26.211569359821802</v>
      </c>
      <c r="D35" s="10">
        <v>0.93738997246189404</v>
      </c>
      <c r="E35" s="10">
        <v>0.99977000000000005</v>
      </c>
      <c r="F35" s="10"/>
    </row>
    <row r="36" spans="1:6">
      <c r="A36" s="10">
        <v>35</v>
      </c>
      <c r="B36" s="10">
        <v>294</v>
      </c>
      <c r="C36" s="10">
        <v>26.274581300040001</v>
      </c>
      <c r="D36" s="10">
        <v>0.92685149612756501</v>
      </c>
      <c r="E36" s="10">
        <v>0.99973999999999996</v>
      </c>
      <c r="F36" s="10"/>
    </row>
    <row r="37" spans="1:6">
      <c r="A37" s="10">
        <v>36</v>
      </c>
      <c r="B37" s="10">
        <v>294</v>
      </c>
      <c r="C37" s="10">
        <v>25.687920855741801</v>
      </c>
      <c r="D37" s="10">
        <v>1.05962625469242</v>
      </c>
      <c r="E37" s="10">
        <v>0.99931999999999999</v>
      </c>
      <c r="F37" s="10"/>
    </row>
    <row r="38" spans="1:6">
      <c r="A38" s="10">
        <v>37</v>
      </c>
      <c r="B38" s="10">
        <v>295</v>
      </c>
      <c r="C38" s="10">
        <v>26.1022211783038</v>
      </c>
      <c r="D38" s="10">
        <v>0.97057251111927501</v>
      </c>
      <c r="E38" s="10">
        <v>0.99983999999999995</v>
      </c>
      <c r="F38" s="10"/>
    </row>
    <row r="39" spans="1:6">
      <c r="A39" s="10">
        <v>38</v>
      </c>
      <c r="B39" s="10">
        <v>295</v>
      </c>
      <c r="C39" s="10">
        <v>26.811899765281002</v>
      </c>
      <c r="D39" s="10">
        <v>1.0021979415870099</v>
      </c>
      <c r="E39" s="10">
        <v>0.99804999999999999</v>
      </c>
      <c r="F39" s="10"/>
    </row>
    <row r="40" spans="1:6">
      <c r="A40" s="10">
        <v>39</v>
      </c>
      <c r="B40" s="10">
        <v>295</v>
      </c>
      <c r="C40" s="10">
        <v>26.710119089105898</v>
      </c>
      <c r="D40" s="10">
        <v>1.0288672860411501</v>
      </c>
      <c r="E40" s="10">
        <v>0.99888999999999994</v>
      </c>
      <c r="F40" s="10"/>
    </row>
    <row r="41" spans="1:6">
      <c r="A41" s="10">
        <v>40</v>
      </c>
      <c r="B41" s="10">
        <v>295</v>
      </c>
      <c r="C41" s="10">
        <v>26.035233377966101</v>
      </c>
      <c r="D41" s="10">
        <v>0.92312897083466205</v>
      </c>
      <c r="E41" s="10">
        <v>0.99975999999999998</v>
      </c>
      <c r="F41" s="10"/>
    </row>
    <row r="42" spans="1:6">
      <c r="A42" s="10">
        <v>41</v>
      </c>
      <c r="B42" s="10" t="s">
        <v>7</v>
      </c>
      <c r="C42" s="10">
        <v>-1</v>
      </c>
      <c r="D42" s="10">
        <v>-1</v>
      </c>
      <c r="E42" s="10"/>
      <c r="F42" s="10" t="s">
        <v>6</v>
      </c>
    </row>
    <row r="43" spans="1:6">
      <c r="A43" s="10">
        <v>42</v>
      </c>
      <c r="B43" s="10" t="s">
        <v>7</v>
      </c>
      <c r="C43" s="10">
        <v>35.592010664265601</v>
      </c>
      <c r="D43" s="10">
        <v>0.43873695612126301</v>
      </c>
      <c r="E43" s="10">
        <v>0.99795999999999996</v>
      </c>
      <c r="F43" s="10"/>
    </row>
    <row r="44" spans="1:6">
      <c r="A44" s="10">
        <v>43</v>
      </c>
      <c r="B44" s="10" t="s">
        <v>7</v>
      </c>
      <c r="C44" s="10">
        <v>36.561032880938498</v>
      </c>
      <c r="D44" s="10">
        <v>0.36718312173672901</v>
      </c>
      <c r="E44" s="10">
        <v>0.99528000000000005</v>
      </c>
      <c r="F44" s="10"/>
    </row>
    <row r="45" spans="1:6">
      <c r="A45" s="10">
        <v>44</v>
      </c>
      <c r="B45" s="10" t="s">
        <v>7</v>
      </c>
      <c r="C45" s="10">
        <v>-1</v>
      </c>
      <c r="D45" s="10">
        <v>-1</v>
      </c>
      <c r="E45" s="10"/>
      <c r="F45" s="10" t="s">
        <v>6</v>
      </c>
    </row>
    <row r="46" spans="1:6">
      <c r="A46" s="10">
        <v>45</v>
      </c>
      <c r="B46" s="10" t="s">
        <v>8</v>
      </c>
      <c r="C46" s="10">
        <v>34.527038398651101</v>
      </c>
      <c r="D46" s="10">
        <v>0.87305675267371097</v>
      </c>
      <c r="E46" s="10">
        <v>0.99934000000000001</v>
      </c>
      <c r="F46" s="10"/>
    </row>
    <row r="47" spans="1:6">
      <c r="A47" s="10">
        <v>46</v>
      </c>
      <c r="B47" s="10" t="s">
        <v>8</v>
      </c>
      <c r="C47" s="10">
        <v>35.076734276132697</v>
      </c>
      <c r="D47" s="10">
        <v>0.71943784025161905</v>
      </c>
      <c r="E47" s="10">
        <v>0.99975999999999998</v>
      </c>
      <c r="F47" s="10"/>
    </row>
    <row r="48" spans="1:6">
      <c r="A48" s="10">
        <v>47</v>
      </c>
      <c r="B48" s="10" t="s">
        <v>8</v>
      </c>
      <c r="C48" s="10">
        <v>36.298065498409997</v>
      </c>
      <c r="D48" s="10">
        <v>0.60048874800367602</v>
      </c>
      <c r="E48" s="10">
        <v>0.98467000000000005</v>
      </c>
      <c r="F48" s="10"/>
    </row>
    <row r="49" spans="1:6">
      <c r="A49" s="10">
        <v>48</v>
      </c>
      <c r="B49" s="10" t="s">
        <v>8</v>
      </c>
      <c r="C49" s="10">
        <v>34.691389186362997</v>
      </c>
      <c r="D49" s="10">
        <v>0.75484294394208795</v>
      </c>
      <c r="E49" s="10">
        <v>0.99863000000000002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286</v>
      </c>
      <c r="B2">
        <f>IF('177T'!C2="", "", '177T'!C2)</f>
        <v>-1</v>
      </c>
      <c r="C2">
        <f>IF('18S2'!C2="", "", '18S2'!C2)</f>
        <v>-1</v>
      </c>
      <c r="D2">
        <f>IF(RNAseP!C2="", "", RNAseP!C2)</f>
        <v>28.248126221489599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0</v>
      </c>
      <c r="H2" s="3" t="str" cm="1">
        <f t="array" ref="H2">INDEX(Decision!$D$1:$D$28, MATCH(E2&amp;F2&amp;G2, Decision!$A$1:$A$28&amp;Decision!$B$1:$B$28&amp;Decision!$C$1:$C$28, 0))</f>
        <v>F</v>
      </c>
      <c r="I2" t="str" cm="1">
        <f t="array" ref="I2">INDEX(Decision!$E$1:$E$28, MATCH(E2&amp;F2&amp;G2, Decision!$A$1:$A$28&amp;Decision!$B$1:$B$28&amp;Decision!$C$1:$C$28, 0))</f>
        <v>low human DNA</v>
      </c>
    </row>
    <row r="3" spans="1:9">
      <c r="A3">
        <f>IF(AND('177T'!B3 = '18S2'!B3, '177T'!B3 = RNAseP!B3, '177T'!B3 &lt;&gt; ""), '177T'!B3, IF('177T'!B3 = "", "", "Mismatch"))</f>
        <v>286</v>
      </c>
      <c r="B3">
        <f>IF('177T'!C3="", "", '177T'!C3)</f>
        <v>-1</v>
      </c>
      <c r="C3">
        <f>IF('18S2'!C3="", "", '18S2'!C3)</f>
        <v>-1</v>
      </c>
      <c r="D3">
        <f>IF(RNAseP!C3="", "", RNAseP!C3)</f>
        <v>28.694973693594001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0</v>
      </c>
      <c r="H3" s="3" t="str" cm="1">
        <f t="array" ref="H3">INDEX(Decision!$D$1:$D$28, MATCH(E3&amp;F3&amp;G3, Decision!$A$1:$A$28&amp;Decision!$B$1:$B$28&amp;Decision!$C$1:$C$28, 0))</f>
        <v>F</v>
      </c>
      <c r="I3" t="str" cm="1">
        <f t="array" ref="I3">INDEX(Decision!$E$1:$E$28, MATCH(E3&amp;F3&amp;G3, Decision!$A$1:$A$28&amp;Decision!$B$1:$B$28&amp;Decision!$C$1:$C$28, 0))</f>
        <v>low human DNA</v>
      </c>
    </row>
    <row r="4" spans="1:9">
      <c r="A4">
        <f>IF(AND('177T'!B4 = '18S2'!B4, '177T'!B4 = RNAseP!B4, '177T'!B4 &lt;&gt; ""), '177T'!B4, IF('177T'!B4 = "", "", "Mismatch"))</f>
        <v>286</v>
      </c>
      <c r="B4">
        <f>IF('177T'!C4="", "", '177T'!C4)</f>
        <v>-1</v>
      </c>
      <c r="C4">
        <f>IF('18S2'!C4="", "", '18S2'!C4)</f>
        <v>-1</v>
      </c>
      <c r="D4">
        <f>IF(RNAseP!C4="", "", RNAseP!C4)</f>
        <v>28.3695198388716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0</v>
      </c>
      <c r="H4" s="3" t="str" cm="1">
        <f t="array" ref="H4">INDEX(Decision!$D$1:$D$28, MATCH(E4&amp;F4&amp;G4, Decision!$A$1:$A$28&amp;Decision!$B$1:$B$28&amp;Decision!$C$1:$C$28, 0))</f>
        <v>F</v>
      </c>
      <c r="I4" t="str" cm="1">
        <f t="array" ref="I4">INDEX(Decision!$E$1:$E$28, MATCH(E4&amp;F4&amp;G4, Decision!$A$1:$A$28&amp;Decision!$B$1:$B$28&amp;Decision!$C$1:$C$28, 0))</f>
        <v>low human DNA</v>
      </c>
    </row>
    <row r="5" spans="1:9">
      <c r="A5">
        <f>IF(AND('177T'!B5 = '18S2'!B5, '177T'!B5 = RNAseP!B5, '177T'!B5 &lt;&gt; ""), '177T'!B5, IF('177T'!B5 = "", "", "Mismatch"))</f>
        <v>286</v>
      </c>
      <c r="B5">
        <f>IF('177T'!C5="", "", '177T'!C5)</f>
        <v>-1</v>
      </c>
      <c r="C5">
        <f>IF('18S2'!C5="", "", '18S2'!C5)</f>
        <v>-1</v>
      </c>
      <c r="D5">
        <f>IF(RNAseP!C5="", "", RNAseP!C5)</f>
        <v>27.595295164864499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287</v>
      </c>
      <c r="B6">
        <f>IF('177T'!C6="", "", '177T'!C6)</f>
        <v>-1</v>
      </c>
      <c r="C6">
        <f>IF('18S2'!C6="", "", '18S2'!C6)</f>
        <v>-1</v>
      </c>
      <c r="D6">
        <f>IF(RNAseP!C6="", "", RNAseP!C6)</f>
        <v>28.767306797684402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0</v>
      </c>
      <c r="H6" s="3" t="str" cm="1">
        <f t="array" ref="H6">INDEX(Decision!$D$1:$D$28, MATCH(E6&amp;F6&amp;G6, Decision!$A$1:$A$28&amp;Decision!$B$1:$B$28&amp;Decision!$C$1:$C$28, 0))</f>
        <v>F</v>
      </c>
      <c r="I6" t="str" cm="1">
        <f t="array" ref="I6">INDEX(Decision!$E$1:$E$28, MATCH(E6&amp;F6&amp;G6, Decision!$A$1:$A$28&amp;Decision!$B$1:$B$28&amp;Decision!$C$1:$C$28, 0))</f>
        <v>low human DNA</v>
      </c>
    </row>
    <row r="7" spans="1:9">
      <c r="A7">
        <f>IF(AND('177T'!B7 = '18S2'!B7, '177T'!B7 = RNAseP!B7, '177T'!B7 &lt;&gt; ""), '177T'!B7, IF('177T'!B7 = "", "", "Mismatch"))</f>
        <v>287</v>
      </c>
      <c r="B7">
        <f>IF('177T'!C7="", "", '177T'!C7)</f>
        <v>-1</v>
      </c>
      <c r="C7">
        <f>IF('18S2'!C7="", "", '18S2'!C7)</f>
        <v>-1</v>
      </c>
      <c r="D7">
        <f>IF(RNAseP!C7="", "", RNAseP!C7)</f>
        <v>28.182104409833698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0</v>
      </c>
      <c r="H7" s="3" t="str" cm="1">
        <f t="array" ref="H7">INDEX(Decision!$D$1:$D$28, MATCH(E7&amp;F7&amp;G7, Decision!$A$1:$A$28&amp;Decision!$B$1:$B$28&amp;Decision!$C$1:$C$28, 0))</f>
        <v>F</v>
      </c>
      <c r="I7" t="str" cm="1">
        <f t="array" ref="I7">INDEX(Decision!$E$1:$E$28, MATCH(E7&amp;F7&amp;G7, Decision!$A$1:$A$28&amp;Decision!$B$1:$B$28&amp;Decision!$C$1:$C$28, 0))</f>
        <v>low human DNA</v>
      </c>
    </row>
    <row r="8" spans="1:9">
      <c r="A8">
        <f>IF(AND('177T'!B8 = '18S2'!B8, '177T'!B8 = RNAseP!B8, '177T'!B8 &lt;&gt; ""), '177T'!B8, IF('177T'!B8 = "", "", "Mismatch"))</f>
        <v>287</v>
      </c>
      <c r="B8">
        <f>IF('177T'!C8="", "", '177T'!C8)</f>
        <v>-1</v>
      </c>
      <c r="C8">
        <f>IF('18S2'!C8="", "", '18S2'!C8)</f>
        <v>-1</v>
      </c>
      <c r="D8">
        <f>IF(RNAseP!C8="", "", RNAseP!C8)</f>
        <v>28.799480141226599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0</v>
      </c>
      <c r="H8" s="3" t="str" cm="1">
        <f t="array" ref="H8">INDEX(Decision!$D$1:$D$28, MATCH(E8&amp;F8&amp;G8, Decision!$A$1:$A$28&amp;Decision!$B$1:$B$28&amp;Decision!$C$1:$C$28, 0))</f>
        <v>F</v>
      </c>
      <c r="I8" t="str" cm="1">
        <f t="array" ref="I8">INDEX(Decision!$E$1:$E$28, MATCH(E8&amp;F8&amp;G8, Decision!$A$1:$A$28&amp;Decision!$B$1:$B$28&amp;Decision!$C$1:$C$28, 0))</f>
        <v>low human DNA</v>
      </c>
    </row>
    <row r="9" spans="1:9">
      <c r="A9">
        <f>IF(AND('177T'!B9 = '18S2'!B9, '177T'!B9 = RNAseP!B9, '177T'!B9 &lt;&gt; ""), '177T'!B9, IF('177T'!B9 = "", "", "Mismatch"))</f>
        <v>287</v>
      </c>
      <c r="B9">
        <f>IF('177T'!C9="", "", '177T'!C9)</f>
        <v>-1</v>
      </c>
      <c r="C9">
        <f>IF('18S2'!C9="", "", '18S2'!C9)</f>
        <v>-1</v>
      </c>
      <c r="D9">
        <f>IF(RNAseP!C9="", "", RNAseP!C9)</f>
        <v>28.597092872005302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0</v>
      </c>
      <c r="H9" s="3" t="str" cm="1">
        <f t="array" ref="H9">INDEX(Decision!$D$1:$D$28, MATCH(E9&amp;F9&amp;G9, Decision!$A$1:$A$28&amp;Decision!$B$1:$B$28&amp;Decision!$C$1:$C$28, 0))</f>
        <v>F</v>
      </c>
      <c r="I9" t="str" cm="1">
        <f t="array" ref="I9">INDEX(Decision!$E$1:$E$28, MATCH(E9&amp;F9&amp;G9, Decision!$A$1:$A$28&amp;Decision!$B$1:$B$28&amp;Decision!$C$1:$C$28, 0))</f>
        <v>low human DNA</v>
      </c>
    </row>
    <row r="10" spans="1:9">
      <c r="A10">
        <f>IF(AND('177T'!B10 = '18S2'!B10, '177T'!B10 = RNAseP!B10, '177T'!B10 &lt;&gt; ""), '177T'!B10, IF('177T'!B10 = "", "", "Mismatch"))</f>
        <v>288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28.354518939390601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0</v>
      </c>
      <c r="H10" s="3" t="str" cm="1">
        <f t="array" ref="H10">INDEX(Decision!$D$1:$D$28, MATCH(E10&amp;F10&amp;G10, Decision!$A$1:$A$28&amp;Decision!$B$1:$B$28&amp;Decision!$C$1:$C$28, 0))</f>
        <v>F</v>
      </c>
      <c r="I10" t="str" cm="1">
        <f t="array" ref="I10">INDEX(Decision!$E$1:$E$28, MATCH(E10&amp;F10&amp;G10, Decision!$A$1:$A$28&amp;Decision!$B$1:$B$28&amp;Decision!$C$1:$C$28, 0))</f>
        <v>low human DNA</v>
      </c>
    </row>
    <row r="11" spans="1:9">
      <c r="A11">
        <f>IF(AND('177T'!B11 = '18S2'!B11, '177T'!B11 = RNAseP!B11, '177T'!B11 &lt;&gt; ""), '177T'!B11, IF('177T'!B11 = "", "", "Mismatch"))</f>
        <v>288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28.131362915105001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0</v>
      </c>
      <c r="H11" s="3" t="str" cm="1">
        <f t="array" ref="H11">INDEX(Decision!$D$1:$D$28, MATCH(E11&amp;F11&amp;G11, Decision!$A$1:$A$28&amp;Decision!$B$1:$B$28&amp;Decision!$C$1:$C$28, 0))</f>
        <v>F</v>
      </c>
      <c r="I11" t="str" cm="1">
        <f t="array" ref="I11">INDEX(Decision!$E$1:$E$28, MATCH(E11&amp;F11&amp;G11, Decision!$A$1:$A$28&amp;Decision!$B$1:$B$28&amp;Decision!$C$1:$C$28, 0))</f>
        <v>low human DNA</v>
      </c>
    </row>
    <row r="12" spans="1:9">
      <c r="A12">
        <f>IF(AND('177T'!B12 = '18S2'!B12, '177T'!B12 = RNAseP!B12, '177T'!B12 &lt;&gt; ""), '177T'!B12, IF('177T'!B12 = "", "", "Mismatch"))</f>
        <v>288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28.003889970762401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0</v>
      </c>
      <c r="H12" s="3" t="str" cm="1">
        <f t="array" ref="H12">INDEX(Decision!$D$1:$D$28, MATCH(E12&amp;F12&amp;G12, Decision!$A$1:$A$28&amp;Decision!$B$1:$B$28&amp;Decision!$C$1:$C$28, 0))</f>
        <v>F</v>
      </c>
      <c r="I12" t="str" cm="1">
        <f t="array" ref="I12">INDEX(Decision!$E$1:$E$28, MATCH(E12&amp;F12&amp;G12, Decision!$A$1:$A$28&amp;Decision!$B$1:$B$28&amp;Decision!$C$1:$C$28, 0))</f>
        <v>low human DNA</v>
      </c>
    </row>
    <row r="13" spans="1:9">
      <c r="A13">
        <f>IF(AND('177T'!B13 = '18S2'!B13, '177T'!B13 = RNAseP!B13, '177T'!B13 &lt;&gt; ""), '177T'!B13, IF('177T'!B13 = "", "", "Mismatch"))</f>
        <v>288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27.720351846742901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289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27.500743589280901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289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27.9153753730041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289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27.2054394185527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289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27.565859441043902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290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27.226090847135598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290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26.9728504541071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290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27.219938695943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290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26.7954876661036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291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27.157154111623601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291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27.790458791496199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291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27.661144135998001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291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27.222854924451401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292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26.706541140323999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292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27.484210465799499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292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27.397870313517998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292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27.565683162024101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293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25.1996651810353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293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25.199781156137199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293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24.926587268893599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293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25.092368650302198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294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26.068870738746899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294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26.211569359821802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294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26.274581300040001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294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25.687920855741801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295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26.1022211783038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295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26.811899765281002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295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26.710119089105898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295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26.035233377966101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22.469645171809901</v>
      </c>
      <c r="C42">
        <f>IF('18S2'!C42="", "", '18S2'!C42)</f>
        <v>20.198605799729201</v>
      </c>
      <c r="D42">
        <f>IF(RNAseP!C42="", "", RNAseP!C42)</f>
        <v>-1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-1</v>
      </c>
      <c r="H42" s="3" t="str" cm="1">
        <f t="array" ref="H42">INDEX(DecisionC!$E$1:$E$56, MATCH(A42&amp;E42&amp;F42&amp;G42, DecisionC!$A$1:$A$56&amp;DecisionC!$B$1:$B$56&amp;DecisionC!$C$1:$C$56&amp;DecisionC!$D$1:$D$56, 0))</f>
        <v>F</v>
      </c>
      <c r="I42" s="3" t="str" cm="1">
        <f t="array" ref="I42">INDEX(DecisionC!$F$1:$F$56, MATCH(A42&amp;E42&amp;F42&amp;G42, DecisionC!$A$1:$A$56&amp;DecisionC!$B$1:$B$56&amp;DecisionC!$C$1:$C$56&amp;DecisionC!$D$1:$D$56, 0))</f>
        <v>RNAseP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20.278179086661201</v>
      </c>
      <c r="C43">
        <f>IF('18S2'!C43="", "", '18S2'!C43)</f>
        <v>19.308434151181999</v>
      </c>
      <c r="D43">
        <f>IF(RNAseP!C43="", "", RNAseP!C43)</f>
        <v>35.592010664265601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23.291788378437001</v>
      </c>
      <c r="C44">
        <f>IF('18S2'!C44="", "", '18S2'!C44)</f>
        <v>20.385515839986301</v>
      </c>
      <c r="D44">
        <f>IF(RNAseP!C44="", "", RNAseP!C44)</f>
        <v>36.561032880938498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23.0688829857869</v>
      </c>
      <c r="C45">
        <f>IF('18S2'!C45="", "", '18S2'!C45)</f>
        <v>20.105590157254699</v>
      </c>
      <c r="D45">
        <f>IF(RNAseP!C45="", "", RNAseP!C45)</f>
        <v>-1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-1</v>
      </c>
      <c r="H45" s="3" t="str" cm="1">
        <f t="array" ref="H45">INDEX(DecisionC!$E$1:$E$56, MATCH(A45&amp;E45&amp;F45&amp;G45, DecisionC!$A$1:$A$56&amp;DecisionC!$B$1:$B$56&amp;DecisionC!$C$1:$C$56&amp;DecisionC!$D$1:$D$56, 0))</f>
        <v>F</v>
      </c>
      <c r="I45" s="3" t="str" cm="1">
        <f t="array" ref="I45">INDEX(DecisionC!$F$1:$F$56, MATCH(A45&amp;E45&amp;F45&amp;G45, DecisionC!$A$1:$A$56&amp;DecisionC!$B$1:$B$56&amp;DecisionC!$C$1:$C$56&amp;DecisionC!$D$1:$D$56, 0))</f>
        <v>RNAseP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34.527038398651101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35.076734276132697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36.298065498409997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34.691389186362997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workbookViewId="0">
      <selection activeCell="G26" sqref="G26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/>
      <c r="D3" s="26"/>
      <c r="E3" s="26"/>
      <c r="F3" s="26"/>
      <c r="G3" s="26"/>
    </row>
    <row r="4" spans="1:8">
      <c r="A4" s="24" t="s">
        <v>42</v>
      </c>
      <c r="B4" s="29"/>
      <c r="C4" s="27"/>
      <c r="D4" s="27"/>
      <c r="E4" s="27"/>
      <c r="F4" s="27"/>
      <c r="G4" s="27"/>
    </row>
    <row r="5" spans="1:8">
      <c r="A5" s="24" t="s">
        <v>43</v>
      </c>
      <c r="B5" s="25"/>
      <c r="C5" s="27"/>
      <c r="D5" s="27"/>
      <c r="E5" s="27"/>
      <c r="F5" s="27"/>
      <c r="G5" s="27"/>
    </row>
    <row r="6" spans="1:8">
      <c r="A6" s="24" t="s">
        <v>44</v>
      </c>
      <c r="B6" s="25"/>
      <c r="C6" s="27"/>
      <c r="D6" s="27"/>
      <c r="E6" s="27"/>
      <c r="F6" s="27"/>
      <c r="G6" s="27"/>
    </row>
    <row r="7" spans="1:8">
      <c r="A7" s="24" t="s">
        <v>45</v>
      </c>
      <c r="B7" s="25"/>
      <c r="C7" s="27"/>
      <c r="D7" s="27"/>
      <c r="E7" s="27"/>
      <c r="F7" s="27"/>
      <c r="G7" s="27"/>
    </row>
    <row r="8" spans="1:8">
      <c r="A8" s="24" t="s">
        <v>46</v>
      </c>
      <c r="B8" s="25"/>
      <c r="C8" s="26"/>
      <c r="D8" s="26"/>
      <c r="E8" s="26"/>
      <c r="F8" s="26"/>
      <c r="G8" s="26"/>
    </row>
    <row r="9" spans="1:8">
      <c r="A9" s="24" t="s">
        <v>47</v>
      </c>
      <c r="B9" s="25"/>
      <c r="C9" s="26"/>
      <c r="D9" s="26"/>
      <c r="E9" s="26"/>
      <c r="F9" s="26"/>
      <c r="G9" s="26"/>
    </row>
    <row r="10" spans="1:8">
      <c r="A10" s="24" t="s">
        <v>48</v>
      </c>
      <c r="B10" s="25"/>
      <c r="C10" s="26"/>
      <c r="D10" s="26"/>
      <c r="E10" s="26"/>
      <c r="F10" s="26"/>
      <c r="G10" s="26"/>
    </row>
    <row r="11" spans="1:8">
      <c r="A11" s="24" t="s">
        <v>49</v>
      </c>
      <c r="B11" s="25"/>
      <c r="C11" s="27"/>
      <c r="D11" s="27"/>
      <c r="E11" s="27"/>
      <c r="F11" s="27"/>
      <c r="G11" s="27"/>
    </row>
    <row r="12" spans="1:8">
      <c r="A12" s="24" t="s">
        <v>50</v>
      </c>
      <c r="B12" s="25"/>
      <c r="C12" s="27"/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51</v>
      </c>
      <c r="C15" s="13" t="s">
        <v>52</v>
      </c>
      <c r="D15" s="14" t="s">
        <v>9</v>
      </c>
      <c r="E15" s="15" t="s">
        <v>10</v>
      </c>
      <c r="F15" s="16" t="s">
        <v>11</v>
      </c>
      <c r="G15" s="23" t="s">
        <v>53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286</v>
      </c>
      <c r="B16" s="11"/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F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28,2 +/- 0,5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287</v>
      </c>
      <c r="B17" s="11"/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F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28,6 +/- 0,3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288</v>
      </c>
      <c r="B18" s="11"/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F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28,1 +/- 0,3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289</v>
      </c>
      <c r="B19" s="11"/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27,5 +/- 0,3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290</v>
      </c>
      <c r="B20" s="11"/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27,1 +/- 0,2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291</v>
      </c>
      <c r="B21" s="11"/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27,5 +/- 0,3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292</v>
      </c>
      <c r="B22" s="11"/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27,3 +/- 0,4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293</v>
      </c>
      <c r="B23" s="11"/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25,1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294</v>
      </c>
      <c r="B24" s="11"/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26,1 +/- 0,3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295</v>
      </c>
      <c r="B25" s="11"/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26,4 +/- 0,4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I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22,3 +/- 1,4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 +/- 0,5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36,1 +/- 0,7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F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35,1 +/- 0,8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54</v>
      </c>
      <c r="B29" s="13" t="s">
        <v>55</v>
      </c>
      <c r="C29" s="31" t="s">
        <v>56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57</v>
      </c>
      <c r="B30" s="18" t="s">
        <v>58</v>
      </c>
      <c r="C30" s="30" t="s">
        <v>59</v>
      </c>
      <c r="D30" s="30"/>
      <c r="E30" s="20"/>
    </row>
    <row r="31" spans="1:12">
      <c r="A31" s="18" t="s">
        <v>20</v>
      </c>
      <c r="B31" s="18" t="s">
        <v>21</v>
      </c>
      <c r="C31" s="30" t="s">
        <v>60</v>
      </c>
      <c r="D31" s="30"/>
      <c r="E31" s="20"/>
    </row>
    <row r="32" spans="1:12">
      <c r="A32" s="18" t="s">
        <v>22</v>
      </c>
      <c r="B32" s="18" t="s">
        <v>61</v>
      </c>
      <c r="C32" s="30" t="s">
        <v>62</v>
      </c>
      <c r="D32" s="30"/>
      <c r="E32" s="20"/>
    </row>
    <row r="33" spans="1:5">
      <c r="A33" s="18" t="s">
        <v>63</v>
      </c>
      <c r="B33" s="18" t="s">
        <v>64</v>
      </c>
      <c r="C33" s="30" t="s">
        <v>65</v>
      </c>
      <c r="D33" s="30"/>
      <c r="E33" s="20"/>
    </row>
    <row r="34" spans="1:5">
      <c r="A34" s="18" t="s">
        <v>17</v>
      </c>
      <c r="B34" s="18" t="s">
        <v>66</v>
      </c>
      <c r="C34" s="30" t="s">
        <v>67</v>
      </c>
      <c r="D34" s="30"/>
      <c r="E34" s="20"/>
    </row>
    <row r="35" spans="1:5">
      <c r="A35" s="18" t="s">
        <v>68</v>
      </c>
      <c r="B35" s="18" t="s">
        <v>69</v>
      </c>
      <c r="C35" s="30" t="s">
        <v>70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tabSelected="1"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71</v>
      </c>
      <c r="C1" s="2" t="s">
        <v>72</v>
      </c>
      <c r="D1" s="2" t="s">
        <v>52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286</v>
      </c>
      <c r="B2" s="3" t="str" cm="1">
        <f t="array" ref="B2">_xlfn.TEXTJOIN(", ", TRUE, IF(Analysis!$A$2:$A$82=A2, Analysis!$H$2:$H$82, ""))</f>
        <v>F, F, F, N</v>
      </c>
      <c r="C2" s="3" t="str" cm="1">
        <f t="array" ref="C2">_xlfn.TEXTJOIN(", ", TRUE, IF(Analysis!$A$2:$A$82=A2, Analysis!$I$2:$I$82, ""))</f>
        <v>low human DNA, low human DNA, low human DNA,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F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28,2 +/- 0,5</v>
      </c>
    </row>
    <row r="3" spans="1:11">
      <c r="A3" s="3">
        <f>Report!A17</f>
        <v>287</v>
      </c>
      <c r="B3" s="3" t="str" cm="1">
        <f t="array" ref="B3">_xlfn.TEXTJOIN(", ", TRUE, IF(Analysis!$A$2:$A$82=A3, Analysis!$H$2:$H$82, ""))</f>
        <v>F, F, F, F</v>
      </c>
      <c r="C3" s="3" t="str" cm="1">
        <f t="array" ref="C3">_xlfn.TEXTJOIN(", ", TRUE, IF(Analysis!$A$2:$A$82=A3, Analysis!$I$2:$I$82, ""))</f>
        <v>low human DNA, low human DNA, low human DNA, low human DNA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F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28,6 +/- 0,3</v>
      </c>
    </row>
    <row r="4" spans="1:11">
      <c r="A4" s="3">
        <f>Report!A18</f>
        <v>288</v>
      </c>
      <c r="B4" s="3" t="str" cm="1">
        <f t="array" ref="B4">_xlfn.TEXTJOIN(", ", TRUE, IF(Analysis!$A$2:$A$82=A4, Analysis!$H$2:$H$82, ""))</f>
        <v>F, F, F, N</v>
      </c>
      <c r="C4" s="3" t="str" cm="1">
        <f t="array" ref="C4">_xlfn.TEXTJOIN(", ", TRUE, IF(Analysis!$A$2:$A$82=A4, Analysis!$I$2:$I$82, ""))</f>
        <v>low human DNA, low human DNA, low human DNA,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F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28,1 +/- 0,3</v>
      </c>
    </row>
    <row r="5" spans="1:11">
      <c r="A5" s="3">
        <f>Report!A19</f>
        <v>289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27,5 +/- 0,3</v>
      </c>
    </row>
    <row r="6" spans="1:11">
      <c r="A6" s="3">
        <f>Report!A20</f>
        <v>290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27,1 +/- 0,2</v>
      </c>
    </row>
    <row r="7" spans="1:11">
      <c r="A7" s="3">
        <f>Report!A21</f>
        <v>291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27,5 +/- 0,3</v>
      </c>
      <c r="K7" s="4"/>
    </row>
    <row r="8" spans="1:11">
      <c r="A8" s="3">
        <f>Report!A22</f>
        <v>292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27,3 +/- 0,4</v>
      </c>
    </row>
    <row r="9" spans="1:11">
      <c r="A9" s="3">
        <f>Report!A23</f>
        <v>293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25,1 +/- 0,1</v>
      </c>
    </row>
    <row r="10" spans="1:11">
      <c r="A10" s="3">
        <f>Report!A24</f>
        <v>294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26,1 +/- 0,3</v>
      </c>
    </row>
    <row r="11" spans="1:11">
      <c r="A11" s="3">
        <f>Report!A25</f>
        <v>295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26,4 +/- 0,4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F, OK, OK, F</v>
      </c>
      <c r="C12" s="3" t="str" cm="1">
        <f t="array" ref="C12">_xlfn.TEXTJOIN(", ", TRUE, IF(Analysis!$A$2:$A$82=A12, Analysis!$I$2:$I$82, ""))</f>
        <v>RNAseP, CP3 works, CP3 works, RNAseP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Tie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22,3 +/- 1,4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 +/- 0,5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36,1 +/- 0,7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F, F, F</v>
      </c>
      <c r="C13" s="3" t="str" cm="1">
        <f t="array" ref="C13">_xlfn.TEXTJOIN(", ", TRUE, IF(Analysis!$A$2:$A$82=A13, Analysis!$I$2:$I$82, ""))</f>
        <v>RNAseP, RNAseP, RNAseP,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F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35,1 +/- 0,8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2025-10-24T07:37:30+00:00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ED0417-8505-4B49-8487-4151E7046254}"/>
</file>

<file path=customXml/itemProps2.xml><?xml version="1.0" encoding="utf-8"?>
<ds:datastoreItem xmlns:ds="http://schemas.openxmlformats.org/officeDocument/2006/customXml" ds:itemID="{67544E77-F79C-4048-87DB-C453A7B0BA32}"/>
</file>

<file path=customXml/itemProps3.xml><?xml version="1.0" encoding="utf-8"?>
<ds:datastoreItem xmlns:ds="http://schemas.openxmlformats.org/officeDocument/2006/customXml" ds:itemID="{2AD7125F-5D96-4E08-9D6A-DC2322B024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2025-10-24T15:49:38Z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