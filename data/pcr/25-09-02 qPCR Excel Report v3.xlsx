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165A10B5-1CFA-481C-9DB8-37183AE2BB0C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4400" yWindow="0" windowWidth="14400" windowHeight="1560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<sst xmlns="http://schemas.openxmlformats.org/spreadsheetml/2006/main" count="422" uniqueCount="76">
  <si>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</si>
  <si>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</si>
  <si>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</si>
  <si>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</si>
  <si>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</si>
  <si>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</si>
  <si>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</si>
  <si>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</si>
  <si>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</si>
  <si>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</si>
  <si>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</si>
  <si>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</si>
  <si>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</si>
  <si>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</si>
  <si>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</si>
  <si>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</si>
  <si>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</si>
  <si>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</si>
  <si>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</si>
  <si>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</si>
  <si>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</si>
  <si>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</si>
  <si>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</si>
  <si>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</si>
  <si>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</si>
  <si>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</si>
  <si>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</si>
  <si>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</si>
  <si>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</si>
  <si>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</si>
  <si>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</si>
  <si>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</si>
  <si>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</si>
  <si>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</si>
  <si>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</si>
  <si>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</si>
  <si>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</si>
  <si>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</si>
  <si>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</si>
  <si>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</si>
  <si>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</si>
  <si>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</si>
  <si>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</si>
  <si>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LOUIS</t>
  </si>
  <si>
    <t>Qrun file name</t>
  </si>
  <si>
    <t>2025-09-02 12.34.22 Run</t>
  </si>
  <si>
    <t>Qrun directory</t>
  </si>
  <si>
    <t>XLT qScript batch</t>
  </si>
  <si>
    <t>177T batch</t>
  </si>
  <si>
    <t>18S2 batch</t>
  </si>
  <si>
    <t>RNAseP batch</t>
  </si>
  <si>
    <t>water (CN)</t>
  </si>
  <si>
    <t>24/24/2025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</si>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</sst>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128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128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128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128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129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129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129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129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130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130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130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130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131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131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131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131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132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132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132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132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133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133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133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133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134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134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134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134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135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135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135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135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136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136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136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136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137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137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137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137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-1</v>
      </c>
      <c r="D42" s="8">
        <v>-1</v>
      </c>
      <c r="E42" s="8"/>
      <c r="F42" s="8" t="s">
        <v>6</v>
      </c>
    </row>
    <row r="43" spans="1:6">
      <c r="A43" s="8">
        <v>42</v>
      </c>
      <c r="B43" s="8" t="s">
        <v>7</v>
      </c>
      <c r="C43" s="8">
        <v>23.443655949298499</v>
      </c>
      <c r="D43" s="8">
        <v>0.83262163399377498</v>
      </c>
      <c r="E43" s="8">
        <v>0.99997999999999998</v>
      </c>
      <c r="F43" s="8"/>
    </row>
    <row r="44" spans="1:6">
      <c r="A44" s="8">
        <v>43</v>
      </c>
      <c r="B44" s="8" t="s">
        <v>7</v>
      </c>
      <c r="C44" s="8">
        <v>23.4335090591875</v>
      </c>
      <c r="D44" s="8">
        <v>0.82588991567599201</v>
      </c>
      <c r="E44" s="8">
        <v>0.99997999999999998</v>
      </c>
      <c r="F44" s="8"/>
    </row>
    <row r="45" spans="1:6">
      <c r="A45" s="8">
        <v>44</v>
      </c>
      <c r="B45" s="8" t="s">
        <v>7</v>
      </c>
      <c r="C45" s="8">
        <v>23.365323999587499</v>
      </c>
      <c r="D45" s="8">
        <v>0.84720361098566099</v>
      </c>
      <c r="E45" s="8">
        <v>0.99995000000000001</v>
      </c>
      <c r="F45" s="8"/>
    </row>
    <row r="46" spans="1:6">
      <c r="A46" s="8">
        <v>45</v>
      </c>
      <c r="B46" s="8" t="s">
        <v>8</v>
      </c>
      <c r="C46" s="8">
        <v>24.0428437424737</v>
      </c>
      <c r="D46" s="8">
        <v>0.78304592737620105</v>
      </c>
      <c r="E46" s="8">
        <v>0.99994000000000005</v>
      </c>
      <c r="F46" s="8"/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128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128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128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128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129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129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129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129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130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130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130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130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131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131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131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131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132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132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132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132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133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133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133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133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134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134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134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134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135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135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135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135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136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136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136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136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137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137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137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137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-1</v>
      </c>
      <c r="D42" s="9">
        <v>-1</v>
      </c>
      <c r="E42" s="9"/>
      <c r="F42" s="9" t="s">
        <v>6</v>
      </c>
    </row>
    <row r="43" spans="1:6">
      <c r="A43" s="9">
        <v>42</v>
      </c>
      <c r="B43" s="9" t="s">
        <v>7</v>
      </c>
      <c r="C43" s="9">
        <v>21.288995635611101</v>
      </c>
      <c r="D43" s="9">
        <v>0.80886786104241404</v>
      </c>
      <c r="E43" s="9">
        <v>0.99877000000000005</v>
      </c>
      <c r="F43" s="9"/>
    </row>
    <row r="44" spans="1:6">
      <c r="A44" s="9">
        <v>43</v>
      </c>
      <c r="B44" s="9" t="s">
        <v>7</v>
      </c>
      <c r="C44" s="9">
        <v>21.1646699614355</v>
      </c>
      <c r="D44" s="9">
        <v>0.81422414821230804</v>
      </c>
      <c r="E44" s="9">
        <v>0.99809000000000003</v>
      </c>
      <c r="F44" s="9"/>
    </row>
    <row r="45" spans="1:6">
      <c r="A45" s="9">
        <v>44</v>
      </c>
      <c r="B45" s="9" t="s">
        <v>7</v>
      </c>
      <c r="C45" s="9">
        <v>21.1856498371193</v>
      </c>
      <c r="D45" s="9">
        <v>0.81411010201772604</v>
      </c>
      <c r="E45" s="9">
        <v>0.99817</v>
      </c>
      <c r="F45" s="9"/>
    </row>
    <row r="46" spans="1:6">
      <c r="A46" s="9">
        <v>45</v>
      </c>
      <c r="B46" s="9" t="s">
        <v>8</v>
      </c>
      <c r="C46" s="9">
        <v>21.361414239582999</v>
      </c>
      <c r="D46" s="9">
        <v>0.80582538965344996</v>
      </c>
      <c r="E46" s="9">
        <v>0.99863000000000002</v>
      </c>
      <c r="F46" s="9"/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128</v>
      </c>
      <c r="C2" s="10">
        <v>-1</v>
      </c>
      <c r="D2" s="10">
        <v>-1</v>
      </c>
      <c r="E2" s="10"/>
      <c r="F2" s="10" t="s">
        <v>6</v>
      </c>
    </row>
    <row r="3" spans="1:6">
      <c r="A3" s="10">
        <v>2</v>
      </c>
      <c r="B3" s="10">
        <v>128</v>
      </c>
      <c r="C3" s="10">
        <v>23.008030133627901</v>
      </c>
      <c r="D3" s="10">
        <v>0.82115620109322696</v>
      </c>
      <c r="E3" s="10">
        <v>0.99843999999999999</v>
      </c>
      <c r="F3" s="10"/>
    </row>
    <row r="4" spans="1:6">
      <c r="A4" s="10">
        <v>3</v>
      </c>
      <c r="B4" s="10">
        <v>128</v>
      </c>
      <c r="C4" s="10">
        <v>23.125655891456201</v>
      </c>
      <c r="D4" s="10">
        <v>0.81286334938874405</v>
      </c>
      <c r="E4" s="10">
        <v>0.99848000000000003</v>
      </c>
      <c r="F4" s="10"/>
    </row>
    <row r="5" spans="1:6">
      <c r="A5" s="10">
        <v>4</v>
      </c>
      <c r="B5" s="10">
        <v>128</v>
      </c>
      <c r="C5" s="10">
        <v>23.158276026489801</v>
      </c>
      <c r="D5" s="10">
        <v>0.81243501900371395</v>
      </c>
      <c r="E5" s="10">
        <v>0.99841999999999997</v>
      </c>
      <c r="F5" s="10"/>
    </row>
    <row r="6" spans="1:6">
      <c r="A6" s="10">
        <v>5</v>
      </c>
      <c r="B6" s="10">
        <v>129</v>
      </c>
      <c r="C6" s="10">
        <v>23.1069910331308</v>
      </c>
      <c r="D6" s="10">
        <v>0.81707186274880705</v>
      </c>
      <c r="E6" s="10">
        <v>0.99824999999999997</v>
      </c>
      <c r="F6" s="10"/>
    </row>
    <row r="7" spans="1:6">
      <c r="A7" s="10">
        <v>6</v>
      </c>
      <c r="B7" s="10">
        <v>129</v>
      </c>
      <c r="C7" s="10">
        <v>22.7986189843913</v>
      </c>
      <c r="D7" s="10">
        <v>0.84266057023022101</v>
      </c>
      <c r="E7" s="10">
        <v>0.99824999999999997</v>
      </c>
      <c r="F7" s="10"/>
    </row>
    <row r="8" spans="1:6">
      <c r="A8" s="10">
        <v>7</v>
      </c>
      <c r="B8" s="10">
        <v>129</v>
      </c>
      <c r="C8" s="10">
        <v>22.694366117283099</v>
      </c>
      <c r="D8" s="10">
        <v>0.83577198027576405</v>
      </c>
      <c r="E8" s="10">
        <v>0.99860000000000004</v>
      </c>
      <c r="F8" s="10"/>
    </row>
    <row r="9" spans="1:6">
      <c r="A9" s="10">
        <v>8</v>
      </c>
      <c r="B9" s="10">
        <v>129</v>
      </c>
      <c r="C9" s="10">
        <v>22.692887071587101</v>
      </c>
      <c r="D9" s="10">
        <v>0.83493126230460901</v>
      </c>
      <c r="E9" s="10">
        <v>0.99861999999999995</v>
      </c>
      <c r="F9" s="10"/>
    </row>
    <row r="10" spans="1:6">
      <c r="A10" s="10">
        <v>9</v>
      </c>
      <c r="B10" s="10">
        <v>130</v>
      </c>
      <c r="C10" s="10">
        <v>22.643703444597801</v>
      </c>
      <c r="D10" s="10">
        <v>0.83820315140342405</v>
      </c>
      <c r="E10" s="10">
        <v>0.99868000000000001</v>
      </c>
      <c r="F10" s="10"/>
    </row>
    <row r="11" spans="1:6">
      <c r="A11" s="10">
        <v>10</v>
      </c>
      <c r="B11" s="10">
        <v>130</v>
      </c>
      <c r="C11" s="10">
        <v>23.074116779439802</v>
      </c>
      <c r="D11" s="10">
        <v>0.82990901508190296</v>
      </c>
      <c r="E11" s="10">
        <v>0.99848999999999999</v>
      </c>
      <c r="F11" s="10"/>
    </row>
    <row r="12" spans="1:6">
      <c r="A12" s="10">
        <v>11</v>
      </c>
      <c r="B12" s="10">
        <v>130</v>
      </c>
      <c r="C12" s="10">
        <v>23.100681162977502</v>
      </c>
      <c r="D12" s="10">
        <v>0.82673376588430902</v>
      </c>
      <c r="E12" s="10">
        <v>0.99846000000000001</v>
      </c>
      <c r="F12" s="10"/>
    </row>
    <row r="13" spans="1:6">
      <c r="A13" s="10">
        <v>12</v>
      </c>
      <c r="B13" s="10">
        <v>130</v>
      </c>
      <c r="C13" s="10">
        <v>23.1610271393305</v>
      </c>
      <c r="D13" s="10">
        <v>0.82266402876020595</v>
      </c>
      <c r="E13" s="10">
        <v>0.99843999999999999</v>
      </c>
      <c r="F13" s="10"/>
    </row>
    <row r="14" spans="1:6">
      <c r="A14" s="10">
        <v>13</v>
      </c>
      <c r="B14" s="10">
        <v>131</v>
      </c>
      <c r="C14" s="10">
        <v>22.945754914917799</v>
      </c>
      <c r="D14" s="10">
        <v>0.82833045108804404</v>
      </c>
      <c r="E14" s="10">
        <v>0.99863000000000002</v>
      </c>
      <c r="F14" s="10"/>
    </row>
    <row r="15" spans="1:6">
      <c r="A15" s="10">
        <v>14</v>
      </c>
      <c r="B15" s="10">
        <v>131</v>
      </c>
      <c r="C15" s="10">
        <v>22.593975275876801</v>
      </c>
      <c r="D15" s="10">
        <v>0.83038484285971803</v>
      </c>
      <c r="E15" s="10">
        <v>0.99865000000000004</v>
      </c>
      <c r="F15" s="10"/>
    </row>
    <row r="16" spans="1:6">
      <c r="A16" s="10">
        <v>15</v>
      </c>
      <c r="B16" s="10">
        <v>131</v>
      </c>
      <c r="C16" s="10">
        <v>22.632378267272902</v>
      </c>
      <c r="D16" s="10">
        <v>0.83072602352564096</v>
      </c>
      <c r="E16" s="10">
        <v>0.99858999999999998</v>
      </c>
      <c r="F16" s="10"/>
    </row>
    <row r="17" spans="1:6">
      <c r="A17" s="10">
        <v>16</v>
      </c>
      <c r="B17" s="10">
        <v>131</v>
      </c>
      <c r="C17" s="10">
        <v>22.6464964012503</v>
      </c>
      <c r="D17" s="10">
        <v>0.82551086220419201</v>
      </c>
      <c r="E17" s="10">
        <v>0.99861</v>
      </c>
      <c r="F17" s="10"/>
    </row>
    <row r="18" spans="1:6">
      <c r="A18" s="10">
        <v>17</v>
      </c>
      <c r="B18" s="10">
        <v>132</v>
      </c>
      <c r="C18" s="10">
        <v>22.591290508337</v>
      </c>
      <c r="D18" s="10">
        <v>0.83173159559355003</v>
      </c>
      <c r="E18" s="10">
        <v>0.99866999999999995</v>
      </c>
      <c r="F18" s="10"/>
    </row>
    <row r="19" spans="1:6">
      <c r="A19" s="10">
        <v>18</v>
      </c>
      <c r="B19" s="10">
        <v>132</v>
      </c>
      <c r="C19" s="10">
        <v>22.8012811231517</v>
      </c>
      <c r="D19" s="10">
        <v>0.82186111134690598</v>
      </c>
      <c r="E19" s="10">
        <v>0.99838000000000005</v>
      </c>
      <c r="F19" s="10"/>
    </row>
    <row r="20" spans="1:6">
      <c r="A20" s="10">
        <v>19</v>
      </c>
      <c r="B20" s="10">
        <v>132</v>
      </c>
      <c r="C20" s="10">
        <v>22.896176368468701</v>
      </c>
      <c r="D20" s="10">
        <v>0.80481260719590897</v>
      </c>
      <c r="E20" s="10">
        <v>0.99822999999999995</v>
      </c>
      <c r="F20" s="10"/>
    </row>
    <row r="21" spans="1:6">
      <c r="A21" s="10">
        <v>20</v>
      </c>
      <c r="B21" s="10">
        <v>132</v>
      </c>
      <c r="C21" s="10">
        <v>22.711569532121501</v>
      </c>
      <c r="D21" s="10">
        <v>0.81397494050044805</v>
      </c>
      <c r="E21" s="10">
        <v>0.99892000000000003</v>
      </c>
      <c r="F21" s="10"/>
    </row>
    <row r="22" spans="1:6">
      <c r="A22" s="10">
        <v>21</v>
      </c>
      <c r="B22" s="10">
        <v>133</v>
      </c>
      <c r="C22" s="10">
        <v>22.760623232968801</v>
      </c>
      <c r="D22" s="10">
        <v>0.81306321310136498</v>
      </c>
      <c r="E22" s="10">
        <v>0.99907999999999997</v>
      </c>
      <c r="F22" s="10"/>
    </row>
    <row r="23" spans="1:6">
      <c r="A23" s="10">
        <v>22</v>
      </c>
      <c r="B23" s="10">
        <v>133</v>
      </c>
      <c r="C23" s="10">
        <v>25.099950857952201</v>
      </c>
      <c r="D23" s="10">
        <v>0.82496146445752805</v>
      </c>
      <c r="E23" s="10">
        <v>0.99885999999999997</v>
      </c>
      <c r="F23" s="10"/>
    </row>
    <row r="24" spans="1:6">
      <c r="A24" s="10">
        <v>23</v>
      </c>
      <c r="B24" s="10">
        <v>133</v>
      </c>
      <c r="C24" s="10">
        <v>25.2216847989366</v>
      </c>
      <c r="D24" s="10">
        <v>0.81258855564969201</v>
      </c>
      <c r="E24" s="10">
        <v>0.99851999999999996</v>
      </c>
      <c r="F24" s="10"/>
    </row>
    <row r="25" spans="1:6">
      <c r="A25" s="10">
        <v>24</v>
      </c>
      <c r="B25" s="10">
        <v>133</v>
      </c>
      <c r="C25" s="10">
        <v>25.320051588613001</v>
      </c>
      <c r="D25" s="10">
        <v>0.79442416931756998</v>
      </c>
      <c r="E25" s="10">
        <v>0.99892000000000003</v>
      </c>
      <c r="F25" s="10"/>
    </row>
    <row r="26" spans="1:6">
      <c r="A26" s="10">
        <v>25</v>
      </c>
      <c r="B26" s="10">
        <v>134</v>
      </c>
      <c r="C26" s="10">
        <v>25.403060219355702</v>
      </c>
      <c r="D26" s="10">
        <v>0.76314193670163499</v>
      </c>
      <c r="E26" s="10">
        <v>0.99819999999999998</v>
      </c>
      <c r="F26" s="10"/>
    </row>
    <row r="27" spans="1:6">
      <c r="A27" s="10">
        <v>26</v>
      </c>
      <c r="B27" s="10">
        <v>134</v>
      </c>
      <c r="C27" s="10">
        <v>26.1134242730759</v>
      </c>
      <c r="D27" s="10">
        <v>0.80906210219353203</v>
      </c>
      <c r="E27" s="10">
        <v>0.99902999999999997</v>
      </c>
      <c r="F27" s="10"/>
    </row>
    <row r="28" spans="1:6">
      <c r="A28" s="10">
        <v>27</v>
      </c>
      <c r="B28" s="10">
        <v>134</v>
      </c>
      <c r="C28" s="10">
        <v>26.1714907198429</v>
      </c>
      <c r="D28" s="10">
        <v>0.80920073224883904</v>
      </c>
      <c r="E28" s="10">
        <v>0.99877000000000005</v>
      </c>
      <c r="F28" s="10"/>
    </row>
    <row r="29" spans="1:6">
      <c r="A29" s="10">
        <v>28</v>
      </c>
      <c r="B29" s="10">
        <v>134</v>
      </c>
      <c r="C29" s="10">
        <v>26.049393020701899</v>
      </c>
      <c r="D29" s="10">
        <v>0.81264929341777303</v>
      </c>
      <c r="E29" s="10">
        <v>0.99868000000000001</v>
      </c>
      <c r="F29" s="10"/>
    </row>
    <row r="30" spans="1:6">
      <c r="A30" s="10">
        <v>29</v>
      </c>
      <c r="B30" s="10">
        <v>135</v>
      </c>
      <c r="C30" s="10">
        <v>26.108453541342101</v>
      </c>
      <c r="D30" s="10">
        <v>0.81189083066025702</v>
      </c>
      <c r="E30" s="10">
        <v>0.99853999999999998</v>
      </c>
      <c r="F30" s="10"/>
    </row>
    <row r="31" spans="1:6">
      <c r="A31" s="10">
        <v>30</v>
      </c>
      <c r="B31" s="10">
        <v>135</v>
      </c>
      <c r="C31" s="10">
        <v>23.713900922442701</v>
      </c>
      <c r="D31" s="10">
        <v>0.83367558391723895</v>
      </c>
      <c r="E31" s="10">
        <v>0.99907000000000001</v>
      </c>
      <c r="F31" s="10"/>
    </row>
    <row r="32" spans="1:6">
      <c r="A32" s="10">
        <v>31</v>
      </c>
      <c r="B32" s="10">
        <v>135</v>
      </c>
      <c r="C32" s="10">
        <v>23.847093120583899</v>
      </c>
      <c r="D32" s="10">
        <v>0.81270561920670703</v>
      </c>
      <c r="E32" s="10">
        <v>0.99858999999999998</v>
      </c>
      <c r="F32" s="10"/>
    </row>
    <row r="33" spans="1:6">
      <c r="A33" s="10">
        <v>32</v>
      </c>
      <c r="B33" s="10">
        <v>135</v>
      </c>
      <c r="C33" s="10">
        <v>23.847295309529802</v>
      </c>
      <c r="D33" s="10">
        <v>0.82069695368451601</v>
      </c>
      <c r="E33" s="10">
        <v>0.99848000000000003</v>
      </c>
      <c r="F33" s="10"/>
    </row>
    <row r="34" spans="1:6">
      <c r="A34" s="10">
        <v>33</v>
      </c>
      <c r="B34" s="10">
        <v>136</v>
      </c>
      <c r="C34" s="10">
        <v>23.7743693724134</v>
      </c>
      <c r="D34" s="10">
        <v>0.82339348040018601</v>
      </c>
      <c r="E34" s="10">
        <v>0.99899000000000004</v>
      </c>
      <c r="F34" s="10"/>
    </row>
    <row r="35" spans="1:6">
      <c r="A35" s="10">
        <v>34</v>
      </c>
      <c r="B35" s="10">
        <v>136</v>
      </c>
      <c r="C35" s="10">
        <v>25.1751952009574</v>
      </c>
      <c r="D35" s="10">
        <v>0.81124864855673495</v>
      </c>
      <c r="E35" s="10">
        <v>0.99866999999999995</v>
      </c>
      <c r="F35" s="10"/>
    </row>
    <row r="36" spans="1:6">
      <c r="A36" s="10">
        <v>35</v>
      </c>
      <c r="B36" s="10">
        <v>136</v>
      </c>
      <c r="C36" s="10">
        <v>25.217005367793401</v>
      </c>
      <c r="D36" s="10">
        <v>0.79692379286071502</v>
      </c>
      <c r="E36" s="10">
        <v>0.99872000000000005</v>
      </c>
      <c r="F36" s="10"/>
    </row>
    <row r="37" spans="1:6">
      <c r="A37" s="10">
        <v>36</v>
      </c>
      <c r="B37" s="10">
        <v>136</v>
      </c>
      <c r="C37" s="10">
        <v>25.212994599664601</v>
      </c>
      <c r="D37" s="10">
        <v>0.80252594251335196</v>
      </c>
      <c r="E37" s="10">
        <v>0.99880999999999998</v>
      </c>
      <c r="F37" s="10"/>
    </row>
    <row r="38" spans="1:6">
      <c r="A38" s="10">
        <v>37</v>
      </c>
      <c r="B38" s="10">
        <v>137</v>
      </c>
      <c r="C38" s="10">
        <v>25.265234698875702</v>
      </c>
      <c r="D38" s="10">
        <v>0.78730295399157901</v>
      </c>
      <c r="E38" s="10">
        <v>0.99895</v>
      </c>
      <c r="F38" s="10"/>
    </row>
    <row r="39" spans="1:6">
      <c r="A39" s="10">
        <v>38</v>
      </c>
      <c r="B39" s="10">
        <v>137</v>
      </c>
      <c r="C39" s="10">
        <v>21.646030473917801</v>
      </c>
      <c r="D39" s="10">
        <v>0.82303430750520501</v>
      </c>
      <c r="E39" s="10">
        <v>0.99878</v>
      </c>
      <c r="F39" s="10"/>
    </row>
    <row r="40" spans="1:6">
      <c r="A40" s="10">
        <v>39</v>
      </c>
      <c r="B40" s="10">
        <v>137</v>
      </c>
      <c r="C40" s="10">
        <v>21.786296806735901</v>
      </c>
      <c r="D40" s="10">
        <v>0.821254553068689</v>
      </c>
      <c r="E40" s="10">
        <v>0.99834999999999996</v>
      </c>
      <c r="F40" s="10"/>
    </row>
    <row r="41" spans="1:6">
      <c r="A41" s="10">
        <v>40</v>
      </c>
      <c r="B41" s="10">
        <v>137</v>
      </c>
      <c r="C41" s="10">
        <v>21.710428534854799</v>
      </c>
      <c r="D41" s="10">
        <v>0.820296076250002</v>
      </c>
      <c r="E41" s="10">
        <v>0.99843999999999999</v>
      </c>
      <c r="F41" s="10"/>
    </row>
    <row r="42" spans="1:6">
      <c r="A42" s="10">
        <v>41</v>
      </c>
      <c r="B42" s="10" t="s">
        <v>7</v>
      </c>
      <c r="C42" s="10">
        <v>21.7974897871621</v>
      </c>
      <c r="D42" s="10">
        <v>0.81003512099253305</v>
      </c>
      <c r="E42" s="10">
        <v>0.99778999999999995</v>
      </c>
      <c r="F42" s="10"/>
    </row>
    <row r="43" spans="1:6">
      <c r="A43" s="10">
        <v>42</v>
      </c>
      <c r="B43" s="10" t="s">
        <v>7</v>
      </c>
      <c r="C43" s="10">
        <v>37.501235944823797</v>
      </c>
      <c r="D43" s="10">
        <v>0.45264587951593199</v>
      </c>
      <c r="E43" s="10">
        <v>0.99353999999999998</v>
      </c>
      <c r="F43" s="10"/>
    </row>
    <row r="44" spans="1:6">
      <c r="A44" s="10">
        <v>43</v>
      </c>
      <c r="B44" s="10" t="s">
        <v>7</v>
      </c>
      <c r="C44" s="10">
        <v>35.383184692435897</v>
      </c>
      <c r="D44" s="10">
        <v>0.59251128264716202</v>
      </c>
      <c r="E44" s="10">
        <v>0.99824999999999997</v>
      </c>
      <c r="F44" s="10"/>
    </row>
    <row r="45" spans="1:6">
      <c r="A45" s="10">
        <v>44</v>
      </c>
      <c r="B45" s="10" t="s">
        <v>7</v>
      </c>
      <c r="C45" s="10">
        <v>34.478800478888701</v>
      </c>
      <c r="D45" s="10">
        <v>0.62806478520870401</v>
      </c>
      <c r="E45" s="10">
        <v>0.99851999999999996</v>
      </c>
      <c r="F45" s="10"/>
    </row>
    <row r="46" spans="1:6">
      <c r="A46" s="10">
        <v>45</v>
      </c>
      <c r="B46" s="10" t="s">
        <v>8</v>
      </c>
      <c r="C46" s="10">
        <v>35.117590423560898</v>
      </c>
      <c r="D46" s="10">
        <v>0.62246083314398304</v>
      </c>
      <c r="E46" s="10">
        <v>0.99836000000000003</v>
      </c>
      <c r="F46" s="10"/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128</v>
      </c>
      <c r="B2">
        <f>IF('177T'!C2="", "", '177T'!C2)</f>
        <v>-1</v>
      </c>
      <c r="C2">
        <f>IF('18S2'!C2="", "", '18S2'!C2)</f>
        <v>-1</v>
      </c>
      <c r="D2">
        <f>IF(RNAseP!C2="", "", RNAseP!C2)</f>
        <v>-1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-1</v>
      </c>
      <c r="H2" s="3" t="str" cm="1">
        <f t="array" ref="H2">INDEX(Decision!$D$1:$D$28, MATCH(E2&amp;F2&amp;G2, Decision!$A$1:$A$28&amp;Decision!$B$1:$B$28&amp;Decision!$C$1:$C$28, 0))</f>
        <v>F</v>
      </c>
      <c r="I2" t="str" cm="1">
        <f t="array" ref="I2">INDEX(Decision!$E$1:$E$28, MATCH(E2&amp;F2&amp;G2, Decision!$A$1:$A$28&amp;Decision!$B$1:$B$28&amp;Decision!$C$1:$C$28, 0))</f>
        <v>extraction fail</v>
      </c>
    </row>
    <row r="3" spans="1:9">
      <c r="A3">
        <f>IF(AND('177T'!B3 = '18S2'!B3, '177T'!B3 = RNAseP!B3, '177T'!B3 &lt;&gt; ""), '177T'!B3, IF('177T'!B3 = "", "", "Mismatch"))</f>
        <v>128</v>
      </c>
      <c r="B3">
        <f>IF('177T'!C3="", "", '177T'!C3)</f>
        <v>-1</v>
      </c>
      <c r="C3">
        <f>IF('18S2'!C3="", "", '18S2'!C3)</f>
        <v>-1</v>
      </c>
      <c r="D3">
        <f>IF(RNAseP!C3="", "", RNAseP!C3)</f>
        <v>23.008030133627901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128</v>
      </c>
      <c r="B4">
        <f>IF('177T'!C4="", "", '177T'!C4)</f>
        <v>-1</v>
      </c>
      <c r="C4">
        <f>IF('18S2'!C4="", "", '18S2'!C4)</f>
        <v>-1</v>
      </c>
      <c r="D4">
        <f>IF(RNAseP!C4="", "", RNAseP!C4)</f>
        <v>23.125655891456201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128</v>
      </c>
      <c r="B5">
        <f>IF('177T'!C5="", "", '177T'!C5)</f>
        <v>-1</v>
      </c>
      <c r="C5">
        <f>IF('18S2'!C5="", "", '18S2'!C5)</f>
        <v>-1</v>
      </c>
      <c r="D5">
        <f>IF(RNAseP!C5="", "", RNAseP!C5)</f>
        <v>23.158276026489801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129</v>
      </c>
      <c r="B6">
        <f>IF('177T'!C6="", "", '177T'!C6)</f>
        <v>-1</v>
      </c>
      <c r="C6">
        <f>IF('18S2'!C6="", "", '18S2'!C6)</f>
        <v>-1</v>
      </c>
      <c r="D6">
        <f>IF(RNAseP!C6="", "", RNAseP!C6)</f>
        <v>23.1069910331308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129</v>
      </c>
      <c r="B7">
        <f>IF('177T'!C7="", "", '177T'!C7)</f>
        <v>-1</v>
      </c>
      <c r="C7">
        <f>IF('18S2'!C7="", "", '18S2'!C7)</f>
        <v>-1</v>
      </c>
      <c r="D7">
        <f>IF(RNAseP!C7="", "", RNAseP!C7)</f>
        <v>22.7986189843913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129</v>
      </c>
      <c r="B8">
        <f>IF('177T'!C8="", "", '177T'!C8)</f>
        <v>-1</v>
      </c>
      <c r="C8">
        <f>IF('18S2'!C8="", "", '18S2'!C8)</f>
        <v>-1</v>
      </c>
      <c r="D8">
        <f>IF(RNAseP!C8="", "", RNAseP!C8)</f>
        <v>22.694366117283099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129</v>
      </c>
      <c r="B9">
        <f>IF('177T'!C9="", "", '177T'!C9)</f>
        <v>-1</v>
      </c>
      <c r="C9">
        <f>IF('18S2'!C9="", "", '18S2'!C9)</f>
        <v>-1</v>
      </c>
      <c r="D9">
        <f>IF(RNAseP!C9="", "", RNAseP!C9)</f>
        <v>22.692887071587101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130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22.643703444597801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130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23.074116779439802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130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23.100681162977502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130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23.1610271393305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131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22.945754914917799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131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22.593975275876801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131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22.632378267272902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131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22.6464964012503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132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22.591290508337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132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22.8012811231517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132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22.896176368468701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132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22.711569532121501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133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22.760623232968801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133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25.099950857952201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133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25.2216847989366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133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25.320051588613001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134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25.403060219355702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134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26.1134242730759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134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26.1714907198429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134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26.049393020701899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135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26.108453541342101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135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23.713900922442701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135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23.847093120583899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135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23.847295309529802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136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23.7743693724134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136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25.1751952009574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136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25.217005367793401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136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25.212994599664601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137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25.265234698875702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137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21.646030473917801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137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21.786296806735901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137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21.710428534854799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-1</v>
      </c>
      <c r="C42">
        <f>IF('18S2'!C42="", "", '18S2'!C42)</f>
        <v>-1</v>
      </c>
      <c r="D42">
        <f>IF(RNAseP!C42="", "", RNAseP!C42)</f>
        <v>21.7974897871621</v>
      </c>
      <c r="E42" s="3" t="str">
        <f>IF(B42=-1, "-1", IF(B42&lt;VLOOKUP("177T", Cutoff!$A$1:$B$4, 2, FALSE), "1", "0"))</f>
        <v>-1</v>
      </c>
      <c r="F42" s="3" t="str">
        <f>IF(C42=-1, "-1", IF(C42&lt;VLOOKUP("18S2", Cutoff!$A$1:$B$4, 2, FALSE), "1", "0"))</f>
        <v>-1</v>
      </c>
      <c r="G42" s="3" t="str">
        <f>IF(D42=-1, "-1", IF(D42&lt;VLOOKUP("RNAseP", Cutoff!$A$1:$B$4, 2, FALSE), "1", "0"))</f>
        <v>1</v>
      </c>
      <c r="H42" s="3" t="str" cm="1">
        <f t="array" ref="H42">INDEX(DecisionC!$E$1:$E$56, MATCH(A42&amp;E42&amp;F42&amp;G42, DecisionC!$A$1:$A$56&amp;DecisionC!$B$1:$B$56&amp;DecisionC!$C$1:$C$56&amp;DecisionC!$D$1:$D$56, 0))</f>
        <v>F</v>
      </c>
      <c r="I42" s="3" t="str" cm="1">
        <f t="array" ref="I42">INDEX(DecisionC!$F$1:$F$56, MATCH(A42&amp;E42&amp;F42&amp;G42, DecisionC!$A$1:$A$56&amp;DecisionC!$B$1:$B$56&amp;DecisionC!$C$1:$C$56&amp;DecisionC!$D$1:$D$56, 0))</f>
        <v>177T/18S2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23.443655949298499</v>
      </c>
      <c r="C43">
        <f>IF('18S2'!C43="", "", '18S2'!C43)</f>
        <v>21.288995635611101</v>
      </c>
      <c r="D43">
        <f>IF(RNAseP!C43="", "", RNAseP!C43)</f>
        <v>37.501235944823797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23.4335090591875</v>
      </c>
      <c r="C44">
        <f>IF('18S2'!C44="", "", '18S2'!C44)</f>
        <v>21.1646699614355</v>
      </c>
      <c r="D44">
        <f>IF(RNAseP!C44="", "", RNAseP!C44)</f>
        <v>35.383184692435897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23.365323999587499</v>
      </c>
      <c r="C45">
        <f>IF('18S2'!C45="", "", '18S2'!C45)</f>
        <v>21.1856498371193</v>
      </c>
      <c r="D45">
        <f>IF(RNAseP!C45="", "", RNAseP!C45)</f>
        <v>34.478800478888701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24.0428437424737</v>
      </c>
      <c r="C46">
        <f>IF('18S2'!C46="", "", '18S2'!C46)</f>
        <v>21.361414239582999</v>
      </c>
      <c r="D46">
        <f>IF(RNAseP!C46="", "", RNAseP!C46)</f>
        <v>35.117590423560898</v>
      </c>
      <c r="E46" s="3" t="str">
        <f>IF(B46=-1, "-1", IF(B46&lt;VLOOKUP("177T", Cutoff!$A$1:$B$4, 2, FALSE), "1", "0"))</f>
        <v>1</v>
      </c>
      <c r="F46" s="3" t="str">
        <f>IF(C46=-1, "-1", IF(C46&lt;VLOOKUP("18S2", Cutoff!$A$1:$B$4, 2, FALSE), "1", "0"))</f>
        <v>1</v>
      </c>
      <c r="G46" s="3" t="str">
        <f>IF(D46=-1, "-1", IF(D46&lt;VLOOKUP("RNAseP", Cutoff!$A$1:$B$4, 2, FALSE), "1", "0"))</f>
        <v>0</v>
      </c>
      <c r="H46" s="3" t="str" cm="1">
        <f t="array" ref="H46">INDEX(DecisionC!$E$1:$E$56, MATCH(A46&amp;E46&amp;F46&amp;G46, DecisionC!$A$1:$A$56&amp;DecisionC!$B$1:$B$56&amp;DecisionC!$C$1:$C$56&amp;DecisionC!$D$1:$D$56, 0))</f>
        <v>F</v>
      </c>
      <c r="I46" s="3" t="str" cm="1">
        <f t="array" ref="I46">INDEX(DecisionC!$F$1:$F$56, MATCH(A46&amp;E46&amp;F46&amp;G46, DecisionC!$A$1:$A$56&amp;DecisionC!$B$1:$B$56&amp;DecisionC!$C$1:$C$56&amp;DecisionC!$D$1:$D$56, 0))</f>
        <v>177T/18S2/RNAseP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B25" sqref="B25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40</v>
      </c>
      <c r="B1" s="26"/>
    </row>
    <row r="3" spans="1:8">
      <c r="A3" s="27" t="s">
        <v>41</v>
      </c>
      <c r="B3" s="28"/>
      <c r="C3" s="30">
        <v>45902</v>
      </c>
      <c r="D3" s="30"/>
      <c r="E3" s="30"/>
      <c r="F3" s="30"/>
      <c r="G3" s="30"/>
    </row>
    <row r="4" spans="1:8">
      <c r="A4" s="27" t="s">
        <v>42</v>
      </c>
      <c r="B4" s="29"/>
      <c r="C4" s="31" t="s">
        <v>43</v>
      </c>
      <c r="D4" s="31"/>
      <c r="E4" s="31"/>
      <c r="F4" s="31"/>
      <c r="G4" s="31"/>
    </row>
    <row r="5" spans="1:8">
      <c r="A5" s="27" t="s">
        <v>44</v>
      </c>
      <c r="B5" s="28"/>
      <c r="C5" s="31" t="s">
        <v>45</v>
      </c>
      <c r="D5" s="31"/>
      <c r="E5" s="31"/>
      <c r="F5" s="31"/>
      <c r="G5" s="31"/>
    </row>
    <row r="6" spans="1:8">
      <c r="A6" s="27" t="s">
        <v>46</v>
      </c>
      <c r="B6" s="28"/>
      <c r="C6" s="31">
        <v>301</v>
      </c>
      <c r="D6" s="31"/>
      <c r="E6" s="31"/>
      <c r="F6" s="31"/>
      <c r="G6" s="31"/>
    </row>
    <row r="7" spans="1:8">
      <c r="A7" s="27" t="s">
        <v>47</v>
      </c>
      <c r="B7" s="28"/>
      <c r="C7" s="31">
        <v>66262118</v>
      </c>
      <c r="D7" s="31"/>
      <c r="E7" s="31"/>
      <c r="F7" s="31"/>
      <c r="G7" s="31"/>
    </row>
    <row r="8" spans="1:8">
      <c r="A8" s="27" t="s">
        <v>48</v>
      </c>
      <c r="B8" s="28"/>
      <c r="C8" s="30">
        <v>45771</v>
      </c>
      <c r="D8" s="30"/>
      <c r="E8" s="30"/>
      <c r="F8" s="30"/>
      <c r="G8" s="30"/>
    </row>
    <row r="9" spans="1:8">
      <c r="A9" s="27" t="s">
        <v>49</v>
      </c>
      <c r="B9" s="28"/>
      <c r="C9" s="30">
        <v>45771</v>
      </c>
      <c r="D9" s="30"/>
      <c r="E9" s="30"/>
      <c r="F9" s="30"/>
      <c r="G9" s="30"/>
    </row>
    <row r="10" spans="1:8">
      <c r="A10" s="27" t="s">
        <v>50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51</v>
      </c>
      <c r="B11" s="28"/>
      <c r="C11" s="30" t="s">
        <v>52</v>
      </c>
      <c r="D11" s="31"/>
      <c r="E11" s="31"/>
      <c r="F11" s="31"/>
      <c r="G11" s="31"/>
    </row>
    <row r="12" spans="1:8">
      <c r="A12" s="27" t="s">
        <v>53</v>
      </c>
      <c r="B12" s="28"/>
      <c r="C12" s="30">
        <v>45674</v>
      </c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54</v>
      </c>
      <c r="C15" s="13" t="s">
        <v>55</v>
      </c>
      <c r="D15" s="14" t="s">
        <v>9</v>
      </c>
      <c r="E15" s="15" t="s">
        <v>10</v>
      </c>
      <c r="F15" s="16" t="s">
        <v>11</v>
      </c>
      <c r="G15" s="23" t="s">
        <v>56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128</v>
      </c>
      <c r="B16" s="11">
        <v>2402564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23,1 +/- 0,1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129</v>
      </c>
      <c r="B17" s="11">
        <v>2500123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22,8 +/- 0,2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130</v>
      </c>
      <c r="B18" s="11">
        <v>2500122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 +/- 0,2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131</v>
      </c>
      <c r="B19" s="11">
        <v>2500129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22,7 +/- 0,2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132</v>
      </c>
      <c r="B20" s="11">
        <v>2402444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22,8 +/- 0,1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133</v>
      </c>
      <c r="B21" s="11">
        <v>2402285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24,6 +/- 1,2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134</v>
      </c>
      <c r="B22" s="11">
        <v>2402457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25,9 +/- 0,4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135</v>
      </c>
      <c r="B23" s="11">
        <v>2402580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24,4 +/- 1,2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136</v>
      </c>
      <c r="B24" s="11">
        <v>2402584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24,8 +/- 0,7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137</v>
      </c>
      <c r="B25" s="11">
        <v>2402576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22,6 +/- 1,8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23,4 +/- 0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21,2 +/- 0,1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32,3 +/- 7,1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>24</v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>21,4</v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35,1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57</v>
      </c>
      <c r="B29" s="13" t="s">
        <v>58</v>
      </c>
      <c r="C29" s="25" t="s">
        <v>59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60</v>
      </c>
      <c r="B30" s="18" t="s">
        <v>61</v>
      </c>
      <c r="C30" s="24" t="s">
        <v>62</v>
      </c>
      <c r="D30" s="24"/>
      <c r="E30" s="20"/>
    </row>
    <row r="31" spans="1:12">
      <c r="A31" s="18" t="s">
        <v>20</v>
      </c>
      <c r="B31" s="18" t="s">
        <v>21</v>
      </c>
      <c r="C31" s="24" t="s">
        <v>63</v>
      </c>
      <c r="D31" s="24"/>
      <c r="E31" s="20"/>
    </row>
    <row r="32" spans="1:12">
      <c r="A32" s="18" t="s">
        <v>22</v>
      </c>
      <c r="B32" s="18" t="s">
        <v>64</v>
      </c>
      <c r="C32" s="24" t="s">
        <v>65</v>
      </c>
      <c r="D32" s="24"/>
      <c r="E32" s="20"/>
    </row>
    <row r="33" spans="1:5">
      <c r="A33" s="18" t="s">
        <v>66</v>
      </c>
      <c r="B33" s="18" t="s">
        <v>67</v>
      </c>
      <c r="C33" s="24" t="s">
        <v>68</v>
      </c>
      <c r="D33" s="24"/>
      <c r="E33" s="20"/>
    </row>
    <row r="34" spans="1:5">
      <c r="A34" s="18" t="s">
        <v>17</v>
      </c>
      <c r="B34" s="18" t="s">
        <v>69</v>
      </c>
      <c r="C34" s="24" t="s">
        <v>70</v>
      </c>
      <c r="D34" s="24"/>
      <c r="E34" s="20"/>
    </row>
    <row r="35" spans="1:5">
      <c r="A35" s="18" t="s">
        <v>71</v>
      </c>
      <c r="B35" s="18" t="s">
        <v>72</v>
      </c>
      <c r="C35" s="24" t="s">
        <v>73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14" sqref="C14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74</v>
      </c>
      <c r="C1" s="2" t="s">
        <v>75</v>
      </c>
      <c r="D1" s="2" t="s">
        <v>55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128</v>
      </c>
      <c r="B2" s="3" t="str" cm="1">
        <f t="array" ref="B2">_xlfn.TEXTJOIN(", ", TRUE, IF(Analysis!$A$2:$A$82=A2, Analysis!$H$2:$H$82, ""))</f>
        <v>F, N, N, N</v>
      </c>
      <c r="C2" s="3" t="str" cm="1">
        <f t="array" ref="C2">_xlfn.TEXTJOIN(", ", TRUE, IF(Analysis!$A$2:$A$82=A2, Analysis!$I$2:$I$82, ""))</f>
        <v>extraction fail,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23,1 +/- 0,1</v>
      </c>
    </row>
    <row r="3" spans="1:11">
      <c r="A3" s="3">
        <f>Report!A17</f>
        <v>129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22,8 +/- 0,2</v>
      </c>
    </row>
    <row r="4" spans="1:11">
      <c r="A4" s="3">
        <f>Report!A18</f>
        <v>130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 +/- 0,2</v>
      </c>
    </row>
    <row r="5" spans="1:11">
      <c r="A5" s="3">
        <f>Report!A19</f>
        <v>131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22,7 +/- 0,2</v>
      </c>
    </row>
    <row r="6" spans="1:11">
      <c r="A6" s="3">
        <f>Report!A20</f>
        <v>132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22,8 +/- 0,1</v>
      </c>
    </row>
    <row r="7" spans="1:11">
      <c r="A7" s="3">
        <f>Report!A21</f>
        <v>133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24,6 +/- 1,2</v>
      </c>
      <c r="K7" s="4"/>
    </row>
    <row r="8" spans="1:11">
      <c r="A8" s="3">
        <f>Report!A22</f>
        <v>134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25,9 +/- 0,4</v>
      </c>
    </row>
    <row r="9" spans="1:11">
      <c r="A9" s="3">
        <f>Report!A23</f>
        <v>135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24,4 +/- 1,2</v>
      </c>
    </row>
    <row r="10" spans="1:11">
      <c r="A10" s="3">
        <f>Report!A24</f>
        <v>136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24,8 +/- 0,7</v>
      </c>
    </row>
    <row r="11" spans="1:11">
      <c r="A11" s="3">
        <f>Report!A25</f>
        <v>137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22,6 +/- 1,8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F, OK, OK, OK</v>
      </c>
      <c r="C12" s="3" t="str" cm="1">
        <f t="array" ref="C12">_xlfn.TEXTJOIN(", ", TRUE, IF(Analysis!$A$2:$A$82=A12, Analysis!$I$2:$I$82, ""))</f>
        <v>177T/18S2,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23,4 +/- 0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21,2 +/- 0,1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32,3 +/- 7,1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F, OK, OK, OK</v>
      </c>
      <c r="C13" s="3" t="str" cm="1">
        <f t="array" ref="C13">_xlfn.TEXTJOIN(", ", TRUE, IF(Analysis!$A$2:$A$82=A13, Analysis!$I$2:$I$82, ""))</f>
        <v>177T/18S2/RNAseP,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>24</v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>21,4</v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35,1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2025-09-05T09:15:14+00:00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3D8F97-8662-43E3-A19C-C5578DEB377C}"/>
</file>

<file path=customXml/itemProps2.xml><?xml version="1.0" encoding="utf-8"?>
<ds:datastoreItem xmlns:ds="http://schemas.openxmlformats.org/officeDocument/2006/customXml" ds:itemID="{09CB0012-7011-4B88-9C64-FDBE0D0CDF92}"/>
</file>

<file path=customXml/itemProps3.xml><?xml version="1.0" encoding="utf-8"?>
<ds:datastoreItem xmlns:ds="http://schemas.openxmlformats.org/officeDocument/2006/customXml" ds:itemID="{576F3E64-ADC1-4112-82F5-616738C7F4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Nick Van Reet</cp:lastModifiedBy>
  <cp:revision/>
  <dcterms:created xsi:type="dcterms:W3CDTF">2024-04-13T12:12:20Z</dcterms:created>
  <dcterms:modified xsi:type="dcterms:W3CDTF">2025-09-10T11:00:05Z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