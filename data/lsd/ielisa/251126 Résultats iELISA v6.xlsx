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6 - iELISA\0602 - Résults iELISA\"/>
    </mc:Choice>
  </mc:AlternateContent>
  <xr:revisionPtr revIDLastSave="0" documentId="13_ncr:1_{09653902-BD83-4D3E-9C9C-D436B267C549}" xr6:coauthVersionLast="47" xr6:coauthVersionMax="47" xr10:uidLastSave="{00000000-0000-0000-0000-000000000000}"/>
  <bookViews>
    <workbookView xWindow="14865" yWindow="6135" windowWidth="13935" windowHeight="9345" activeTab="2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7" i="2"/>
  <c r="G5" i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14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H14" i="2" s="1"/>
  <c r="D33" i="1"/>
  <c r="D48" i="2" s="1"/>
  <c r="E48" i="2" s="1"/>
  <c r="C34" i="1"/>
  <c r="D53" i="2" s="1"/>
  <c r="E53" i="2" s="1"/>
  <c r="C33" i="1"/>
  <c r="D47" i="2" s="1"/>
  <c r="E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K33" i="1"/>
  <c r="F49" i="2" s="1"/>
  <c r="G49" i="2" s="1"/>
  <c r="E34" i="1"/>
  <c r="D55" i="2" s="1"/>
  <c r="E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H24" i="2" s="1"/>
  <c r="B31" i="1"/>
  <c r="D34" i="2" s="1"/>
  <c r="E34" i="2" s="1"/>
  <c r="H34" i="2" s="1"/>
  <c r="C32" i="1"/>
  <c r="D41" i="2" s="1"/>
  <c r="E41" i="2" s="1"/>
  <c r="E32" i="1"/>
  <c r="D43" i="2" s="1"/>
  <c r="E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H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3" i="2" l="1"/>
  <c r="H48" i="2"/>
  <c r="H38" i="2"/>
  <c r="H43" i="2"/>
  <c r="H55" i="2"/>
  <c r="H47" i="2"/>
  <c r="H35" i="2"/>
  <c r="H37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<sst xmlns="http://schemas.openxmlformats.org/spreadsheetml/2006/main" count="155" uniqueCount="92">
  <si>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</si>
  <si>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</si>
  <si>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</si>
  <si>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Operateur</t>
  </si>
  <si>
    <t>LC/HM/DK</t>
  </si>
  <si>
    <t>Numéro du lot iELISA</t>
  </si>
  <si>
    <t>N de seriés d'échantillons</t>
  </si>
  <si>
    <t>Étude/origin</t>
  </si>
  <si>
    <t>DP ET DA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</si>
  <si>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</si>
  <si>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</si>
  <si>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</si>
  <si>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</si>
  <si>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</si>
  <si>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</si>
  <si>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</si>
  <si>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</si>
  <si>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</si>
  <si>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</si>
  <si>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</si>
  <si>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</si>
  <si>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</si>
  <si>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</si>
  <si>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</si>
  <si>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</si>
  <si>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</si>
  <si>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</si>
  <si>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</si>
  <si>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</si>
  <si>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</si>
  <si>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</si>
  <si>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</si>
  <si>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</si>
  <si>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</si>
  <si>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</si>
  <si>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</si>
  <si>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</si>
  <si>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</si>
  <si>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</si>
  <si>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</si>
  <si>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</si>
  <si>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</si>
  <si>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</si>
  <si>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</si>
  <si>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</si>
  <si>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</si>
  <si>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</si>
  <si>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</si>
  <si>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</si>
  <si>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</si>
  <si>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</si>
  <si>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</si>
  <si>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</si>
  <si>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</si>
  <si>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</si>
  <si>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</si>
  <si>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</si>
  <si>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</si>
  <si>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</si>
  <si>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</si>
  <si>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</si>
  <si>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</si>
  <si>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</si>
  <si>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</si>
  <si>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</si>
  <si>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</si>
  <si>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</si>
  <si>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</si>
  <si>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</si>
  <si>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</si>
  <si>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</si>
  <si>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</si>
  <si>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</si>
  <si>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</si>
  <si>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</si>
  <si>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</si>
  <si>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</si>
  <si>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</si>
  <si>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</si>
  <si>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</si>
  <si>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</si>
  <si>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</si>
  <si>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</si>
  <si>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</si>
  <si>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</si>
  <si>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N° du lot du kit</t>
  </si>
  <si>
    <t>Etude/origine</t>
  </si>
  <si>
    <t>Résultat final</t>
  </si>
  <si>
    <t>Pourcentage d'inhibition</t>
  </si>
  <si>
    <t>Résultat</t>
  </si>
  <si>
    <t>Commentaire (en cas de problème ou irrégularité)</t>
  </si>
  <si>
    <t>Validation (Echec/Valide)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</si>
</sst>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zoomScaleNormal="100" workbookViewId="0">
      <selection activeCell="C10" sqref="C10"/>
    </sheetView>
  </sheetViews>
  <sheetFormatPr defaultColWidth="9.140625" defaultRowHeight="1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>
      <c r="A1" s="56" t="s">
        <v>0</v>
      </c>
      <c r="B1" s="56"/>
      <c r="C1" s="56"/>
      <c r="D1" s="56"/>
    </row>
    <row r="3" spans="1:5" ht="18">
      <c r="A3" s="12" t="s">
        <v>1</v>
      </c>
      <c r="B3" s="12"/>
    </row>
    <row r="6" spans="1:5">
      <c r="A6" s="16" t="s">
        <v>2</v>
      </c>
      <c r="B6" s="16"/>
      <c r="C6" s="17">
        <v>45987</v>
      </c>
    </row>
    <row r="7" spans="1:5">
      <c r="A7" s="16" t="s">
        <v>3</v>
      </c>
      <c r="B7" s="16"/>
      <c r="C7" s="19" t="s">
        <v>4</v>
      </c>
    </row>
    <row r="8" spans="1:5">
      <c r="A8" s="16" t="s">
        <v>5</v>
      </c>
      <c r="B8" s="16"/>
      <c r="C8" s="19">
        <v>3915223</v>
      </c>
    </row>
    <row r="9" spans="1:5">
      <c r="A9" s="16" t="s">
        <v>6</v>
      </c>
      <c r="B9" s="16"/>
      <c r="C9" s="19">
        <v>11</v>
      </c>
    </row>
    <row r="10" spans="1:5">
      <c r="A10" s="16" t="s">
        <v>7</v>
      </c>
      <c r="B10" s="16"/>
      <c r="C10" s="19" t="s">
        <v>8</v>
      </c>
    </row>
    <row r="11" spans="1:5">
      <c r="A11" s="16"/>
      <c r="B11" s="16"/>
    </row>
    <row r="14" spans="1:5" ht="27.95" customHeight="1">
      <c r="A14" s="13" t="s">
        <v>9</v>
      </c>
      <c r="B14" s="13" t="s">
        <v>10</v>
      </c>
      <c r="C14" s="13" t="s">
        <v>11</v>
      </c>
      <c r="D14" s="13" t="s">
        <v>12</v>
      </c>
      <c r="E14" s="14"/>
    </row>
    <row r="15" spans="1:5" ht="20.45" customHeight="1">
      <c r="A15" s="15" t="s">
        <v>13</v>
      </c>
      <c r="B15" s="19">
        <v>486</v>
      </c>
      <c r="C15" s="19">
        <v>2500825</v>
      </c>
      <c r="D15" s="20"/>
      <c r="E15" s="14"/>
    </row>
    <row r="16" spans="1:5" ht="20.100000000000001" customHeight="1">
      <c r="A16" s="15" t="s">
        <v>14</v>
      </c>
      <c r="B16" s="19">
        <v>487</v>
      </c>
      <c r="C16" s="19">
        <v>2500812</v>
      </c>
      <c r="D16" s="20"/>
      <c r="E16" s="14"/>
    </row>
    <row r="17" spans="1:5" ht="20.45" customHeight="1">
      <c r="A17" s="15" t="s">
        <v>15</v>
      </c>
      <c r="B17" s="19">
        <v>488</v>
      </c>
      <c r="C17" s="19">
        <v>2500846</v>
      </c>
      <c r="D17" s="20"/>
      <c r="E17" s="14"/>
    </row>
    <row r="18" spans="1:5" ht="20.45" customHeight="1">
      <c r="A18" s="15" t="s">
        <v>16</v>
      </c>
      <c r="B18" s="19">
        <v>489</v>
      </c>
      <c r="C18" s="19">
        <v>2501005</v>
      </c>
      <c r="D18" s="20"/>
      <c r="E18" s="14"/>
    </row>
    <row r="19" spans="1:5" ht="20.45" customHeight="1">
      <c r="A19" s="15" t="s">
        <v>17</v>
      </c>
      <c r="B19" s="19">
        <v>490</v>
      </c>
      <c r="C19" s="19">
        <v>2500857</v>
      </c>
      <c r="D19" s="20"/>
      <c r="E19" s="14"/>
    </row>
    <row r="20" spans="1:5" ht="20.45" customHeight="1">
      <c r="A20" s="15" t="s">
        <v>18</v>
      </c>
      <c r="B20" s="19">
        <v>491</v>
      </c>
      <c r="C20" s="19">
        <v>2501016</v>
      </c>
      <c r="D20" s="20"/>
      <c r="E20" s="14"/>
    </row>
    <row r="21" spans="1:5" ht="20.45" customHeight="1">
      <c r="A21" s="15" t="s">
        <v>19</v>
      </c>
      <c r="B21" s="19">
        <v>492</v>
      </c>
      <c r="C21" s="19">
        <v>2501036</v>
      </c>
      <c r="D21" s="20"/>
      <c r="E21" s="14"/>
    </row>
    <row r="22" spans="1:5" ht="20.45" customHeight="1">
      <c r="A22" s="15" t="s">
        <v>20</v>
      </c>
      <c r="B22" s="19">
        <v>493</v>
      </c>
      <c r="C22" s="19">
        <v>2500858</v>
      </c>
      <c r="D22" s="20"/>
      <c r="E22" s="14"/>
    </row>
    <row r="23" spans="1:5" ht="23.1" customHeight="1">
      <c r="A23" s="15" t="s">
        <v>21</v>
      </c>
      <c r="B23" s="19">
        <v>494</v>
      </c>
      <c r="C23" s="19">
        <v>2500855</v>
      </c>
      <c r="D23" s="20"/>
      <c r="E23" s="14"/>
    </row>
    <row r="24" spans="1:5" ht="20.45" customHeight="1">
      <c r="A24" s="15" t="s">
        <v>22</v>
      </c>
      <c r="B24" s="19">
        <v>495</v>
      </c>
      <c r="C24" s="19">
        <v>2501184</v>
      </c>
      <c r="D24" s="20"/>
      <c r="E24" s="14"/>
    </row>
    <row r="25" spans="1:5" ht="20.45" customHeight="1">
      <c r="A25" s="15" t="s">
        <v>23</v>
      </c>
      <c r="B25" s="19">
        <v>496</v>
      </c>
      <c r="C25" s="19">
        <v>2500806</v>
      </c>
      <c r="D25" s="20"/>
      <c r="E25" s="14"/>
    </row>
    <row r="26" spans="1:5" ht="20.45" customHeight="1">
      <c r="A26" s="15" t="s">
        <v>24</v>
      </c>
      <c r="B26" s="19">
        <v>497</v>
      </c>
      <c r="C26" s="19">
        <v>2500884</v>
      </c>
      <c r="D26" s="20"/>
      <c r="E26" s="14"/>
    </row>
    <row r="27" spans="1:5" ht="20.45" customHeight="1">
      <c r="A27" s="15" t="s">
        <v>25</v>
      </c>
      <c r="B27" s="19">
        <v>498</v>
      </c>
      <c r="C27" s="19">
        <v>2500807</v>
      </c>
      <c r="D27" s="20"/>
      <c r="E27" s="14"/>
    </row>
    <row r="28" spans="1:5" ht="20.45" customHeight="1">
      <c r="A28" s="15" t="s">
        <v>26</v>
      </c>
      <c r="B28" s="19">
        <v>499</v>
      </c>
      <c r="C28" s="19">
        <v>2400949</v>
      </c>
      <c r="D28" s="20"/>
      <c r="E28" s="14"/>
    </row>
    <row r="29" spans="1:5" ht="20.45" customHeight="1">
      <c r="A29" s="15" t="s">
        <v>27</v>
      </c>
      <c r="B29" s="19">
        <v>500</v>
      </c>
      <c r="C29" s="19">
        <v>2500883</v>
      </c>
      <c r="D29" s="20"/>
      <c r="E29" s="14"/>
    </row>
    <row r="30" spans="1:5" ht="20.45" customHeight="1">
      <c r="A30" s="15" t="s">
        <v>28</v>
      </c>
      <c r="B30" s="19">
        <v>501</v>
      </c>
      <c r="C30" s="19">
        <v>2500865</v>
      </c>
      <c r="D30" s="20"/>
      <c r="E30" s="14"/>
    </row>
    <row r="31" spans="1:5" ht="20.100000000000001" customHeight="1">
      <c r="A31" s="15" t="s">
        <v>29</v>
      </c>
      <c r="B31" s="19">
        <v>502</v>
      </c>
      <c r="C31" s="19">
        <v>2500706</v>
      </c>
      <c r="D31" s="20"/>
      <c r="E31" s="14"/>
    </row>
    <row r="32" spans="1:5" ht="20.45" customHeight="1">
      <c r="A32" s="15" t="s">
        <v>30</v>
      </c>
      <c r="B32" s="19">
        <v>503</v>
      </c>
      <c r="C32" s="19">
        <v>2501987</v>
      </c>
      <c r="D32" s="20"/>
      <c r="E32" s="14"/>
    </row>
    <row r="33" spans="1:5" ht="20.45" customHeight="1">
      <c r="A33" s="15" t="s">
        <v>31</v>
      </c>
      <c r="B33" s="19">
        <v>504</v>
      </c>
      <c r="C33" s="19">
        <v>2501032</v>
      </c>
      <c r="D33" s="20"/>
      <c r="E33" s="14"/>
    </row>
    <row r="34" spans="1:5" ht="20.45" customHeight="1">
      <c r="A34" s="15" t="s">
        <v>32</v>
      </c>
      <c r="B34" s="19">
        <v>505</v>
      </c>
      <c r="C34" s="19">
        <v>2501037</v>
      </c>
      <c r="D34" s="20"/>
      <c r="E34" s="14"/>
    </row>
    <row r="35" spans="1:5" ht="20.45" customHeight="1">
      <c r="A35" s="15" t="s">
        <v>33</v>
      </c>
      <c r="B35" s="19">
        <v>506</v>
      </c>
      <c r="C35" s="19">
        <v>2501038</v>
      </c>
      <c r="D35" s="20"/>
      <c r="E35" s="14"/>
    </row>
    <row r="36" spans="1:5" ht="20.45" customHeight="1">
      <c r="A36" s="15" t="s">
        <v>34</v>
      </c>
      <c r="B36" s="19">
        <v>507</v>
      </c>
      <c r="C36" s="19">
        <v>2501039</v>
      </c>
      <c r="D36" s="20"/>
      <c r="E36" s="14"/>
    </row>
    <row r="37" spans="1:5" ht="20.45" customHeight="1">
      <c r="A37" s="15" t="s">
        <v>35</v>
      </c>
      <c r="B37" s="19">
        <v>508</v>
      </c>
      <c r="C37" s="19">
        <v>2500851</v>
      </c>
      <c r="D37" s="20"/>
      <c r="E37" s="14"/>
    </row>
    <row r="38" spans="1:5" ht="20.100000000000001" customHeight="1">
      <c r="A38" s="15" t="s">
        <v>36</v>
      </c>
      <c r="B38" s="19">
        <v>509</v>
      </c>
      <c r="C38" s="19">
        <v>2501029</v>
      </c>
      <c r="D38" s="20"/>
      <c r="E38" s="14"/>
    </row>
    <row r="39" spans="1:5" ht="20.100000000000001" customHeight="1">
      <c r="A39" s="15" t="s">
        <v>37</v>
      </c>
      <c r="B39" s="19">
        <v>510</v>
      </c>
      <c r="C39" s="19">
        <v>2501006</v>
      </c>
      <c r="D39" s="20"/>
      <c r="E39" s="14"/>
    </row>
    <row r="40" spans="1:5" ht="20.45" customHeight="1">
      <c r="A40" s="15" t="s">
        <v>38</v>
      </c>
      <c r="B40" s="19">
        <v>511</v>
      </c>
      <c r="C40" s="19">
        <v>2500891</v>
      </c>
      <c r="D40" s="20"/>
      <c r="E40" s="14"/>
    </row>
    <row r="41" spans="1:5" ht="20.100000000000001" customHeight="1">
      <c r="A41" s="15" t="s">
        <v>39</v>
      </c>
      <c r="B41" s="19">
        <v>512</v>
      </c>
      <c r="C41" s="19">
        <v>2501030</v>
      </c>
      <c r="D41" s="20"/>
      <c r="E41" s="14"/>
    </row>
    <row r="42" spans="1:5" ht="20.45" customHeight="1">
      <c r="A42" s="15" t="s">
        <v>40</v>
      </c>
      <c r="B42" s="19">
        <v>513</v>
      </c>
      <c r="C42" s="19">
        <v>2501007</v>
      </c>
      <c r="D42" s="20"/>
      <c r="E42" s="14"/>
    </row>
    <row r="43" spans="1:5" ht="20.45" customHeight="1">
      <c r="A43" s="15" t="s">
        <v>41</v>
      </c>
      <c r="B43" s="19">
        <v>514</v>
      </c>
      <c r="C43" s="19">
        <v>2501011</v>
      </c>
      <c r="D43" s="20"/>
      <c r="E43" s="14"/>
    </row>
    <row r="44" spans="1:5" ht="20.45" customHeight="1">
      <c r="A44" s="15" t="s">
        <v>42</v>
      </c>
      <c r="B44" s="19">
        <v>515</v>
      </c>
      <c r="C44" s="19">
        <v>2501014</v>
      </c>
      <c r="D44" s="20"/>
      <c r="E44" s="14"/>
    </row>
    <row r="45" spans="1:5" ht="20.45" customHeight="1">
      <c r="A45" s="15" t="s">
        <v>43</v>
      </c>
      <c r="B45" s="19">
        <v>516</v>
      </c>
      <c r="C45" s="19">
        <v>2502731</v>
      </c>
      <c r="D45" s="20"/>
      <c r="E45" s="14"/>
    </row>
    <row r="46" spans="1:5" ht="20.45" customHeight="1">
      <c r="A46" s="15" t="s">
        <v>44</v>
      </c>
      <c r="B46" s="19">
        <v>517</v>
      </c>
      <c r="C46" s="19">
        <v>2503068</v>
      </c>
      <c r="D46" s="20"/>
      <c r="E46" s="14"/>
    </row>
    <row r="47" spans="1:5" ht="20.45" customHeight="1">
      <c r="A47" s="15" t="s">
        <v>45</v>
      </c>
      <c r="B47" s="19">
        <v>518</v>
      </c>
      <c r="C47" s="19">
        <v>2503015</v>
      </c>
      <c r="D47" s="20"/>
      <c r="E47" s="14"/>
    </row>
    <row r="48" spans="1:5" ht="20.45" customHeight="1">
      <c r="A48" s="15" t="s">
        <v>46</v>
      </c>
      <c r="B48" s="19">
        <v>519</v>
      </c>
      <c r="C48" s="19">
        <v>2503017</v>
      </c>
      <c r="D48" s="20"/>
      <c r="E48" s="14"/>
    </row>
    <row r="49" spans="1:5" ht="20.45" customHeight="1">
      <c r="A49" s="15" t="s">
        <v>47</v>
      </c>
      <c r="B49" s="19">
        <v>520</v>
      </c>
      <c r="C49" s="19">
        <v>2501003</v>
      </c>
      <c r="D49" s="20"/>
      <c r="E49" s="14"/>
    </row>
    <row r="50" spans="1:5" ht="20.45" customHeight="1">
      <c r="A50" s="15" t="s">
        <v>48</v>
      </c>
      <c r="B50" s="19">
        <v>521</v>
      </c>
      <c r="C50" s="19">
        <v>2500157</v>
      </c>
      <c r="D50" s="20"/>
      <c r="E50" s="14"/>
    </row>
    <row r="51" spans="1:5" ht="21.6" customHeight="1">
      <c r="A51" s="15" t="s">
        <v>49</v>
      </c>
      <c r="B51" s="19">
        <v>522</v>
      </c>
      <c r="C51" s="19">
        <v>2500118</v>
      </c>
      <c r="D51" s="20"/>
      <c r="E51" s="14"/>
    </row>
    <row r="52" spans="1:5" ht="20.45" customHeight="1">
      <c r="A52" s="15" t="s">
        <v>50</v>
      </c>
      <c r="B52" s="19">
        <v>523</v>
      </c>
      <c r="C52" s="19">
        <v>2500088</v>
      </c>
      <c r="D52" s="20"/>
      <c r="E52" s="14"/>
    </row>
    <row r="53" spans="1:5" ht="21.6" customHeight="1">
      <c r="A53" s="15" t="s">
        <v>51</v>
      </c>
      <c r="B53" s="19">
        <v>524</v>
      </c>
      <c r="C53" s="19">
        <v>2501946</v>
      </c>
      <c r="D53" s="20"/>
      <c r="E53" s="14"/>
    </row>
    <row r="54" spans="1:5" ht="20.100000000000001" customHeight="1">
      <c r="A54" s="15" t="s">
        <v>52</v>
      </c>
      <c r="B54" s="19">
        <v>525</v>
      </c>
      <c r="C54" s="19">
        <v>2501990</v>
      </c>
      <c r="D54" s="20"/>
      <c r="E54" s="14"/>
    </row>
    <row r="55" spans="1:5" ht="20.45" customHeight="1">
      <c r="A55" s="15" t="s">
        <v>53</v>
      </c>
      <c r="B55" s="19">
        <v>526</v>
      </c>
      <c r="C55" s="19">
        <v>2502603</v>
      </c>
      <c r="D55" s="20"/>
      <c r="E55" s="14"/>
    </row>
    <row r="56" spans="1:5" ht="20.45" customHeight="1">
      <c r="A56" s="15" t="s">
        <v>54</v>
      </c>
      <c r="B56" s="19">
        <v>527</v>
      </c>
      <c r="C56" s="19">
        <v>2501044</v>
      </c>
      <c r="D56" s="20"/>
      <c r="E56" s="14"/>
    </row>
    <row r="57" spans="1:5" ht="20.45" customHeight="1">
      <c r="A57" s="15" t="s">
        <v>55</v>
      </c>
      <c r="B57" s="19">
        <v>528</v>
      </c>
      <c r="C57" s="19">
        <v>2501043</v>
      </c>
      <c r="D57" s="20"/>
      <c r="E57" s="14"/>
    </row>
    <row r="58" spans="1:5" ht="20.100000000000001" customHeight="1">
      <c r="A58" s="15" t="s">
        <v>56</v>
      </c>
      <c r="B58" s="19">
        <v>529</v>
      </c>
      <c r="C58" s="19">
        <v>2501042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zoomScale="90" zoomScaleNormal="90" workbookViewId="0">
      <selection activeCell="B13" sqref="B13:M20"/>
    </sheetView>
  </sheetViews>
  <sheetFormatPr defaultColWidth="10.85546875" defaultRowHeight="15"/>
  <cols>
    <col min="2" max="13" width="13.85546875" customWidth="1"/>
  </cols>
  <sheetData>
    <row r="1" spans="1:13" ht="18.75">
      <c r="A1" s="1" t="s">
        <v>57</v>
      </c>
      <c r="B1" s="1"/>
      <c r="C1" s="1"/>
    </row>
    <row r="2" spans="1:13" ht="18.75">
      <c r="A2" s="1"/>
      <c r="B2" s="1"/>
      <c r="C2" s="1"/>
    </row>
    <row r="3" spans="1:13" ht="18.75">
      <c r="A3" s="1" t="s">
        <v>58</v>
      </c>
      <c r="B3" s="1"/>
      <c r="C3" s="1"/>
    </row>
    <row r="4" spans="1:13" ht="18.75">
      <c r="A4" s="1"/>
      <c r="B4" s="1"/>
      <c r="C4" s="1"/>
    </row>
    <row r="5" spans="1:13" ht="15.95" customHeight="1">
      <c r="A5" s="70" t="s">
        <v>59</v>
      </c>
      <c r="B5" s="70"/>
      <c r="C5" s="21">
        <f>IF(ECHANTILLONS!C6="","",ECHANTILLONS!C6)</f>
        <v>45987</v>
      </c>
      <c r="E5" s="24"/>
      <c r="F5" s="25" t="s">
        <v>60</v>
      </c>
      <c r="G5" s="72" t="str">
        <f>IF(ECHANTILLONS!C10="","",ECHANTILLONS!C10)</f>
        <v>DP ET DA</v>
      </c>
      <c r="H5" s="72" t="str">
        <f>IF(ECHANTILLONS!F6="","",ECHANTILLONS!F6)</f>
        <v/>
      </c>
    </row>
    <row r="6" spans="1:13" ht="15.95" customHeight="1">
      <c r="A6" s="70" t="s">
        <v>61</v>
      </c>
      <c r="B6" s="70"/>
      <c r="C6" s="22" t="str">
        <f>IF(ECHANTILLONS!C7="","",ECHANTILLONS!C7)</f>
        <v>LC/HM/DK</v>
      </c>
    </row>
    <row r="7" spans="1:13" ht="15.95" customHeight="1">
      <c r="A7" s="70" t="s">
        <v>62</v>
      </c>
      <c r="B7" s="70"/>
      <c r="C7" s="22">
        <f>IF(ECHANTILLONS!C8="","",ECHANTILLONS!C8)</f>
        <v>3915223</v>
      </c>
    </row>
    <row r="8" spans="1:13" ht="15.95" customHeight="1">
      <c r="A8" s="70" t="s">
        <v>63</v>
      </c>
      <c r="B8" s="70"/>
      <c r="C8" s="22">
        <f>IF(ECHANTILLONS!C9="","",ECHANTILLONS!C9)</f>
        <v>11</v>
      </c>
    </row>
    <row r="9" spans="1:13" ht="15.95" customHeight="1">
      <c r="A9" s="70" t="s">
        <v>64</v>
      </c>
      <c r="B9" s="70"/>
      <c r="C9" s="23" t="s">
        <v>65</v>
      </c>
    </row>
    <row r="10" spans="1:13">
      <c r="C10" s="2"/>
    </row>
    <row r="12" spans="1:1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>
      <c r="A13" s="10" t="s">
        <v>66</v>
      </c>
      <c r="B13" s="18">
        <v>1.5069999999999999</v>
      </c>
      <c r="C13" s="18">
        <v>1.417</v>
      </c>
      <c r="D13" s="18">
        <v>0.503</v>
      </c>
      <c r="E13" s="18">
        <v>0.47099999999999997</v>
      </c>
      <c r="F13" s="18">
        <v>1.403</v>
      </c>
      <c r="G13" s="18">
        <v>1.429</v>
      </c>
      <c r="H13" s="18">
        <v>2.1520000000000001</v>
      </c>
      <c r="I13" s="18">
        <v>1.966</v>
      </c>
      <c r="J13" s="18">
        <v>0.79300000000000004</v>
      </c>
      <c r="K13" s="18">
        <v>0.80600000000000005</v>
      </c>
      <c r="L13" s="18">
        <v>2.2330000000000001</v>
      </c>
      <c r="M13" s="18">
        <v>2.379</v>
      </c>
    </row>
    <row r="14" spans="1:13">
      <c r="A14" s="10" t="s">
        <v>67</v>
      </c>
      <c r="B14" s="18">
        <v>1.3859999999999999</v>
      </c>
      <c r="C14" s="18">
        <v>1.274</v>
      </c>
      <c r="D14" s="18">
        <v>1.357</v>
      </c>
      <c r="E14" s="18">
        <v>1.222</v>
      </c>
      <c r="F14" s="18">
        <v>1.1000000000000001</v>
      </c>
      <c r="G14" s="18">
        <v>1.3979999999999999</v>
      </c>
      <c r="H14" s="18">
        <v>1.65</v>
      </c>
      <c r="I14" s="18">
        <v>1.704</v>
      </c>
      <c r="J14" s="18">
        <v>1.9870000000000001</v>
      </c>
      <c r="K14" s="18">
        <v>1.9410000000000001</v>
      </c>
      <c r="L14" s="18">
        <v>1.77</v>
      </c>
      <c r="M14" s="18">
        <v>2.0880000000000001</v>
      </c>
    </row>
    <row r="15" spans="1:13">
      <c r="A15" s="10" t="s">
        <v>68</v>
      </c>
      <c r="B15" s="18">
        <v>1.3759999999999999</v>
      </c>
      <c r="C15" s="18">
        <v>1.31</v>
      </c>
      <c r="D15" s="18">
        <v>1.248</v>
      </c>
      <c r="E15" s="18">
        <v>1.296</v>
      </c>
      <c r="F15" s="18">
        <v>1.272</v>
      </c>
      <c r="G15" s="18">
        <v>1.427</v>
      </c>
      <c r="H15" s="18">
        <v>1.952</v>
      </c>
      <c r="I15" s="18">
        <v>2.04</v>
      </c>
      <c r="J15" s="18">
        <v>1.6</v>
      </c>
      <c r="K15" s="18">
        <v>1.984</v>
      </c>
      <c r="L15" s="18">
        <v>1.841</v>
      </c>
      <c r="M15" s="18">
        <v>2.1880000000000002</v>
      </c>
    </row>
    <row r="16" spans="1:13">
      <c r="A16" s="10" t="s">
        <v>69</v>
      </c>
      <c r="B16" s="18">
        <v>1.6359999999999999</v>
      </c>
      <c r="C16" s="18">
        <v>1.496</v>
      </c>
      <c r="D16" s="18">
        <v>1.661</v>
      </c>
      <c r="E16" s="18">
        <v>1.4450000000000001</v>
      </c>
      <c r="F16" s="18">
        <v>1.4219999999999999</v>
      </c>
      <c r="G16" s="18">
        <v>1.4159999999999999</v>
      </c>
      <c r="H16" s="18">
        <v>1.911</v>
      </c>
      <c r="I16" s="18">
        <v>1.823</v>
      </c>
      <c r="J16" s="18">
        <v>1.847</v>
      </c>
      <c r="K16" s="18">
        <v>1.96</v>
      </c>
      <c r="L16" s="18">
        <v>2.1579999999999999</v>
      </c>
      <c r="M16" s="18">
        <v>2.1080000000000001</v>
      </c>
    </row>
    <row r="17" spans="1:13">
      <c r="A17" s="10" t="s">
        <v>70</v>
      </c>
      <c r="B17" s="18">
        <v>1.5469999999999999</v>
      </c>
      <c r="C17" s="18">
        <v>1.4890000000000001</v>
      </c>
      <c r="D17" s="18">
        <v>1.4430000000000001</v>
      </c>
      <c r="E17" s="18">
        <v>1.492</v>
      </c>
      <c r="F17" s="18">
        <v>1.365</v>
      </c>
      <c r="G17" s="18">
        <v>1.42</v>
      </c>
      <c r="H17" s="18">
        <v>1.7969999999999999</v>
      </c>
      <c r="I17" s="18">
        <v>1.768</v>
      </c>
      <c r="J17" s="18">
        <v>1.843</v>
      </c>
      <c r="K17" s="18">
        <v>1.956</v>
      </c>
      <c r="L17" s="18">
        <v>1.752</v>
      </c>
      <c r="M17" s="18">
        <v>2.097</v>
      </c>
    </row>
    <row r="18" spans="1:13">
      <c r="A18" s="10" t="s">
        <v>71</v>
      </c>
      <c r="B18" s="18">
        <v>1.859</v>
      </c>
      <c r="C18" s="18">
        <v>1.6140000000000001</v>
      </c>
      <c r="D18" s="18">
        <v>1.7669999999999999</v>
      </c>
      <c r="E18" s="18">
        <v>1.554</v>
      </c>
      <c r="F18" s="18">
        <v>1.6970000000000001</v>
      </c>
      <c r="G18" s="18">
        <v>1.54</v>
      </c>
      <c r="H18" s="18">
        <v>2.04</v>
      </c>
      <c r="I18" s="18">
        <v>1.968</v>
      </c>
      <c r="J18" s="18">
        <v>1.984</v>
      </c>
      <c r="K18" s="18">
        <v>2.206</v>
      </c>
      <c r="L18" s="18">
        <v>2.0059999999999998</v>
      </c>
      <c r="M18" s="18">
        <v>2.5750000000000002</v>
      </c>
    </row>
    <row r="19" spans="1:13">
      <c r="A19" s="10" t="s">
        <v>72</v>
      </c>
      <c r="B19" s="18">
        <v>1.76</v>
      </c>
      <c r="C19" s="18">
        <v>1.8620000000000001</v>
      </c>
      <c r="D19" s="18">
        <v>1.89</v>
      </c>
      <c r="E19" s="18">
        <v>1.998</v>
      </c>
      <c r="F19" s="18">
        <v>1.972</v>
      </c>
      <c r="G19" s="18">
        <v>1.1779999999999999</v>
      </c>
      <c r="H19" s="18">
        <v>2.6930000000000001</v>
      </c>
      <c r="I19" s="18">
        <v>2.738</v>
      </c>
      <c r="J19" s="18">
        <v>2.706</v>
      </c>
      <c r="K19" s="18">
        <v>2.6139999999999999</v>
      </c>
      <c r="L19" s="18">
        <v>2.6720000000000002</v>
      </c>
      <c r="M19" s="18">
        <v>0.50700000000000001</v>
      </c>
    </row>
    <row r="20" spans="1:13">
      <c r="A20" s="9" t="s">
        <v>73</v>
      </c>
      <c r="B20" s="18">
        <v>1.718</v>
      </c>
      <c r="C20" s="18">
        <v>1.673</v>
      </c>
      <c r="D20" s="18">
        <v>1.768</v>
      </c>
      <c r="E20" s="18">
        <v>1.6439999999999999</v>
      </c>
      <c r="F20" s="18">
        <v>2.0369999999999999</v>
      </c>
      <c r="G20" s="18">
        <v>1.9330000000000001</v>
      </c>
      <c r="H20" s="18">
        <v>2.6259999999999999</v>
      </c>
      <c r="I20" s="18">
        <v>2.742</v>
      </c>
      <c r="J20" s="18">
        <v>2.2480000000000002</v>
      </c>
      <c r="K20" s="18">
        <v>2.2629999999999999</v>
      </c>
      <c r="L20" s="18">
        <v>2.4119999999999999</v>
      </c>
      <c r="M20" s="18">
        <v>2.3260000000000001</v>
      </c>
    </row>
    <row r="21" spans="1:13" s="4" customFormat="1">
      <c r="A21" s="5"/>
    </row>
    <row r="22" spans="1:13">
      <c r="A22" s="5"/>
      <c r="B22" s="59" t="s">
        <v>74</v>
      </c>
      <c r="C22" s="71"/>
      <c r="D22" s="71"/>
      <c r="E22" s="71"/>
      <c r="F22" s="71"/>
      <c r="G22" s="60"/>
      <c r="H22" s="61" t="s">
        <v>75</v>
      </c>
      <c r="I22" s="69"/>
      <c r="J22" s="69"/>
      <c r="K22" s="69"/>
      <c r="L22" s="69"/>
      <c r="M22" s="62"/>
    </row>
    <row r="23" spans="1:13">
      <c r="A23" s="3"/>
      <c r="B23" s="59" t="s">
        <v>76</v>
      </c>
      <c r="C23" s="60"/>
      <c r="D23" s="59" t="s">
        <v>77</v>
      </c>
      <c r="E23" s="60"/>
      <c r="F23" s="59" t="s">
        <v>78</v>
      </c>
      <c r="G23" s="60"/>
      <c r="H23" s="61" t="s">
        <v>79</v>
      </c>
      <c r="I23" s="62"/>
      <c r="J23" s="61" t="s">
        <v>80</v>
      </c>
      <c r="K23" s="62"/>
      <c r="L23" s="61" t="s">
        <v>81</v>
      </c>
      <c r="M23" s="62"/>
    </row>
    <row r="24" spans="1:13">
      <c r="A24" s="3"/>
      <c r="B24" s="63">
        <f>(B13+C13)/2</f>
        <v>1.462</v>
      </c>
      <c r="C24" s="64"/>
      <c r="D24" s="63">
        <f>(D13+E13)/2</f>
        <v>0.48699999999999999</v>
      </c>
      <c r="E24" s="64"/>
      <c r="F24" s="65">
        <f>100-(D24/B24*100)</f>
        <v>66.689466484268138</v>
      </c>
      <c r="G24" s="66"/>
      <c r="H24" s="67">
        <f>(H13+I13)/2</f>
        <v>2.0590000000000002</v>
      </c>
      <c r="I24" s="68"/>
      <c r="J24" s="67">
        <f>(J13+K13)/2</f>
        <v>0.7995000000000001</v>
      </c>
      <c r="K24" s="68"/>
      <c r="L24" s="57">
        <f>100-(J24/H24*100)</f>
        <v>61.170471102476931</v>
      </c>
      <c r="M24" s="58"/>
    </row>
    <row r="25" spans="1:13">
      <c r="A25" s="3"/>
    </row>
    <row r="26" spans="1:1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>
      <c r="A27" s="3" t="s">
        <v>66</v>
      </c>
      <c r="B27" s="8"/>
      <c r="C27" s="8"/>
      <c r="D27" s="8"/>
      <c r="E27" s="8"/>
      <c r="F27" s="7">
        <f>IF(F13="","",100-F13/$B$24*100)</f>
        <v>4.0355677154582708</v>
      </c>
      <c r="G27" s="7">
        <f>IF(G13="","",100-G13/$B$24*100)</f>
        <v>2.2571819425444488</v>
      </c>
      <c r="H27" s="8"/>
      <c r="I27" s="8"/>
      <c r="J27" s="8"/>
      <c r="K27" s="8"/>
      <c r="L27" s="7">
        <f>IF(L13="","",100-L13/$H$24*100)</f>
        <v>-8.4507042253520979</v>
      </c>
      <c r="M27" s="7">
        <f>IF(M13="","",100-M13/$H$24*100)</f>
        <v>-15.541525012141804</v>
      </c>
    </row>
    <row r="28" spans="1:13">
      <c r="A28" s="3" t="s">
        <v>67</v>
      </c>
      <c r="B28" s="7">
        <f>IF(B14="","",100-B14/$B$24*100)</f>
        <v>5.198358413132695</v>
      </c>
      <c r="C28" s="7">
        <f t="shared" ref="C28:G28" si="0">IF(C14="","",100-C14/$B$24*100)</f>
        <v>12.859097127222981</v>
      </c>
      <c r="D28" s="7">
        <f t="shared" si="0"/>
        <v>7.1819425444596448</v>
      </c>
      <c r="E28" s="7">
        <f t="shared" si="0"/>
        <v>16.41586867305061</v>
      </c>
      <c r="F28" s="7">
        <f t="shared" si="0"/>
        <v>24.760601915184665</v>
      </c>
      <c r="G28" s="7">
        <f t="shared" si="0"/>
        <v>4.3775649794801694</v>
      </c>
      <c r="H28" s="7">
        <f>IF(H14="","",100-H14/$H$24*100)</f>
        <v>19.864011656143759</v>
      </c>
      <c r="I28" s="7">
        <f t="shared" ref="I28:L28" si="1">IF(I14="","",100-I14/$H$24*100)</f>
        <v>17.24137931034484</v>
      </c>
      <c r="J28" s="7">
        <f t="shared" si="1"/>
        <v>3.496843127731907</v>
      </c>
      <c r="K28" s="7">
        <f t="shared" si="1"/>
        <v>5.7309373482273003</v>
      </c>
      <c r="L28" s="7">
        <f t="shared" si="1"/>
        <v>14.035939776590595</v>
      </c>
      <c r="M28" s="7">
        <f>IF(M14="","",100-M14/$H$24*100)</f>
        <v>-1.4084507042253449</v>
      </c>
    </row>
    <row r="29" spans="1:13">
      <c r="A29" s="3" t="s">
        <v>68</v>
      </c>
      <c r="B29" s="7">
        <f t="shared" ref="B29:G29" si="2">IF(B15="","",100-B15/$B$24*100)</f>
        <v>5.8823529411764781</v>
      </c>
      <c r="C29" s="7">
        <f t="shared" si="2"/>
        <v>10.39671682626539</v>
      </c>
      <c r="D29" s="7">
        <f t="shared" si="2"/>
        <v>14.637482900136803</v>
      </c>
      <c r="E29" s="7">
        <f t="shared" si="2"/>
        <v>11.354309165526672</v>
      </c>
      <c r="F29" s="7">
        <f t="shared" si="2"/>
        <v>12.995896032831737</v>
      </c>
      <c r="G29" s="7">
        <f t="shared" si="2"/>
        <v>2.3939808481532054</v>
      </c>
      <c r="H29" s="7">
        <f t="shared" ref="H29:M29" si="3">IF(H15="","",100-H15/$H$24*100)</f>
        <v>5.1966974259349286</v>
      </c>
      <c r="I29" s="7">
        <f t="shared" si="3"/>
        <v>0.92277804759592641</v>
      </c>
      <c r="J29" s="7">
        <f t="shared" si="3"/>
        <v>22.292374939290909</v>
      </c>
      <c r="K29" s="7">
        <f t="shared" si="3"/>
        <v>3.6425449247207524</v>
      </c>
      <c r="L29" s="7">
        <f t="shared" si="3"/>
        <v>10.587663914521613</v>
      </c>
      <c r="M29" s="7">
        <f t="shared" si="3"/>
        <v>-6.265177270519672</v>
      </c>
    </row>
    <row r="30" spans="1:13">
      <c r="A30" s="3" t="s">
        <v>69</v>
      </c>
      <c r="B30" s="7">
        <f t="shared" ref="B30:G30" si="4">IF(B16="","",100-B16/$B$24*100)</f>
        <v>-11.901504787961684</v>
      </c>
      <c r="C30" s="7">
        <f t="shared" si="4"/>
        <v>-2.3255813953488484</v>
      </c>
      <c r="D30" s="7">
        <f t="shared" si="4"/>
        <v>-13.611491108071135</v>
      </c>
      <c r="E30" s="7">
        <f t="shared" si="4"/>
        <v>1.16279069767441</v>
      </c>
      <c r="F30" s="7">
        <f t="shared" si="4"/>
        <v>2.7359781121751041</v>
      </c>
      <c r="G30" s="7">
        <f t="shared" si="4"/>
        <v>3.146374829001374</v>
      </c>
      <c r="H30" s="7">
        <f t="shared" ref="H30:M30" si="5">IF(H16="","",100-H16/$H$24*100)</f>
        <v>7.1879553181155842</v>
      </c>
      <c r="I30" s="7">
        <f t="shared" si="5"/>
        <v>11.461874696454601</v>
      </c>
      <c r="J30" s="7">
        <f t="shared" si="5"/>
        <v>10.296260320543965</v>
      </c>
      <c r="K30" s="7">
        <f t="shared" si="5"/>
        <v>4.8081593006313881</v>
      </c>
      <c r="L30" s="7">
        <f t="shared" si="5"/>
        <v>-4.8081593006313597</v>
      </c>
      <c r="M30" s="7">
        <f t="shared" si="5"/>
        <v>-2.3797960174842103</v>
      </c>
    </row>
    <row r="31" spans="1:13">
      <c r="A31" s="3" t="s">
        <v>70</v>
      </c>
      <c r="B31" s="7">
        <f t="shared" ref="B31:G31" si="6">IF(B17="","",100-B17/$B$24*100)</f>
        <v>-5.8139534883720785</v>
      </c>
      <c r="C31" s="7">
        <f t="shared" si="6"/>
        <v>-1.8467852257181931</v>
      </c>
      <c r="D31" s="7">
        <f t="shared" si="6"/>
        <v>1.2995896032831666</v>
      </c>
      <c r="E31" s="7">
        <f t="shared" si="6"/>
        <v>-2.051983584131321</v>
      </c>
      <c r="F31" s="7">
        <f t="shared" si="6"/>
        <v>6.6347469220246325</v>
      </c>
      <c r="G31" s="7">
        <f t="shared" si="6"/>
        <v>2.8727770177838607</v>
      </c>
      <c r="H31" s="7">
        <f t="shared" ref="H31:M31" si="7">IF(H17="","",100-H17/$H$24*100)</f>
        <v>12.724623603691114</v>
      </c>
      <c r="I31" s="7">
        <f t="shared" si="7"/>
        <v>14.133074307916473</v>
      </c>
      <c r="J31" s="7">
        <f t="shared" si="7"/>
        <v>10.490529383195735</v>
      </c>
      <c r="K31" s="7">
        <f t="shared" si="7"/>
        <v>5.0024283632831441</v>
      </c>
      <c r="L31" s="7">
        <f t="shared" si="7"/>
        <v>14.910150558523554</v>
      </c>
      <c r="M31" s="7">
        <f t="shared" si="7"/>
        <v>-1.8455560951918386</v>
      </c>
    </row>
    <row r="32" spans="1:13">
      <c r="A32" s="3" t="s">
        <v>71</v>
      </c>
      <c r="B32" s="7">
        <f t="shared" ref="B32:G32" si="8">IF(B18="","",100-B18/$B$24*100)</f>
        <v>-27.154582763337885</v>
      </c>
      <c r="C32" s="7">
        <f t="shared" si="8"/>
        <v>-10.39671682626539</v>
      </c>
      <c r="D32" s="7">
        <f t="shared" si="8"/>
        <v>-20.861833105335165</v>
      </c>
      <c r="E32" s="7">
        <f t="shared" si="8"/>
        <v>-6.292749658002748</v>
      </c>
      <c r="F32" s="7">
        <f t="shared" si="8"/>
        <v>-16.07387140902874</v>
      </c>
      <c r="G32" s="7">
        <f t="shared" si="8"/>
        <v>-5.3351573187414516</v>
      </c>
      <c r="H32" s="7">
        <f t="shared" ref="H32:M32" si="9">IF(H18="","",100-H18/$H$24*100)</f>
        <v>0.92277804759592641</v>
      </c>
      <c r="I32" s="7">
        <f t="shared" si="9"/>
        <v>4.4196211753278334</v>
      </c>
      <c r="J32" s="7">
        <f t="shared" si="9"/>
        <v>3.6425449247207524</v>
      </c>
      <c r="K32" s="7">
        <f t="shared" si="9"/>
        <v>-7.1393880524526452</v>
      </c>
      <c r="L32" s="7">
        <f t="shared" si="9"/>
        <v>2.574065080136009</v>
      </c>
      <c r="M32" s="7">
        <f t="shared" si="9"/>
        <v>-25.060709082078674</v>
      </c>
    </row>
    <row r="33" spans="1:13">
      <c r="A33" s="3" t="s">
        <v>72</v>
      </c>
      <c r="B33" s="7">
        <f t="shared" ref="B33:G33" si="10">IF(B19="","",100-B19/$B$24*100)</f>
        <v>-20.38303693570451</v>
      </c>
      <c r="C33" s="7">
        <f t="shared" si="10"/>
        <v>-27.359781121751041</v>
      </c>
      <c r="D33" s="7">
        <f t="shared" si="10"/>
        <v>-29.274965800273606</v>
      </c>
      <c r="E33" s="7">
        <f t="shared" si="10"/>
        <v>-36.662106703146378</v>
      </c>
      <c r="F33" s="7">
        <f t="shared" si="10"/>
        <v>-34.883720930232556</v>
      </c>
      <c r="G33" s="7">
        <f t="shared" si="10"/>
        <v>19.425444596443228</v>
      </c>
      <c r="H33" s="7">
        <f t="shared" ref="H33:M34" si="11">IF(H19="","",100-H19/$H$24*100)</f>
        <v>-30.791646430305974</v>
      </c>
      <c r="I33" s="7">
        <f t="shared" si="11"/>
        <v>-32.977173385138428</v>
      </c>
      <c r="J33" s="7">
        <f t="shared" si="11"/>
        <v>-31.42302088392421</v>
      </c>
      <c r="K33" s="7">
        <f t="shared" si="11"/>
        <v>-26.954832442933437</v>
      </c>
      <c r="L33" s="7">
        <f t="shared" si="11"/>
        <v>-29.77173385138417</v>
      </c>
      <c r="M33" s="7">
        <f t="shared" si="11"/>
        <v>75.376396308887806</v>
      </c>
    </row>
    <row r="34" spans="1:13">
      <c r="A34" s="3" t="s">
        <v>73</v>
      </c>
      <c r="B34" s="7">
        <f t="shared" ref="B34:G34" si="12">IF(B20="","",100-B20/$B$24*100)</f>
        <v>-17.510259917920649</v>
      </c>
      <c r="C34" s="7">
        <f t="shared" si="12"/>
        <v>-14.432284541723675</v>
      </c>
      <c r="D34" s="7">
        <f t="shared" si="12"/>
        <v>-20.930232558139551</v>
      </c>
      <c r="E34" s="7">
        <f t="shared" si="12"/>
        <v>-12.448700410396725</v>
      </c>
      <c r="F34" s="7">
        <f t="shared" si="12"/>
        <v>-39.329685362517097</v>
      </c>
      <c r="G34" s="7">
        <f t="shared" si="12"/>
        <v>-32.216142270861837</v>
      </c>
      <c r="H34" s="7">
        <f>IF(H20="","",100-H20/$H$24*100)</f>
        <v>-27.537639630888748</v>
      </c>
      <c r="I34" s="7">
        <f t="shared" si="11"/>
        <v>-33.171442447790184</v>
      </c>
      <c r="J34" s="7">
        <f t="shared" si="11"/>
        <v>-9.1792132102962682</v>
      </c>
      <c r="K34" s="7">
        <f t="shared" si="11"/>
        <v>-9.9077221952403818</v>
      </c>
      <c r="L34" s="7">
        <f t="shared" si="11"/>
        <v>-17.144244779018919</v>
      </c>
      <c r="M34" s="7">
        <f>IF(M20="","",100-M20/$H$24*100)</f>
        <v>-12.967459932005838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H22:M22"/>
    <mergeCell ref="A5:B5"/>
    <mergeCell ref="A6:B6"/>
    <mergeCell ref="A7:B7"/>
    <mergeCell ref="A8:B8"/>
    <mergeCell ref="B22:G22"/>
    <mergeCell ref="A9:B9"/>
    <mergeCell ref="G5:H5"/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abSelected="1" workbookViewId="0">
      <selection activeCell="C8" sqref="C8"/>
    </sheetView>
  </sheetViews>
  <sheetFormatPr defaultColWidth="10.85546875" defaultRowHeight="1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>
      <c r="A1" s="26" t="s">
        <v>57</v>
      </c>
    </row>
    <row r="2" spans="1:12" s="27" customFormat="1" ht="15" customHeight="1">
      <c r="A2" s="28"/>
    </row>
    <row r="3" spans="1:12" s="27" customFormat="1" ht="15" customHeight="1">
      <c r="A3" s="29" t="s">
        <v>82</v>
      </c>
    </row>
    <row r="4" spans="1:12" ht="15" customHeight="1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>
      <c r="A5" s="32" t="s">
        <v>83</v>
      </c>
      <c r="B5" s="33"/>
      <c r="C5" s="21">
        <v>45987</v>
      </c>
      <c r="D5" s="34"/>
      <c r="E5" s="27"/>
      <c r="F5" s="35" t="s">
        <v>84</v>
      </c>
      <c r="G5" s="36">
        <v>30</v>
      </c>
      <c r="H5" s="28"/>
      <c r="I5" s="30"/>
    </row>
    <row r="6" spans="1:12" ht="15" customHeight="1">
      <c r="A6" s="32" t="s">
        <v>61</v>
      </c>
      <c r="B6" s="33"/>
      <c r="C6" s="22" t="s">
        <v>4</v>
      </c>
      <c r="D6" s="27"/>
      <c r="E6" s="27"/>
      <c r="F6" s="27"/>
      <c r="G6" s="27"/>
      <c r="H6" s="27"/>
      <c r="I6" s="30"/>
    </row>
    <row r="7" spans="1:12" ht="15" customHeight="1">
      <c r="A7" s="32" t="s">
        <v>85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>
      <c r="A8" s="32" t="s">
        <v>63</v>
      </c>
      <c r="B8" s="33"/>
      <c r="C8" s="37">
        <f>IF(ECHANTILLONS!C9="","",ECHANTILLONS!C9)</f>
        <v>11</v>
      </c>
      <c r="D8" s="27"/>
      <c r="E8" s="27"/>
      <c r="F8" s="27"/>
      <c r="G8" s="27"/>
      <c r="H8" s="27"/>
      <c r="I8" s="30"/>
    </row>
    <row r="9" spans="1:12" ht="15" customHeight="1">
      <c r="A9" s="32" t="s">
        <v>86</v>
      </c>
      <c r="B9" s="33"/>
      <c r="C9" s="38" t="s">
        <v>8</v>
      </c>
      <c r="D9" s="27"/>
      <c r="E9" s="27"/>
      <c r="F9" s="27"/>
      <c r="G9" s="27"/>
      <c r="H9" s="27"/>
      <c r="I9" s="39"/>
    </row>
    <row r="10" spans="1:12" ht="12.6" customHeight="1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>
      <c r="A12" s="28"/>
      <c r="B12" s="40"/>
      <c r="C12" s="40"/>
      <c r="D12" s="73" t="s">
        <v>74</v>
      </c>
      <c r="E12" s="73"/>
      <c r="F12" s="73" t="s">
        <v>75</v>
      </c>
      <c r="G12" s="73"/>
      <c r="H12" s="74" t="s">
        <v>87</v>
      </c>
      <c r="I12" s="27"/>
    </row>
    <row r="13" spans="1:12" ht="47.25">
      <c r="A13" s="42"/>
      <c r="B13" s="43" t="s">
        <v>10</v>
      </c>
      <c r="C13" s="43" t="s">
        <v>11</v>
      </c>
      <c r="D13" s="41" t="s">
        <v>88</v>
      </c>
      <c r="E13" s="44" t="s">
        <v>89</v>
      </c>
      <c r="F13" s="41" t="s">
        <v>88</v>
      </c>
      <c r="G13" s="44" t="s">
        <v>89</v>
      </c>
      <c r="H13" s="74"/>
      <c r="I13" s="45" t="s">
        <v>90</v>
      </c>
      <c r="J13" s="55" t="s">
        <v>91</v>
      </c>
      <c r="K13" s="54"/>
      <c r="L13" s="54"/>
    </row>
    <row r="14" spans="1:12" ht="15" customHeight="1">
      <c r="A14" s="46" t="s">
        <v>13</v>
      </c>
      <c r="B14" s="47">
        <f>IF(ECHANTILLONS!B15="","",ECHANTILLONS!B15)</f>
        <v>486</v>
      </c>
      <c r="C14" s="48">
        <f>IF(ECHANTILLONS!C15="","",ECHANTILLONS!C15)</f>
        <v>2500825</v>
      </c>
      <c r="D14" s="49">
        <f>IF('450-600 nm'!F27="","",'450-600 nm'!F27)</f>
        <v>4.0355677154582708</v>
      </c>
      <c r="E14" s="49" t="str">
        <f>IF(D14="","",IF(D14&gt;=$G$5,"POS","NEG"))</f>
        <v>NEG</v>
      </c>
      <c r="F14" s="49">
        <f>IF('450-600 nm'!L27="","",'450-600 nm'!L27)</f>
        <v>-8.4507042253520979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/>
    </row>
    <row r="15" spans="1:12" ht="15" customHeight="1">
      <c r="A15" s="36" t="s">
        <v>14</v>
      </c>
      <c r="B15" s="47">
        <f>IF(ECHANTILLONS!B16="","",ECHANTILLONS!B16)</f>
        <v>487</v>
      </c>
      <c r="C15" s="51">
        <f>IF(ECHANTILLONS!C16="","",ECHANTILLONS!C16)</f>
        <v>2500812</v>
      </c>
      <c r="D15" s="52">
        <f>IF('450-600 nm'!G27="","",'450-600 nm'!G27)</f>
        <v>2.2571819425444488</v>
      </c>
      <c r="E15" s="49" t="str">
        <f t="shared" ref="E15:E57" si="0">IF(D15="","",IF(D15&gt;=$G$5,"POS","NEG"))</f>
        <v>NEG</v>
      </c>
      <c r="F15" s="52">
        <f>IF('450-600 nm'!M27="","",'450-600 nm'!M27)</f>
        <v>-15.541525012141804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/>
    </row>
    <row r="16" spans="1:12" ht="15" customHeight="1">
      <c r="A16" s="36" t="s">
        <v>15</v>
      </c>
      <c r="B16" s="47">
        <f>IF(ECHANTILLONS!B17="","",ECHANTILLONS!B17)</f>
        <v>488</v>
      </c>
      <c r="C16" s="51">
        <f>IF(ECHANTILLONS!C17="","",ECHANTILLONS!C17)</f>
        <v>2500846</v>
      </c>
      <c r="D16" s="52">
        <f>IF('450-600 nm'!B28="","",'450-600 nm'!B28)</f>
        <v>5.198358413132695</v>
      </c>
      <c r="E16" s="49" t="str">
        <f t="shared" si="0"/>
        <v>NEG</v>
      </c>
      <c r="F16" s="52">
        <f>IF('450-600 nm'!H28="","",'450-600 nm'!H28)</f>
        <v>19.864011656143759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/>
    </row>
    <row r="17" spans="1:10" ht="15" customHeight="1">
      <c r="A17" s="36" t="s">
        <v>16</v>
      </c>
      <c r="B17" s="47">
        <f>IF(ECHANTILLONS!B18="","",ECHANTILLONS!B18)</f>
        <v>489</v>
      </c>
      <c r="C17" s="51">
        <f>IF(ECHANTILLONS!C18="","",ECHANTILLONS!C18)</f>
        <v>2501005</v>
      </c>
      <c r="D17" s="52">
        <f>IF('450-600 nm'!C28="","",'450-600 nm'!C28)</f>
        <v>12.859097127222981</v>
      </c>
      <c r="E17" s="49" t="str">
        <f t="shared" si="0"/>
        <v>NEG</v>
      </c>
      <c r="F17" s="52">
        <f>IF('450-600 nm'!I28="","",'450-600 nm'!I28)</f>
        <v>17.24137931034484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/>
    </row>
    <row r="18" spans="1:10" ht="15" customHeight="1">
      <c r="A18" s="36" t="s">
        <v>17</v>
      </c>
      <c r="B18" s="47">
        <f>IF(ECHANTILLONS!B19="","",ECHANTILLONS!B19)</f>
        <v>490</v>
      </c>
      <c r="C18" s="51">
        <f>IF(ECHANTILLONS!C19="","",ECHANTILLONS!C19)</f>
        <v>2500857</v>
      </c>
      <c r="D18" s="52">
        <f>IF('450-600 nm'!D28="","",'450-600 nm'!D28)</f>
        <v>7.1819425444596448</v>
      </c>
      <c r="E18" s="49" t="str">
        <f t="shared" si="0"/>
        <v>NEG</v>
      </c>
      <c r="F18" s="52">
        <f>IF('450-600 nm'!J28="","",'450-600 nm'!J28)</f>
        <v>3.496843127731907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/>
    </row>
    <row r="19" spans="1:10" ht="15" customHeight="1">
      <c r="A19" s="36" t="s">
        <v>18</v>
      </c>
      <c r="B19" s="47">
        <f>IF(ECHANTILLONS!B20="","",ECHANTILLONS!B20)</f>
        <v>491</v>
      </c>
      <c r="C19" s="51">
        <f>IF(ECHANTILLONS!C20="","",ECHANTILLONS!C20)</f>
        <v>2501016</v>
      </c>
      <c r="D19" s="52">
        <f>IF('450-600 nm'!E28="","",'450-600 nm'!E28)</f>
        <v>16.41586867305061</v>
      </c>
      <c r="E19" s="49" t="str">
        <f t="shared" si="0"/>
        <v>NEG</v>
      </c>
      <c r="F19" s="52">
        <f>IF('450-600 nm'!K28="","",'450-600 nm'!K28)</f>
        <v>5.7309373482273003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/>
    </row>
    <row r="20" spans="1:10" ht="15" customHeight="1">
      <c r="A20" s="36" t="s">
        <v>19</v>
      </c>
      <c r="B20" s="47">
        <f>IF(ECHANTILLONS!B21="","",ECHANTILLONS!B21)</f>
        <v>492</v>
      </c>
      <c r="C20" s="51">
        <f>IF(ECHANTILLONS!C21="","",ECHANTILLONS!C21)</f>
        <v>2501036</v>
      </c>
      <c r="D20" s="52">
        <f>IF('450-600 nm'!F28="","",'450-600 nm'!F28)</f>
        <v>24.760601915184665</v>
      </c>
      <c r="E20" s="49" t="str">
        <f t="shared" si="0"/>
        <v>NEG</v>
      </c>
      <c r="F20" s="52">
        <f>IF('450-600 nm'!L28="","",'450-600 nm'!L28)</f>
        <v>14.035939776590595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/>
    </row>
    <row r="21" spans="1:10" ht="15" customHeight="1">
      <c r="A21" s="36" t="s">
        <v>20</v>
      </c>
      <c r="B21" s="47">
        <f>IF(ECHANTILLONS!B22="","",ECHANTILLONS!B22)</f>
        <v>493</v>
      </c>
      <c r="C21" s="51">
        <f>IF(ECHANTILLONS!C22="","",ECHANTILLONS!C22)</f>
        <v>2500858</v>
      </c>
      <c r="D21" s="52">
        <f>IF('450-600 nm'!G28="","",'450-600 nm'!G28)</f>
        <v>4.3775649794801694</v>
      </c>
      <c r="E21" s="49" t="str">
        <f t="shared" si="0"/>
        <v>NEG</v>
      </c>
      <c r="F21" s="52">
        <f>IF('450-600 nm'!M28="","",'450-600 nm'!M28)</f>
        <v>-1.4084507042253449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/>
    </row>
    <row r="22" spans="1:10" ht="15" customHeight="1">
      <c r="A22" s="36" t="s">
        <v>21</v>
      </c>
      <c r="B22" s="47">
        <f>IF(ECHANTILLONS!B23="","",ECHANTILLONS!B23)</f>
        <v>494</v>
      </c>
      <c r="C22" s="51">
        <f>IF(ECHANTILLONS!C23="","",ECHANTILLONS!C23)</f>
        <v>2500855</v>
      </c>
      <c r="D22" s="52">
        <f>IF('450-600 nm'!B29="","",'450-600 nm'!B29)</f>
        <v>5.8823529411764781</v>
      </c>
      <c r="E22" s="49" t="str">
        <f t="shared" si="0"/>
        <v>NEG</v>
      </c>
      <c r="F22" s="52">
        <f>IF('450-600 nm'!H29="","",'450-600 nm'!H29)</f>
        <v>5.1966974259349286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/>
    </row>
    <row r="23" spans="1:10" ht="15" customHeight="1">
      <c r="A23" s="36" t="s">
        <v>22</v>
      </c>
      <c r="B23" s="47">
        <f>IF(ECHANTILLONS!B24="","",ECHANTILLONS!B24)</f>
        <v>495</v>
      </c>
      <c r="C23" s="51">
        <f>IF(ECHANTILLONS!C24="","",ECHANTILLONS!C24)</f>
        <v>2501184</v>
      </c>
      <c r="D23" s="52">
        <f>IF('450-600 nm'!C29="","",'450-600 nm'!C29)</f>
        <v>10.39671682626539</v>
      </c>
      <c r="E23" s="49" t="str">
        <f t="shared" si="0"/>
        <v>NEG</v>
      </c>
      <c r="F23" s="52">
        <f>IF('450-600 nm'!I29="","",'450-600 nm'!I29)</f>
        <v>0.92277804759592641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/>
    </row>
    <row r="24" spans="1:10" ht="15" customHeight="1">
      <c r="A24" s="36" t="s">
        <v>23</v>
      </c>
      <c r="B24" s="47">
        <f>IF(ECHANTILLONS!B25="","",ECHANTILLONS!B25)</f>
        <v>496</v>
      </c>
      <c r="C24" s="51">
        <f>IF(ECHANTILLONS!C25="","",ECHANTILLONS!C25)</f>
        <v>2500806</v>
      </c>
      <c r="D24" s="52">
        <f>IF('450-600 nm'!D29="","",'450-600 nm'!D29)</f>
        <v>14.637482900136803</v>
      </c>
      <c r="E24" s="49" t="str">
        <f t="shared" si="0"/>
        <v>NEG</v>
      </c>
      <c r="F24" s="52">
        <f>IF('450-600 nm'!J29="","",'450-600 nm'!J29)</f>
        <v>22.292374939290909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/>
    </row>
    <row r="25" spans="1:10" ht="15" customHeight="1">
      <c r="A25" s="36" t="s">
        <v>24</v>
      </c>
      <c r="B25" s="47">
        <f>IF(ECHANTILLONS!B26="","",ECHANTILLONS!B26)</f>
        <v>497</v>
      </c>
      <c r="C25" s="51">
        <f>IF(ECHANTILLONS!C26="","",ECHANTILLONS!C26)</f>
        <v>2500884</v>
      </c>
      <c r="D25" s="52">
        <f>IF('450-600 nm'!E29="","",'450-600 nm'!E29)</f>
        <v>11.354309165526672</v>
      </c>
      <c r="E25" s="49" t="str">
        <f t="shared" si="0"/>
        <v>NEG</v>
      </c>
      <c r="F25" s="52">
        <f>IF('450-600 nm'!K29="","",'450-600 nm'!K29)</f>
        <v>3.6425449247207524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/>
    </row>
    <row r="26" spans="1:10" ht="15" customHeight="1">
      <c r="A26" s="36" t="s">
        <v>25</v>
      </c>
      <c r="B26" s="47">
        <f>IF(ECHANTILLONS!B27="","",ECHANTILLONS!B27)</f>
        <v>498</v>
      </c>
      <c r="C26" s="51">
        <f>IF(ECHANTILLONS!C27="","",ECHANTILLONS!C27)</f>
        <v>2500807</v>
      </c>
      <c r="D26" s="52">
        <f>IF('450-600 nm'!F29="","",'450-600 nm'!F29)</f>
        <v>12.995896032831737</v>
      </c>
      <c r="E26" s="49" t="str">
        <f t="shared" si="0"/>
        <v>NEG</v>
      </c>
      <c r="F26" s="52">
        <f>IF('450-600 nm'!L29="","",'450-600 nm'!L29)</f>
        <v>10.587663914521613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/>
    </row>
    <row r="27" spans="1:10" ht="15" customHeight="1">
      <c r="A27" s="36" t="s">
        <v>26</v>
      </c>
      <c r="B27" s="47">
        <f>IF(ECHANTILLONS!B28="","",ECHANTILLONS!B28)</f>
        <v>499</v>
      </c>
      <c r="C27" s="51">
        <f>IF(ECHANTILLONS!C28="","",ECHANTILLONS!C28)</f>
        <v>2400949</v>
      </c>
      <c r="D27" s="52">
        <f>IF('450-600 nm'!G29="","",'450-600 nm'!G29)</f>
        <v>2.3939808481532054</v>
      </c>
      <c r="E27" s="49" t="str">
        <f t="shared" si="0"/>
        <v>NEG</v>
      </c>
      <c r="F27" s="52">
        <f>IF('450-600 nm'!M29="","",'450-600 nm'!M29)</f>
        <v>-6.265177270519672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/>
    </row>
    <row r="28" spans="1:10" ht="15" customHeight="1">
      <c r="A28" s="36" t="s">
        <v>27</v>
      </c>
      <c r="B28" s="47">
        <f>IF(ECHANTILLONS!B29="","",ECHANTILLONS!B29)</f>
        <v>500</v>
      </c>
      <c r="C28" s="51">
        <f>IF(ECHANTILLONS!C29="","",ECHANTILLONS!C29)</f>
        <v>2500883</v>
      </c>
      <c r="D28" s="52">
        <f>IF('450-600 nm'!B30="","",'450-600 nm'!B30)</f>
        <v>-11.901504787961684</v>
      </c>
      <c r="E28" s="49" t="str">
        <f t="shared" si="0"/>
        <v>NEG</v>
      </c>
      <c r="F28" s="52">
        <f>IF('450-600 nm'!H30="","",'450-600 nm'!H30)</f>
        <v>7.1879553181155842</v>
      </c>
      <c r="G28" s="49" t="str">
        <f t="shared" si="1"/>
        <v>NEG</v>
      </c>
      <c r="H28" s="49" t="str">
        <f t="shared" si="2"/>
        <v>N</v>
      </c>
      <c r="I28" s="50" t="str">
        <f>IF(ECHANTILLONS!D29="","",ECHANTILLONS!D29)</f>
        <v/>
      </c>
      <c r="J28" s="50"/>
    </row>
    <row r="29" spans="1:10" ht="15" customHeight="1">
      <c r="A29" s="36" t="s">
        <v>28</v>
      </c>
      <c r="B29" s="47">
        <f>IF(ECHANTILLONS!B30="","",ECHANTILLONS!B30)</f>
        <v>501</v>
      </c>
      <c r="C29" s="51">
        <f>IF(ECHANTILLONS!C30="","",ECHANTILLONS!C30)</f>
        <v>2500865</v>
      </c>
      <c r="D29" s="52">
        <f>IF('450-600 nm'!C30="","",'450-600 nm'!C30)</f>
        <v>-2.3255813953488484</v>
      </c>
      <c r="E29" s="49" t="str">
        <f t="shared" si="0"/>
        <v>NEG</v>
      </c>
      <c r="F29" s="52">
        <f>IF('450-600 nm'!I30="","",'450-600 nm'!I30)</f>
        <v>11.461874696454601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/>
    </row>
    <row r="30" spans="1:10" ht="15" customHeight="1">
      <c r="A30" s="36" t="s">
        <v>29</v>
      </c>
      <c r="B30" s="47">
        <f>IF(ECHANTILLONS!B31="","",ECHANTILLONS!B31)</f>
        <v>502</v>
      </c>
      <c r="C30" s="51">
        <f>IF(ECHANTILLONS!C31="","",ECHANTILLONS!C31)</f>
        <v>2500706</v>
      </c>
      <c r="D30" s="52">
        <f>IF('450-600 nm'!D30="","",'450-600 nm'!D30)</f>
        <v>-13.611491108071135</v>
      </c>
      <c r="E30" s="49" t="str">
        <f t="shared" si="0"/>
        <v>NEG</v>
      </c>
      <c r="F30" s="52">
        <f>IF('450-600 nm'!J30="","",'450-600 nm'!J30)</f>
        <v>10.296260320543965</v>
      </c>
      <c r="G30" s="49" t="str">
        <f t="shared" si="1"/>
        <v>NEG</v>
      </c>
      <c r="H30" s="49" t="str">
        <f t="shared" si="2"/>
        <v>N</v>
      </c>
      <c r="I30" s="50" t="str">
        <f>IF(ECHANTILLONS!D31="","",ECHANTILLONS!D31)</f>
        <v/>
      </c>
      <c r="J30" s="50"/>
    </row>
    <row r="31" spans="1:10" ht="15" customHeight="1">
      <c r="A31" s="36" t="s">
        <v>30</v>
      </c>
      <c r="B31" s="47">
        <f>IF(ECHANTILLONS!B32="","",ECHANTILLONS!B32)</f>
        <v>503</v>
      </c>
      <c r="C31" s="51">
        <f>IF(ECHANTILLONS!C32="","",ECHANTILLONS!C32)</f>
        <v>2501987</v>
      </c>
      <c r="D31" s="52">
        <f>IF('450-600 nm'!E30="","",'450-600 nm'!E30)</f>
        <v>1.16279069767441</v>
      </c>
      <c r="E31" s="49" t="str">
        <f t="shared" si="0"/>
        <v>NEG</v>
      </c>
      <c r="F31" s="52">
        <f>IF('450-600 nm'!K30="","",'450-600 nm'!K30)</f>
        <v>4.8081593006313881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/>
    </row>
    <row r="32" spans="1:10" ht="15" customHeight="1">
      <c r="A32" s="36" t="s">
        <v>31</v>
      </c>
      <c r="B32" s="47">
        <f>IF(ECHANTILLONS!B33="","",ECHANTILLONS!B33)</f>
        <v>504</v>
      </c>
      <c r="C32" s="51">
        <f>IF(ECHANTILLONS!C33="","",ECHANTILLONS!C33)</f>
        <v>2501032</v>
      </c>
      <c r="D32" s="52">
        <f>IF('450-600 nm'!F30="","",'450-600 nm'!F30)</f>
        <v>2.7359781121751041</v>
      </c>
      <c r="E32" s="49" t="str">
        <f t="shared" si="0"/>
        <v>NEG</v>
      </c>
      <c r="F32" s="52">
        <f>IF('450-600 nm'!L30="","",'450-600 nm'!L30)</f>
        <v>-4.8081593006313597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/>
    </row>
    <row r="33" spans="1:10" ht="15" customHeight="1">
      <c r="A33" s="36" t="s">
        <v>32</v>
      </c>
      <c r="B33" s="47">
        <f>IF(ECHANTILLONS!B34="","",ECHANTILLONS!B34)</f>
        <v>505</v>
      </c>
      <c r="C33" s="51">
        <f>IF(ECHANTILLONS!C34="","",ECHANTILLONS!C34)</f>
        <v>2501037</v>
      </c>
      <c r="D33" s="52">
        <f>IF('450-600 nm'!G30="","",'450-600 nm'!G30)</f>
        <v>3.146374829001374</v>
      </c>
      <c r="E33" s="49" t="str">
        <f t="shared" si="0"/>
        <v>NEG</v>
      </c>
      <c r="F33" s="52">
        <f>IF('450-600 nm'!M30="","",'450-600 nm'!M30)</f>
        <v>-2.3797960174842103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/>
    </row>
    <row r="34" spans="1:10" ht="15" customHeight="1">
      <c r="A34" s="36" t="s">
        <v>33</v>
      </c>
      <c r="B34" s="47">
        <f>IF(ECHANTILLONS!B35="","",ECHANTILLONS!B35)</f>
        <v>506</v>
      </c>
      <c r="C34" s="51">
        <f>IF(ECHANTILLONS!C35="","",ECHANTILLONS!C35)</f>
        <v>2501038</v>
      </c>
      <c r="D34" s="52">
        <f>IF('450-600 nm'!B31="","",'450-600 nm'!B31)</f>
        <v>-5.8139534883720785</v>
      </c>
      <c r="E34" s="49" t="str">
        <f t="shared" si="0"/>
        <v>NEG</v>
      </c>
      <c r="F34" s="52">
        <f>IF('450-600 nm'!H31="","",'450-600 nm'!H31)</f>
        <v>12.724623603691114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/>
    </row>
    <row r="35" spans="1:10" ht="15" customHeight="1">
      <c r="A35" s="36" t="s">
        <v>34</v>
      </c>
      <c r="B35" s="47">
        <f>IF(ECHANTILLONS!B36="","",ECHANTILLONS!B36)</f>
        <v>507</v>
      </c>
      <c r="C35" s="51">
        <f>IF(ECHANTILLONS!C36="","",ECHANTILLONS!C36)</f>
        <v>2501039</v>
      </c>
      <c r="D35" s="52">
        <f>IF('450-600 nm'!C31="","",'450-600 nm'!C31)</f>
        <v>-1.8467852257181931</v>
      </c>
      <c r="E35" s="49" t="str">
        <f t="shared" si="0"/>
        <v>NEG</v>
      </c>
      <c r="F35" s="52">
        <f>IF('450-600 nm'!I31="","",'450-600 nm'!I31)</f>
        <v>14.133074307916473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/>
    </row>
    <row r="36" spans="1:10" ht="15" customHeight="1">
      <c r="A36" s="36" t="s">
        <v>35</v>
      </c>
      <c r="B36" s="47">
        <f>IF(ECHANTILLONS!B37="","",ECHANTILLONS!B37)</f>
        <v>508</v>
      </c>
      <c r="C36" s="51">
        <f>IF(ECHANTILLONS!C37="","",ECHANTILLONS!C37)</f>
        <v>2500851</v>
      </c>
      <c r="D36" s="52">
        <f>IF('450-600 nm'!D31="","",'450-600 nm'!D31)</f>
        <v>1.2995896032831666</v>
      </c>
      <c r="E36" s="49" t="str">
        <f t="shared" si="0"/>
        <v>NEG</v>
      </c>
      <c r="F36" s="52">
        <f>IF('450-600 nm'!J31="","",'450-600 nm'!J31)</f>
        <v>10.490529383195735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/>
    </row>
    <row r="37" spans="1:10" ht="15" customHeight="1">
      <c r="A37" s="36" t="s">
        <v>36</v>
      </c>
      <c r="B37" s="47">
        <f>IF(ECHANTILLONS!B38="","",ECHANTILLONS!B38)</f>
        <v>509</v>
      </c>
      <c r="C37" s="51">
        <f>IF(ECHANTILLONS!C38="","",ECHANTILLONS!C38)</f>
        <v>2501029</v>
      </c>
      <c r="D37" s="52">
        <f>IF('450-600 nm'!E31="","",'450-600 nm'!E31)</f>
        <v>-2.051983584131321</v>
      </c>
      <c r="E37" s="49" t="str">
        <f t="shared" si="0"/>
        <v>NEG</v>
      </c>
      <c r="F37" s="52">
        <f>IF('450-600 nm'!K31="","",'450-600 nm'!K31)</f>
        <v>5.0024283632831441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/>
    </row>
    <row r="38" spans="1:10" ht="15" customHeight="1">
      <c r="A38" s="36" t="s">
        <v>37</v>
      </c>
      <c r="B38" s="47">
        <f>IF(ECHANTILLONS!B39="","",ECHANTILLONS!B39)</f>
        <v>510</v>
      </c>
      <c r="C38" s="51">
        <f>IF(ECHANTILLONS!C39="","",ECHANTILLONS!C39)</f>
        <v>2501006</v>
      </c>
      <c r="D38" s="52">
        <f>IF('450-600 nm'!F31="","",'450-600 nm'!F31)</f>
        <v>6.6347469220246325</v>
      </c>
      <c r="E38" s="49" t="str">
        <f t="shared" si="0"/>
        <v>NEG</v>
      </c>
      <c r="F38" s="52">
        <f>IF('450-600 nm'!L31="","",'450-600 nm'!L31)</f>
        <v>14.910150558523554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/>
    </row>
    <row r="39" spans="1:10" ht="15" customHeight="1">
      <c r="A39" s="36" t="s">
        <v>38</v>
      </c>
      <c r="B39" s="47">
        <f>IF(ECHANTILLONS!B40="","",ECHANTILLONS!B40)</f>
        <v>511</v>
      </c>
      <c r="C39" s="51">
        <f>IF(ECHANTILLONS!C40="","",ECHANTILLONS!C40)</f>
        <v>2500891</v>
      </c>
      <c r="D39" s="52">
        <f>IF('450-600 nm'!G31="","",'450-600 nm'!G31)</f>
        <v>2.8727770177838607</v>
      </c>
      <c r="E39" s="49" t="str">
        <f t="shared" si="0"/>
        <v>NEG</v>
      </c>
      <c r="F39" s="52">
        <f>IF('450-600 nm'!M31="","",'450-600 nm'!M31)</f>
        <v>-1.8455560951918386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/>
    </row>
    <row r="40" spans="1:10" ht="15" customHeight="1">
      <c r="A40" s="36" t="s">
        <v>39</v>
      </c>
      <c r="B40" s="47">
        <f>IF(ECHANTILLONS!B41="","",ECHANTILLONS!B41)</f>
        <v>512</v>
      </c>
      <c r="C40" s="51">
        <f>IF(ECHANTILLONS!C41="","",ECHANTILLONS!C41)</f>
        <v>2501030</v>
      </c>
      <c r="D40" s="52">
        <f>IF('450-600 nm'!B32="","",'450-600 nm'!B32)</f>
        <v>-27.154582763337885</v>
      </c>
      <c r="E40" s="49" t="str">
        <f t="shared" si="0"/>
        <v>NEG</v>
      </c>
      <c r="F40" s="52">
        <f>IF('450-600 nm'!H32="","",'450-600 nm'!H32)</f>
        <v>0.92277804759592641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/>
    </row>
    <row r="41" spans="1:10" ht="15" customHeight="1">
      <c r="A41" s="36" t="s">
        <v>40</v>
      </c>
      <c r="B41" s="47">
        <f>IF(ECHANTILLONS!B42="","",ECHANTILLONS!B42)</f>
        <v>513</v>
      </c>
      <c r="C41" s="51">
        <f>IF(ECHANTILLONS!C42="","",ECHANTILLONS!C42)</f>
        <v>2501007</v>
      </c>
      <c r="D41" s="52">
        <f>IF('450-600 nm'!C32="","",'450-600 nm'!C32)</f>
        <v>-10.39671682626539</v>
      </c>
      <c r="E41" s="49" t="str">
        <f t="shared" si="0"/>
        <v>NEG</v>
      </c>
      <c r="F41" s="52">
        <f>IF('450-600 nm'!I32="","",'450-600 nm'!I32)</f>
        <v>4.4196211753278334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/>
    </row>
    <row r="42" spans="1:10" ht="15" customHeight="1">
      <c r="A42" s="36" t="s">
        <v>41</v>
      </c>
      <c r="B42" s="47">
        <f>IF(ECHANTILLONS!B43="","",ECHANTILLONS!B43)</f>
        <v>514</v>
      </c>
      <c r="C42" s="51">
        <f>IF(ECHANTILLONS!C43="","",ECHANTILLONS!C43)</f>
        <v>2501011</v>
      </c>
      <c r="D42" s="52">
        <f>IF('450-600 nm'!D32="","",'450-600 nm'!D32)</f>
        <v>-20.861833105335165</v>
      </c>
      <c r="E42" s="49" t="str">
        <f t="shared" si="0"/>
        <v>NEG</v>
      </c>
      <c r="F42" s="52">
        <f>IF('450-600 nm'!J32="","",'450-600 nm'!J32)</f>
        <v>3.6425449247207524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/>
    </row>
    <row r="43" spans="1:10" ht="15" customHeight="1">
      <c r="A43" s="36" t="s">
        <v>42</v>
      </c>
      <c r="B43" s="47">
        <f>IF(ECHANTILLONS!B44="","",ECHANTILLONS!B44)</f>
        <v>515</v>
      </c>
      <c r="C43" s="51">
        <f>IF(ECHANTILLONS!C44="","",ECHANTILLONS!C44)</f>
        <v>2501014</v>
      </c>
      <c r="D43" s="52">
        <f>IF('450-600 nm'!E32="","",'450-600 nm'!E32)</f>
        <v>-6.292749658002748</v>
      </c>
      <c r="E43" s="49" t="str">
        <f t="shared" si="0"/>
        <v>NEG</v>
      </c>
      <c r="F43" s="52">
        <f>IF('450-600 nm'!K32="","",'450-600 nm'!K32)</f>
        <v>-7.1393880524526452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/>
    </row>
    <row r="44" spans="1:10" ht="15" customHeight="1">
      <c r="A44" s="36" t="s">
        <v>43</v>
      </c>
      <c r="B44" s="47">
        <f>IF(ECHANTILLONS!B45="","",ECHANTILLONS!B45)</f>
        <v>516</v>
      </c>
      <c r="C44" s="51">
        <f>IF(ECHANTILLONS!C45="","",ECHANTILLONS!C45)</f>
        <v>2502731</v>
      </c>
      <c r="D44" s="52">
        <f>IF('450-600 nm'!F32="","",'450-600 nm'!F32)</f>
        <v>-16.07387140902874</v>
      </c>
      <c r="E44" s="49" t="str">
        <f t="shared" si="0"/>
        <v>NEG</v>
      </c>
      <c r="F44" s="52">
        <f>IF('450-600 nm'!L32="","",'450-600 nm'!L32)</f>
        <v>2.574065080136009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/>
    </row>
    <row r="45" spans="1:10" ht="15" customHeight="1">
      <c r="A45" s="36" t="s">
        <v>44</v>
      </c>
      <c r="B45" s="47">
        <f>IF(ECHANTILLONS!B46="","",ECHANTILLONS!B46)</f>
        <v>517</v>
      </c>
      <c r="C45" s="51">
        <f>IF(ECHANTILLONS!C46="","",ECHANTILLONS!C46)</f>
        <v>2503068</v>
      </c>
      <c r="D45" s="52">
        <f>IF('450-600 nm'!G32="","",'450-600 nm'!G32)</f>
        <v>-5.3351573187414516</v>
      </c>
      <c r="E45" s="49" t="str">
        <f t="shared" si="0"/>
        <v>NEG</v>
      </c>
      <c r="F45" s="52">
        <f>IF('450-600 nm'!M32="","",'450-600 nm'!M32)</f>
        <v>-25.060709082078674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/>
    </row>
    <row r="46" spans="1:10" ht="15" customHeight="1">
      <c r="A46" s="36" t="s">
        <v>45</v>
      </c>
      <c r="B46" s="47">
        <f>IF(ECHANTILLONS!B47="","",ECHANTILLONS!B47)</f>
        <v>518</v>
      </c>
      <c r="C46" s="51">
        <f>IF(ECHANTILLONS!C47="","",ECHANTILLONS!C47)</f>
        <v>2503015</v>
      </c>
      <c r="D46" s="52">
        <f>IF('450-600 nm'!B33="","",'450-600 nm'!B33)</f>
        <v>-20.38303693570451</v>
      </c>
      <c r="E46" s="49" t="str">
        <f t="shared" si="0"/>
        <v>NEG</v>
      </c>
      <c r="F46" s="52">
        <f>IF('450-600 nm'!H33="","",'450-600 nm'!H33)</f>
        <v>-30.791646430305974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/>
    </row>
    <row r="47" spans="1:10" ht="15" customHeight="1">
      <c r="A47" s="36" t="s">
        <v>46</v>
      </c>
      <c r="B47" s="47">
        <f>IF(ECHANTILLONS!B48="","",ECHANTILLONS!B48)</f>
        <v>519</v>
      </c>
      <c r="C47" s="51">
        <f>IF(ECHANTILLONS!C48="","",ECHANTILLONS!C48)</f>
        <v>2503017</v>
      </c>
      <c r="D47" s="52">
        <f>IF('450-600 nm'!C33="","",'450-600 nm'!C33)</f>
        <v>-27.359781121751041</v>
      </c>
      <c r="E47" s="49" t="str">
        <f t="shared" si="0"/>
        <v>NEG</v>
      </c>
      <c r="F47" s="52">
        <f>IF('450-600 nm'!I33="","",'450-600 nm'!I33)</f>
        <v>-32.977173385138428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/>
    </row>
    <row r="48" spans="1:10" ht="15" customHeight="1">
      <c r="A48" s="36" t="s">
        <v>47</v>
      </c>
      <c r="B48" s="47">
        <f>IF(ECHANTILLONS!B49="","",ECHANTILLONS!B49)</f>
        <v>520</v>
      </c>
      <c r="C48" s="51">
        <f>IF(ECHANTILLONS!C49="","",ECHANTILLONS!C49)</f>
        <v>2501003</v>
      </c>
      <c r="D48" s="52">
        <f>IF('450-600 nm'!D33="","",'450-600 nm'!D33)</f>
        <v>-29.274965800273606</v>
      </c>
      <c r="E48" s="49" t="str">
        <f t="shared" si="0"/>
        <v>NEG</v>
      </c>
      <c r="F48" s="52">
        <f>IF('450-600 nm'!J33="","",'450-600 nm'!J33)</f>
        <v>-31.42302088392421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/>
    </row>
    <row r="49" spans="1:10" ht="15" customHeight="1">
      <c r="A49" s="36" t="s">
        <v>48</v>
      </c>
      <c r="B49" s="47">
        <f>IF(ECHANTILLONS!B50="","",ECHANTILLONS!B50)</f>
        <v>521</v>
      </c>
      <c r="C49" s="51">
        <f>IF(ECHANTILLONS!C50="","",ECHANTILLONS!C50)</f>
        <v>2500157</v>
      </c>
      <c r="D49" s="52">
        <f>IF('450-600 nm'!E33="","",'450-600 nm'!E33)</f>
        <v>-36.662106703146378</v>
      </c>
      <c r="E49" s="49" t="str">
        <f t="shared" si="0"/>
        <v>NEG</v>
      </c>
      <c r="F49" s="52">
        <f>IF('450-600 nm'!K33="","",'450-600 nm'!K33)</f>
        <v>-26.954832442933437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/>
    </row>
    <row r="50" spans="1:10" ht="15" customHeight="1">
      <c r="A50" s="36" t="s">
        <v>49</v>
      </c>
      <c r="B50" s="47">
        <f>IF(ECHANTILLONS!B51="","",ECHANTILLONS!B51)</f>
        <v>522</v>
      </c>
      <c r="C50" s="51">
        <f>IF(ECHANTILLONS!C51="","",ECHANTILLONS!C51)</f>
        <v>2500118</v>
      </c>
      <c r="D50" s="52">
        <f>IF('450-600 nm'!F33="","",'450-600 nm'!F33)</f>
        <v>-34.883720930232556</v>
      </c>
      <c r="E50" s="49" t="str">
        <f t="shared" si="0"/>
        <v>NEG</v>
      </c>
      <c r="F50" s="52">
        <f>IF('450-600 nm'!L33="","",'450-600 nm'!L33)</f>
        <v>-29.77173385138417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/>
    </row>
    <row r="51" spans="1:10" ht="15" customHeight="1">
      <c r="A51" s="36" t="s">
        <v>50</v>
      </c>
      <c r="B51" s="47">
        <f>IF(ECHANTILLONS!B52="","",ECHANTILLONS!B52)</f>
        <v>523</v>
      </c>
      <c r="C51" s="51">
        <f>IF(ECHANTILLONS!C52="","",ECHANTILLONS!C52)</f>
        <v>2500088</v>
      </c>
      <c r="D51" s="52">
        <f>IF('450-600 nm'!G33="","",'450-600 nm'!G33)</f>
        <v>19.425444596443228</v>
      </c>
      <c r="E51" s="49" t="str">
        <f t="shared" si="0"/>
        <v>NEG</v>
      </c>
      <c r="F51" s="52">
        <f>IF('450-600 nm'!M33="","",'450-600 nm'!M33)</f>
        <v>75.376396308887806</v>
      </c>
      <c r="G51" s="49" t="str">
        <f t="shared" si="1"/>
        <v>POS</v>
      </c>
      <c r="H51" s="49" t="str">
        <f t="shared" si="2"/>
        <v>P</v>
      </c>
      <c r="I51" s="50" t="str">
        <f>IF(ECHANTILLONS!D52="","",ECHANTILLONS!D52)</f>
        <v/>
      </c>
      <c r="J51" s="50"/>
    </row>
    <row r="52" spans="1:10" ht="15" customHeight="1">
      <c r="A52" s="36" t="s">
        <v>51</v>
      </c>
      <c r="B52" s="47">
        <f>IF(ECHANTILLONS!B53="","",ECHANTILLONS!B53)</f>
        <v>524</v>
      </c>
      <c r="C52" s="51">
        <f>IF(ECHANTILLONS!C53="","",ECHANTILLONS!C53)</f>
        <v>2501946</v>
      </c>
      <c r="D52" s="52">
        <f>IF('450-600 nm'!B34="","",'450-600 nm'!B34)</f>
        <v>-17.510259917920649</v>
      </c>
      <c r="E52" s="49" t="str">
        <f t="shared" si="0"/>
        <v>NEG</v>
      </c>
      <c r="F52" s="52">
        <f>IF('450-600 nm'!H34="","",'450-600 nm'!H34)</f>
        <v>-27.537639630888748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/>
    </row>
    <row r="53" spans="1:10" ht="15" customHeight="1">
      <c r="A53" s="36" t="s">
        <v>52</v>
      </c>
      <c r="B53" s="47">
        <f>IF(ECHANTILLONS!B54="","",ECHANTILLONS!B54)</f>
        <v>525</v>
      </c>
      <c r="C53" s="51">
        <f>IF(ECHANTILLONS!C54="","",ECHANTILLONS!C54)</f>
        <v>2501990</v>
      </c>
      <c r="D53" s="52">
        <f>IF('450-600 nm'!C34="","",'450-600 nm'!C34)</f>
        <v>-14.432284541723675</v>
      </c>
      <c r="E53" s="49" t="str">
        <f t="shared" si="0"/>
        <v>NEG</v>
      </c>
      <c r="F53" s="52">
        <f>IF('450-600 nm'!I34="","",'450-600 nm'!I34)</f>
        <v>-33.171442447790184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/>
    </row>
    <row r="54" spans="1:10" ht="15" customHeight="1">
      <c r="A54" s="36" t="s">
        <v>53</v>
      </c>
      <c r="B54" s="47">
        <f>IF(ECHANTILLONS!B55="","",ECHANTILLONS!B55)</f>
        <v>526</v>
      </c>
      <c r="C54" s="51">
        <f>IF(ECHANTILLONS!C55="","",ECHANTILLONS!C55)</f>
        <v>2502603</v>
      </c>
      <c r="D54" s="52">
        <f>IF('450-600 nm'!D34="","",'450-600 nm'!D34)</f>
        <v>-20.930232558139551</v>
      </c>
      <c r="E54" s="49" t="str">
        <f t="shared" si="0"/>
        <v>NEG</v>
      </c>
      <c r="F54" s="52">
        <f>IF('450-600 nm'!J34="","",'450-600 nm'!J34)</f>
        <v>-9.1792132102962682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/>
    </row>
    <row r="55" spans="1:10" ht="15" customHeight="1">
      <c r="A55" s="36" t="s">
        <v>54</v>
      </c>
      <c r="B55" s="47">
        <f>IF(ECHANTILLONS!B56="","",ECHANTILLONS!B56)</f>
        <v>527</v>
      </c>
      <c r="C55" s="51">
        <f>IF(ECHANTILLONS!C56="","",ECHANTILLONS!C56)</f>
        <v>2501044</v>
      </c>
      <c r="D55" s="52">
        <f>IF('450-600 nm'!E34="","",'450-600 nm'!E34)</f>
        <v>-12.448700410396725</v>
      </c>
      <c r="E55" s="49" t="str">
        <f t="shared" si="0"/>
        <v>NEG</v>
      </c>
      <c r="F55" s="52">
        <f>IF('450-600 nm'!K34="","",'450-600 nm'!K34)</f>
        <v>-9.9077221952403818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/>
    </row>
    <row r="56" spans="1:10" ht="15" customHeight="1">
      <c r="A56" s="36" t="s">
        <v>55</v>
      </c>
      <c r="B56" s="47">
        <f>IF(ECHANTILLONS!B57="","",ECHANTILLONS!B57)</f>
        <v>528</v>
      </c>
      <c r="C56" s="51">
        <f>IF(ECHANTILLONS!C57="","",ECHANTILLONS!C57)</f>
        <v>2501043</v>
      </c>
      <c r="D56" s="52">
        <f>IF('450-600 nm'!F34="","",'450-600 nm'!F34)</f>
        <v>-39.329685362517097</v>
      </c>
      <c r="E56" s="49" t="str">
        <f t="shared" si="0"/>
        <v>NEG</v>
      </c>
      <c r="F56" s="52">
        <f>IF('450-600 nm'!L34="","",'450-600 nm'!L34)</f>
        <v>-17.144244779018919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/>
    </row>
    <row r="57" spans="1:10" ht="15" customHeight="1">
      <c r="A57" s="36" t="s">
        <v>56</v>
      </c>
      <c r="B57" s="47">
        <f>IF(ECHANTILLONS!B58="","",ECHANTILLONS!B58)</f>
        <v>529</v>
      </c>
      <c r="C57" s="51">
        <f>IF(ECHANTILLONS!C58="","",ECHANTILLONS!C58)</f>
        <v>2501042</v>
      </c>
      <c r="D57" s="52">
        <f>IF('450-600 nm'!G34="","",'450-600 nm'!G34)</f>
        <v>-32.216142270861837</v>
      </c>
      <c r="E57" s="49" t="str">
        <f t="shared" si="0"/>
        <v>NEG</v>
      </c>
      <c r="F57" s="52">
        <f>IF('450-600 nm'!M34="","",'450-600 nm'!M34)</f>
        <v>-12.967459932005838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/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3049ec1e9b6cbcb15db231c112dd9bea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3c4c0c7e6a1fa28b3fe57b5dfb92add9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2025-12-01T21:03:23+00:00</Uploaded>
  </documentManagement>
</p:properties>
</file>

<file path=customXml/itemProps1.xml><?xml version="1.0" encoding="utf-8"?>
<ds:datastoreItem xmlns:ds="http://schemas.openxmlformats.org/officeDocument/2006/customXml" ds:itemID="{CC3BD18C-D25A-4032-BBC7-26EA5F18FAB5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2025-12-02T12:46:01Z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