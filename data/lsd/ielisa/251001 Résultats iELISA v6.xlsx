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7" documentId="13_ncr:1_{A0FC8A53-C25A-4B12-B707-8AD2741EE52D}" xr6:coauthVersionLast="47" xr6:coauthVersionMax="47" xr10:uidLastSave="{4D3FCCF3-FD99-47E1-803C-1D6B0D6CC64B}"/>
  <bookViews>
    <workbookView xWindow="-120" yWindow="-120" windowWidth="29040" windowHeight="15720" firstSheet="1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8" i="2" l="1"/>
  <c r="H35" i="2"/>
  <c r="H5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<sst xmlns="http://schemas.openxmlformats.org/spreadsheetml/2006/main" count="195" uniqueCount="90">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</sst>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36" zoomScaleNormal="100" workbookViewId="0">
      <selection activeCell="C58" sqref="C58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133</v>
      </c>
      <c r="C15" s="19">
        <v>2402285</v>
      </c>
      <c r="D15" s="20"/>
      <c r="E15" s="14"/>
    </row>
    <row r="16" spans="1:5" ht="20.100000000000001" customHeight="1">
      <c r="A16" s="15" t="s">
        <v>12</v>
      </c>
      <c r="B16" s="19">
        <v>134</v>
      </c>
      <c r="C16" s="19">
        <v>2402457</v>
      </c>
      <c r="D16" s="20"/>
      <c r="E16" s="14"/>
    </row>
    <row r="17" spans="1:5" ht="20.45" customHeight="1">
      <c r="A17" s="15" t="s">
        <v>13</v>
      </c>
      <c r="B17" s="19">
        <v>135</v>
      </c>
      <c r="C17" s="19">
        <v>2402580</v>
      </c>
      <c r="D17" s="20"/>
      <c r="E17" s="14"/>
    </row>
    <row r="18" spans="1:5" ht="20.45" customHeight="1">
      <c r="A18" s="15" t="s">
        <v>14</v>
      </c>
      <c r="B18" s="19">
        <v>136</v>
      </c>
      <c r="C18" s="19">
        <v>2402584</v>
      </c>
      <c r="D18" s="20"/>
      <c r="E18" s="14"/>
    </row>
    <row r="19" spans="1:5" ht="20.45" customHeight="1">
      <c r="A19" s="15" t="s">
        <v>15</v>
      </c>
      <c r="B19" s="19">
        <v>137</v>
      </c>
      <c r="C19" s="19">
        <v>2402576</v>
      </c>
      <c r="D19" s="20"/>
      <c r="E19" s="14"/>
    </row>
    <row r="20" spans="1:5" ht="20.45" customHeight="1">
      <c r="A20" s="15" t="s">
        <v>16</v>
      </c>
      <c r="B20" s="19">
        <v>138</v>
      </c>
      <c r="C20" s="19">
        <v>2500054</v>
      </c>
      <c r="D20" s="20"/>
      <c r="E20" s="14"/>
    </row>
    <row r="21" spans="1:5" ht="20.45" customHeight="1">
      <c r="A21" s="15" t="s">
        <v>17</v>
      </c>
      <c r="B21" s="19">
        <v>139</v>
      </c>
      <c r="C21" s="19">
        <v>2500065</v>
      </c>
      <c r="D21" s="20"/>
      <c r="E21" s="14"/>
    </row>
    <row r="22" spans="1:5" ht="20.45" customHeight="1">
      <c r="A22" s="15" t="s">
        <v>18</v>
      </c>
      <c r="B22" s="19">
        <v>140</v>
      </c>
      <c r="C22" s="19">
        <v>2402074</v>
      </c>
      <c r="D22" s="20"/>
      <c r="E22" s="14"/>
    </row>
    <row r="23" spans="1:5" ht="23.1" customHeight="1">
      <c r="A23" s="15" t="s">
        <v>19</v>
      </c>
      <c r="B23" s="19">
        <v>141</v>
      </c>
      <c r="C23" s="19">
        <v>2501957</v>
      </c>
      <c r="D23" s="20"/>
      <c r="E23" s="14"/>
    </row>
    <row r="24" spans="1:5" ht="20.45" customHeight="1">
      <c r="A24" s="15" t="s">
        <v>20</v>
      </c>
      <c r="B24" s="19">
        <v>142</v>
      </c>
      <c r="C24" s="19">
        <v>2501306</v>
      </c>
      <c r="D24" s="20"/>
      <c r="E24" s="14"/>
    </row>
    <row r="25" spans="1:5" ht="20.45" customHeight="1">
      <c r="A25" s="15" t="s">
        <v>21</v>
      </c>
      <c r="B25" s="19">
        <v>143</v>
      </c>
      <c r="C25" s="19">
        <v>2500008</v>
      </c>
      <c r="D25" s="20"/>
      <c r="E25" s="14"/>
    </row>
    <row r="26" spans="1:5" ht="20.45" customHeight="1">
      <c r="A26" s="15" t="s">
        <v>22</v>
      </c>
      <c r="B26" s="19">
        <v>144</v>
      </c>
      <c r="C26" s="19">
        <v>2500096</v>
      </c>
      <c r="D26" s="20"/>
      <c r="E26" s="14"/>
    </row>
    <row r="27" spans="1:5" ht="20.45" customHeight="1">
      <c r="A27" s="15" t="s">
        <v>23</v>
      </c>
      <c r="B27" s="19">
        <v>145</v>
      </c>
      <c r="C27" s="19">
        <v>2402849</v>
      </c>
      <c r="D27" s="20"/>
      <c r="E27" s="14"/>
    </row>
    <row r="28" spans="1:5" ht="20.45" customHeight="1">
      <c r="A28" s="15" t="s">
        <v>24</v>
      </c>
      <c r="B28" s="19">
        <v>146</v>
      </c>
      <c r="C28" s="19">
        <v>2400767</v>
      </c>
      <c r="D28" s="20"/>
      <c r="E28" s="14"/>
    </row>
    <row r="29" spans="1:5" ht="20.45" customHeight="1">
      <c r="A29" s="15" t="s">
        <v>25</v>
      </c>
      <c r="B29" s="19">
        <v>147</v>
      </c>
      <c r="C29" s="19">
        <v>2402837</v>
      </c>
      <c r="D29" s="20"/>
      <c r="E29" s="14"/>
    </row>
    <row r="30" spans="1:5" ht="20.45" customHeight="1">
      <c r="A30" s="15" t="s">
        <v>26</v>
      </c>
      <c r="B30" s="19">
        <v>148</v>
      </c>
      <c r="C30" s="19">
        <v>2500125</v>
      </c>
      <c r="D30" s="20"/>
      <c r="E30" s="14"/>
    </row>
    <row r="31" spans="1:5" ht="20.100000000000001" customHeight="1">
      <c r="A31" s="15" t="s">
        <v>27</v>
      </c>
      <c r="B31" s="19">
        <v>149</v>
      </c>
      <c r="C31" s="19">
        <v>2500072</v>
      </c>
      <c r="D31" s="20"/>
      <c r="E31" s="14"/>
    </row>
    <row r="32" spans="1:5" ht="20.45" customHeight="1">
      <c r="A32" s="15" t="s">
        <v>28</v>
      </c>
      <c r="B32" s="19">
        <v>150</v>
      </c>
      <c r="C32" s="19">
        <v>2500083</v>
      </c>
      <c r="D32" s="20"/>
      <c r="E32" s="14"/>
    </row>
    <row r="33" spans="1:5" ht="20.45" customHeight="1">
      <c r="A33" s="15" t="s">
        <v>29</v>
      </c>
      <c r="B33" s="19">
        <v>151</v>
      </c>
      <c r="C33" s="19">
        <v>2500050</v>
      </c>
      <c r="D33" s="20"/>
      <c r="E33" s="14"/>
    </row>
    <row r="34" spans="1:5" ht="20.45" customHeight="1">
      <c r="A34" s="15" t="s">
        <v>30</v>
      </c>
      <c r="B34" s="19">
        <v>152</v>
      </c>
      <c r="C34" s="19">
        <v>2401006</v>
      </c>
      <c r="D34" s="20"/>
      <c r="E34" s="14"/>
    </row>
    <row r="35" spans="1:5" ht="20.45" customHeight="1">
      <c r="A35" s="15" t="s">
        <v>31</v>
      </c>
      <c r="B35" s="19">
        <v>153</v>
      </c>
      <c r="C35" s="19">
        <v>2402575</v>
      </c>
      <c r="D35" s="20"/>
      <c r="E35" s="14"/>
    </row>
    <row r="36" spans="1:5" ht="20.45" customHeight="1">
      <c r="A36" s="15" t="s">
        <v>32</v>
      </c>
      <c r="B36" s="19">
        <v>154</v>
      </c>
      <c r="C36" s="19">
        <v>2401086</v>
      </c>
      <c r="D36" s="20"/>
      <c r="E36" s="14"/>
    </row>
    <row r="37" spans="1:5" ht="20.45" customHeight="1">
      <c r="A37" s="15" t="s">
        <v>33</v>
      </c>
      <c r="B37" s="19">
        <v>155</v>
      </c>
      <c r="C37" s="19">
        <v>2401116</v>
      </c>
      <c r="D37" s="20"/>
      <c r="E37" s="14"/>
    </row>
    <row r="38" spans="1:5" ht="20.100000000000001" customHeight="1">
      <c r="A38" s="15" t="s">
        <v>34</v>
      </c>
      <c r="B38" s="19">
        <v>156</v>
      </c>
      <c r="C38" s="19">
        <v>2502159</v>
      </c>
      <c r="D38" s="20"/>
      <c r="E38" s="14"/>
    </row>
    <row r="39" spans="1:5" ht="20.100000000000001" customHeight="1">
      <c r="A39" s="15" t="s">
        <v>35</v>
      </c>
      <c r="B39" s="19">
        <v>157</v>
      </c>
      <c r="C39" s="19">
        <v>2501982</v>
      </c>
      <c r="D39" s="20"/>
      <c r="E39" s="14"/>
    </row>
    <row r="40" spans="1:5" ht="20.45" customHeight="1">
      <c r="A40" s="15" t="s">
        <v>36</v>
      </c>
      <c r="B40" s="19">
        <v>158</v>
      </c>
      <c r="C40" s="19">
        <v>2502111</v>
      </c>
      <c r="D40" s="20"/>
      <c r="E40" s="14"/>
    </row>
    <row r="41" spans="1:5" ht="20.100000000000001" customHeight="1">
      <c r="A41" s="15" t="s">
        <v>37</v>
      </c>
      <c r="B41" s="19">
        <v>159</v>
      </c>
      <c r="C41" s="19">
        <v>2501975</v>
      </c>
      <c r="D41" s="20"/>
      <c r="E41" s="14"/>
    </row>
    <row r="42" spans="1:5" ht="20.45" customHeight="1">
      <c r="A42" s="15" t="s">
        <v>38</v>
      </c>
      <c r="B42" s="19">
        <v>160</v>
      </c>
      <c r="C42" s="19">
        <v>2401114</v>
      </c>
      <c r="D42" s="20"/>
      <c r="E42" s="14"/>
    </row>
    <row r="43" spans="1:5" ht="20.45" customHeight="1">
      <c r="A43" s="15" t="s">
        <v>39</v>
      </c>
      <c r="B43" s="19">
        <v>161</v>
      </c>
      <c r="C43" s="19">
        <v>2502119</v>
      </c>
      <c r="D43" s="20"/>
      <c r="E43" s="14"/>
    </row>
    <row r="44" spans="1:5" ht="20.45" customHeight="1">
      <c r="A44" s="15" t="s">
        <v>40</v>
      </c>
      <c r="B44" s="19">
        <v>162</v>
      </c>
      <c r="C44" s="19">
        <v>2502113</v>
      </c>
      <c r="D44" s="20"/>
      <c r="E44" s="14"/>
    </row>
    <row r="45" spans="1:5" ht="20.45" customHeight="1">
      <c r="A45" s="15" t="s">
        <v>41</v>
      </c>
      <c r="B45" s="19">
        <v>163</v>
      </c>
      <c r="C45" s="19">
        <v>2502115</v>
      </c>
      <c r="D45" s="20"/>
      <c r="E45" s="14"/>
    </row>
    <row r="46" spans="1:5" ht="20.45" customHeight="1">
      <c r="A46" s="15" t="s">
        <v>42</v>
      </c>
      <c r="B46" s="19">
        <v>164</v>
      </c>
      <c r="C46" s="19">
        <v>2401050</v>
      </c>
      <c r="D46" s="20"/>
      <c r="E46" s="14"/>
    </row>
    <row r="47" spans="1:5" ht="20.45" customHeight="1">
      <c r="A47" s="15" t="s">
        <v>43</v>
      </c>
      <c r="B47" s="19">
        <v>165</v>
      </c>
      <c r="C47" s="19">
        <v>2501967</v>
      </c>
      <c r="D47" s="20"/>
      <c r="E47" s="14"/>
    </row>
    <row r="48" spans="1:5" ht="20.45" customHeight="1">
      <c r="A48" s="15" t="s">
        <v>44</v>
      </c>
      <c r="B48" s="19">
        <v>166</v>
      </c>
      <c r="C48" s="19">
        <v>2501963</v>
      </c>
      <c r="D48" s="20"/>
      <c r="E48" s="14"/>
    </row>
    <row r="49" spans="1:5" ht="20.45" customHeight="1">
      <c r="A49" s="15" t="s">
        <v>45</v>
      </c>
      <c r="B49" s="19">
        <v>167</v>
      </c>
      <c r="C49" s="19">
        <v>2501940</v>
      </c>
      <c r="D49" s="20"/>
      <c r="E49" s="14"/>
    </row>
    <row r="50" spans="1:5" ht="20.45" customHeight="1">
      <c r="A50" s="15" t="s">
        <v>46</v>
      </c>
      <c r="B50" s="19">
        <v>168</v>
      </c>
      <c r="C50" s="19">
        <v>2500044</v>
      </c>
      <c r="D50" s="20"/>
      <c r="E50" s="14"/>
    </row>
    <row r="51" spans="1:5" ht="21.6" customHeight="1">
      <c r="A51" s="15" t="s">
        <v>47</v>
      </c>
      <c r="B51" s="19">
        <v>169</v>
      </c>
      <c r="C51" s="19">
        <v>2500062</v>
      </c>
      <c r="D51" s="20"/>
      <c r="E51" s="14"/>
    </row>
    <row r="52" spans="1:5" ht="20.45" customHeight="1">
      <c r="A52" s="15" t="s">
        <v>48</v>
      </c>
      <c r="B52" s="19">
        <v>170</v>
      </c>
      <c r="C52" s="19">
        <v>2500042</v>
      </c>
      <c r="D52" s="20"/>
      <c r="E52" s="14"/>
    </row>
    <row r="53" spans="1:5" ht="21.6" customHeight="1">
      <c r="A53" s="15" t="s">
        <v>49</v>
      </c>
      <c r="B53" s="19">
        <v>171</v>
      </c>
      <c r="C53" s="19">
        <v>2500032</v>
      </c>
      <c r="D53" s="20"/>
      <c r="E53" s="14"/>
    </row>
    <row r="54" spans="1:5" ht="20.100000000000001" customHeight="1">
      <c r="A54" s="15" t="s">
        <v>50</v>
      </c>
      <c r="B54" s="19">
        <v>172</v>
      </c>
      <c r="C54" s="19">
        <v>2500006</v>
      </c>
      <c r="D54" s="20"/>
      <c r="E54" s="14"/>
    </row>
    <row r="55" spans="1:5" ht="20.45" customHeight="1">
      <c r="A55" s="15" t="s">
        <v>51</v>
      </c>
      <c r="B55" s="19">
        <v>173</v>
      </c>
      <c r="C55" s="19">
        <v>2500021</v>
      </c>
      <c r="D55" s="20"/>
      <c r="E55" s="14"/>
    </row>
    <row r="56" spans="1:5" ht="20.45" customHeight="1">
      <c r="A56" s="15" t="s">
        <v>52</v>
      </c>
      <c r="B56" s="19">
        <v>174</v>
      </c>
      <c r="C56" s="19">
        <v>2500018</v>
      </c>
      <c r="D56" s="20"/>
      <c r="E56" s="14"/>
    </row>
    <row r="57" spans="1:5" ht="20.45" customHeight="1">
      <c r="A57" s="15" t="s">
        <v>53</v>
      </c>
      <c r="B57" s="19">
        <v>175</v>
      </c>
      <c r="C57" s="19">
        <v>2500031</v>
      </c>
      <c r="D57" s="20"/>
      <c r="E57" s="14"/>
    </row>
    <row r="58" spans="1:5" ht="20.100000000000001" customHeight="1">
      <c r="A58" s="15" t="s">
        <v>54</v>
      </c>
      <c r="B58" s="19">
        <v>176</v>
      </c>
      <c r="C58" s="19">
        <v>2501233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20" zoomScale="90" zoomScaleNormal="90" workbookViewId="0">
      <selection activeCell="B20" sqref="B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57</v>
      </c>
      <c r="B5" s="60"/>
      <c r="C5" s="21" t="str">
        <f>IF(ECHANTILLONS!C6="","",ECHANTILLONS!C6)</f>
        <v/>
      </c>
      <c r="E5" s="24"/>
      <c r="F5" s="25" t="s">
        <v>58</v>
      </c>
      <c r="G5" s="64" t="str">
        <f>IF(ECHANTILLONS!C10="","",ECHANTILLONS!C10)</f>
        <v/>
      </c>
      <c r="H5" s="64" t="str">
        <f>IF(ECHANTILLONS!F6="","",ECHANTILLONS!F6)</f>
        <v/>
      </c>
    </row>
    <row r="6" spans="1:13" ht="15.95" customHeight="1">
      <c r="A6" s="60" t="s">
        <v>59</v>
      </c>
      <c r="B6" s="60"/>
      <c r="C6" s="22" t="str">
        <f>IF(ECHANTILLONS!C7="","",ECHANTILLONS!C7)</f>
        <v/>
      </c>
    </row>
    <row r="7" spans="1:13" ht="15.95" customHeight="1">
      <c r="A7" s="60" t="s">
        <v>60</v>
      </c>
      <c r="B7" s="60"/>
      <c r="C7" s="22">
        <f>IF(ECHANTILLONS!C8="","",ECHANTILLONS!C8)</f>
        <v>3915223</v>
      </c>
    </row>
    <row r="8" spans="1:13" ht="15.95" customHeight="1">
      <c r="A8" s="60" t="s">
        <v>61</v>
      </c>
      <c r="B8" s="60"/>
      <c r="C8" s="22" t="str">
        <f>IF(ECHANTILLONS!C9="","",ECHANTILLONS!C9)</f>
        <v/>
      </c>
    </row>
    <row r="9" spans="1:13" ht="15.95" customHeight="1">
      <c r="A9" s="60" t="s">
        <v>62</v>
      </c>
      <c r="B9" s="6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0.40300000000000002</v>
      </c>
      <c r="C13" s="18">
        <v>0.27400000000000002</v>
      </c>
      <c r="D13" s="18">
        <v>8.8999999999999996E-2</v>
      </c>
      <c r="E13" s="18">
        <v>6.4000000000000001E-2</v>
      </c>
      <c r="F13" s="18">
        <v>0.40400000000000003</v>
      </c>
      <c r="G13" s="18">
        <v>0.314</v>
      </c>
      <c r="H13" s="18">
        <v>1.575</v>
      </c>
      <c r="I13" s="18">
        <v>1.4710000000000001</v>
      </c>
      <c r="J13" s="18">
        <v>0.42499999999999999</v>
      </c>
      <c r="K13" s="18">
        <v>0.38600000000000001</v>
      </c>
      <c r="L13" s="18">
        <v>0.73699999999999999</v>
      </c>
      <c r="M13" s="18">
        <v>1.224</v>
      </c>
    </row>
    <row r="14" spans="1:13">
      <c r="A14" s="10" t="s">
        <v>65</v>
      </c>
      <c r="B14" s="18">
        <v>0.113</v>
      </c>
      <c r="C14" s="18">
        <v>0.24099999999999999</v>
      </c>
      <c r="D14" s="18">
        <v>0.14399999999999999</v>
      </c>
      <c r="E14" s="18">
        <v>0.02</v>
      </c>
      <c r="F14" s="18">
        <v>0.29499999999999998</v>
      </c>
      <c r="G14" s="18">
        <v>0.186</v>
      </c>
      <c r="H14" s="18">
        <v>1.5069999999999999</v>
      </c>
      <c r="I14" s="18">
        <v>1.327</v>
      </c>
      <c r="J14" s="18">
        <v>1.3169999999999999</v>
      </c>
      <c r="K14" s="18">
        <v>0.19600000000000001</v>
      </c>
      <c r="L14" s="18">
        <v>0.96199999999999997</v>
      </c>
      <c r="M14" s="18">
        <v>1.4910000000000001</v>
      </c>
    </row>
    <row r="15" spans="1:13">
      <c r="A15" s="10" t="s">
        <v>66</v>
      </c>
      <c r="B15" s="18">
        <v>0.157</v>
      </c>
      <c r="C15" s="18">
        <v>0.38</v>
      </c>
      <c r="D15" s="18">
        <v>1.0549999999999999</v>
      </c>
      <c r="E15" s="18">
        <v>0.24399999999999999</v>
      </c>
      <c r="F15" s="18">
        <v>0.20300000000000001</v>
      </c>
      <c r="G15" s="18">
        <v>0.93200000000000005</v>
      </c>
      <c r="H15" s="18">
        <v>1.42</v>
      </c>
      <c r="I15" s="18">
        <v>1.3620000000000001</v>
      </c>
      <c r="J15" s="18">
        <v>1.415</v>
      </c>
      <c r="K15" s="18">
        <v>1.369</v>
      </c>
      <c r="L15" s="18">
        <v>1.482</v>
      </c>
      <c r="M15" s="18">
        <v>1.631</v>
      </c>
    </row>
    <row r="16" spans="1:13">
      <c r="A16" s="10" t="s">
        <v>67</v>
      </c>
      <c r="B16" s="18">
        <v>0.159</v>
      </c>
      <c r="C16" s="18">
        <v>0.26100000000000001</v>
      </c>
      <c r="D16" s="18">
        <v>1.1830000000000001</v>
      </c>
      <c r="E16" s="18">
        <v>1.107</v>
      </c>
      <c r="F16" s="18">
        <v>0.216</v>
      </c>
      <c r="G16" s="18">
        <v>0.17799999999999999</v>
      </c>
      <c r="H16" s="18">
        <v>1.6</v>
      </c>
      <c r="I16" s="18">
        <v>1.2210000000000001</v>
      </c>
      <c r="J16" s="18">
        <v>1.716</v>
      </c>
      <c r="K16" s="18">
        <v>1.2110000000000001</v>
      </c>
      <c r="L16" s="18">
        <v>0.44900000000000001</v>
      </c>
      <c r="M16" s="18">
        <v>1.0469999999999999</v>
      </c>
    </row>
    <row r="17" spans="1:13">
      <c r="A17" s="10" t="s">
        <v>68</v>
      </c>
      <c r="B17" s="18">
        <v>6.8000000000000005E-2</v>
      </c>
      <c r="C17" s="18">
        <v>0.125</v>
      </c>
      <c r="D17" s="18">
        <v>1.135</v>
      </c>
      <c r="E17" s="18">
        <v>0.218</v>
      </c>
      <c r="F17" s="18">
        <v>1.0329999999999999</v>
      </c>
      <c r="G17" s="18">
        <v>0.215</v>
      </c>
      <c r="H17" s="18">
        <v>0.76500000000000001</v>
      </c>
      <c r="I17" s="18">
        <v>1.371</v>
      </c>
      <c r="J17" s="18">
        <v>1.111</v>
      </c>
      <c r="K17" s="18">
        <v>1.401</v>
      </c>
      <c r="L17" s="18">
        <v>1.351</v>
      </c>
      <c r="M17" s="18">
        <v>1.599</v>
      </c>
    </row>
    <row r="18" spans="1:13">
      <c r="A18" s="10" t="s">
        <v>69</v>
      </c>
      <c r="B18" s="18">
        <v>0.17699999999999999</v>
      </c>
      <c r="C18" s="18">
        <v>1.2689999999999999</v>
      </c>
      <c r="D18" s="18">
        <v>0.311</v>
      </c>
      <c r="E18" s="18">
        <v>0.152</v>
      </c>
      <c r="F18" s="18">
        <v>0.29099999999999998</v>
      </c>
      <c r="G18" s="18">
        <v>0.222</v>
      </c>
      <c r="H18" s="18">
        <v>0.96299999999999997</v>
      </c>
      <c r="I18" s="18">
        <v>1.1499999999999999</v>
      </c>
      <c r="J18" s="18">
        <v>1.8680000000000001</v>
      </c>
      <c r="K18" s="18">
        <v>1.833</v>
      </c>
      <c r="L18" s="18">
        <v>1.105</v>
      </c>
      <c r="M18" s="18">
        <v>0.59199999999999997</v>
      </c>
    </row>
    <row r="19" spans="1:13">
      <c r="A19" s="10" t="s">
        <v>70</v>
      </c>
      <c r="B19" s="18">
        <v>0.52400000000000002</v>
      </c>
      <c r="C19" s="18">
        <v>0.26600000000000001</v>
      </c>
      <c r="D19" s="18">
        <v>0.308</v>
      </c>
      <c r="E19" s="18">
        <v>1.1930000000000001</v>
      </c>
      <c r="F19" s="18">
        <v>0.34399999999999997</v>
      </c>
      <c r="G19" s="18">
        <v>0.27800000000000002</v>
      </c>
      <c r="H19" s="18">
        <v>1.6719999999999999</v>
      </c>
      <c r="I19" s="18">
        <v>1.2949999999999999</v>
      </c>
      <c r="J19" s="18">
        <v>1.7809999999999999</v>
      </c>
      <c r="K19" s="18">
        <v>1.8620000000000001</v>
      </c>
      <c r="L19" s="18">
        <v>1.085</v>
      </c>
      <c r="M19" s="18">
        <v>1.095</v>
      </c>
    </row>
    <row r="20" spans="1:13">
      <c r="A20" s="9" t="s">
        <v>71</v>
      </c>
      <c r="B20" s="18">
        <v>0.49199999999999999</v>
      </c>
      <c r="C20" s="18">
        <v>0.32</v>
      </c>
      <c r="D20" s="18">
        <v>0.34</v>
      </c>
      <c r="E20" s="18">
        <v>0.33600000000000002</v>
      </c>
      <c r="F20" s="18">
        <v>0.317</v>
      </c>
      <c r="G20" s="18">
        <v>0.42299999999999999</v>
      </c>
      <c r="H20" s="18">
        <v>1.768</v>
      </c>
      <c r="I20" s="18">
        <v>2.0449999999999999</v>
      </c>
      <c r="J20" s="18">
        <v>1.1819999999999999</v>
      </c>
      <c r="K20" s="18">
        <v>1.399</v>
      </c>
      <c r="L20" s="18">
        <v>1.448</v>
      </c>
      <c r="M20" s="18">
        <v>0.25900000000000001</v>
      </c>
    </row>
    <row r="21" spans="1:13" s="4" customFormat="1">
      <c r="A21" s="5"/>
    </row>
    <row r="22" spans="1:13">
      <c r="A22" s="5"/>
      <c r="B22" s="61" t="s">
        <v>72</v>
      </c>
      <c r="C22" s="62"/>
      <c r="D22" s="62"/>
      <c r="E22" s="62"/>
      <c r="F22" s="62"/>
      <c r="G22" s="63"/>
      <c r="H22" s="57" t="s">
        <v>73</v>
      </c>
      <c r="I22" s="58"/>
      <c r="J22" s="58"/>
      <c r="K22" s="58"/>
      <c r="L22" s="58"/>
      <c r="M22" s="59"/>
    </row>
    <row r="23" spans="1:13">
      <c r="A23" s="3"/>
      <c r="B23" s="61" t="s">
        <v>74</v>
      </c>
      <c r="C23" s="63"/>
      <c r="D23" s="61" t="s">
        <v>75</v>
      </c>
      <c r="E23" s="63"/>
      <c r="F23" s="61" t="s">
        <v>76</v>
      </c>
      <c r="G23" s="63"/>
      <c r="H23" s="57" t="s">
        <v>77</v>
      </c>
      <c r="I23" s="59"/>
      <c r="J23" s="57" t="s">
        <v>78</v>
      </c>
      <c r="K23" s="59"/>
      <c r="L23" s="57" t="s">
        <v>79</v>
      </c>
      <c r="M23" s="59"/>
    </row>
    <row r="24" spans="1:13">
      <c r="A24" s="3"/>
      <c r="B24" s="67">
        <f>(B13+C13)/2</f>
        <v>0.33850000000000002</v>
      </c>
      <c r="C24" s="68"/>
      <c r="D24" s="67">
        <f>(D13+E13)/2</f>
        <v>7.6499999999999999E-2</v>
      </c>
      <c r="E24" s="68"/>
      <c r="F24" s="69">
        <f>100-(D24/B24*100)</f>
        <v>77.400295420974885</v>
      </c>
      <c r="G24" s="70"/>
      <c r="H24" s="71">
        <f>(H13+I13)/2</f>
        <v>1.5230000000000001</v>
      </c>
      <c r="I24" s="72"/>
      <c r="J24" s="71">
        <f>(J13+K13)/2</f>
        <v>0.40549999999999997</v>
      </c>
      <c r="K24" s="72"/>
      <c r="L24" s="65">
        <f>100-(J24/H24*100)</f>
        <v>73.374917925147741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-19.350073855243721</v>
      </c>
      <c r="G27" s="7">
        <f>IF(G13="","",100-G13/$B$24*100)</f>
        <v>7.2378138847858224</v>
      </c>
      <c r="H27" s="8"/>
      <c r="I27" s="8"/>
      <c r="J27" s="8"/>
      <c r="K27" s="8"/>
      <c r="L27" s="7">
        <f>IF(L13="","",100-L13/$H$24*100)</f>
        <v>51.608667104399217</v>
      </c>
      <c r="M27" s="7">
        <f>IF(M13="","",100-M13/$H$24*100)</f>
        <v>19.63230466185162</v>
      </c>
    </row>
    <row r="28" spans="1:13">
      <c r="A28" s="3" t="s">
        <v>65</v>
      </c>
      <c r="B28" s="7">
        <f>IF(B14="","",100-B14/$B$24*100)</f>
        <v>66.617429837518472</v>
      </c>
      <c r="C28" s="7">
        <f t="shared" ref="C28:G28" si="0">IF(C14="","",100-C14/$B$24*100)</f>
        <v>28.803545051698677</v>
      </c>
      <c r="D28" s="7">
        <f t="shared" si="0"/>
        <v>57.459379615952741</v>
      </c>
      <c r="E28" s="7">
        <f t="shared" si="0"/>
        <v>94.091580502215663</v>
      </c>
      <c r="F28" s="7">
        <f t="shared" si="0"/>
        <v>12.850812407680962</v>
      </c>
      <c r="G28" s="7">
        <f t="shared" si="0"/>
        <v>45.051698670605624</v>
      </c>
      <c r="H28" s="7">
        <f>IF(H14="","",100-H14/$H$24*100)</f>
        <v>1.0505581089954177</v>
      </c>
      <c r="I28" s="7">
        <f t="shared" ref="I28:L28" si="1">IF(I14="","",100-I14/$H$24*100)</f>
        <v>12.869336835193707</v>
      </c>
      <c r="J28" s="7">
        <f t="shared" si="1"/>
        <v>13.525935653315841</v>
      </c>
      <c r="K28" s="7">
        <f t="shared" si="1"/>
        <v>87.130663164806307</v>
      </c>
      <c r="L28" s="7">
        <f t="shared" si="1"/>
        <v>36.835193696651359</v>
      </c>
      <c r="M28" s="7">
        <f>IF(M14="","",100-M14/$H$24*100)</f>
        <v>2.1011162179908069</v>
      </c>
    </row>
    <row r="29" spans="1:13">
      <c r="A29" s="3" t="s">
        <v>66</v>
      </c>
      <c r="B29" s="7">
        <f t="shared" ref="B29:G29" si="2">IF(B15="","",100-B15/$B$24*100)</f>
        <v>53.618906942392911</v>
      </c>
      <c r="C29" s="7">
        <f t="shared" si="2"/>
        <v>-12.259970457902497</v>
      </c>
      <c r="D29" s="7">
        <f t="shared" si="2"/>
        <v>-211.669128508124</v>
      </c>
      <c r="E29" s="7">
        <f t="shared" si="2"/>
        <v>27.917282127031029</v>
      </c>
      <c r="F29" s="7">
        <f t="shared" si="2"/>
        <v>40.029542097488921</v>
      </c>
      <c r="G29" s="7">
        <f t="shared" si="2"/>
        <v>-175.33234859675036</v>
      </c>
      <c r="H29" s="7">
        <f t="shared" ref="H29:M29" si="3">IF(H15="","",100-H15/$H$24*100)</f>
        <v>6.7629678266579276</v>
      </c>
      <c r="I29" s="7">
        <f t="shared" si="3"/>
        <v>10.571240971766244</v>
      </c>
      <c r="J29" s="7">
        <f t="shared" si="3"/>
        <v>7.0912672357189734</v>
      </c>
      <c r="K29" s="7">
        <f t="shared" si="3"/>
        <v>10.111621799080766</v>
      </c>
      <c r="L29" s="7">
        <f t="shared" si="3"/>
        <v>2.6920551543007321</v>
      </c>
      <c r="M29" s="7">
        <f t="shared" si="3"/>
        <v>-7.0912672357189592</v>
      </c>
    </row>
    <row r="30" spans="1:13">
      <c r="A30" s="3" t="s">
        <v>67</v>
      </c>
      <c r="B30" s="7">
        <f t="shared" ref="B30:G30" si="4">IF(B16="","",100-B16/$B$24*100)</f>
        <v>53.028064992614475</v>
      </c>
      <c r="C30" s="7">
        <f t="shared" si="4"/>
        <v>22.895125553914326</v>
      </c>
      <c r="D30" s="7">
        <f t="shared" si="4"/>
        <v>-249.48301329394383</v>
      </c>
      <c r="E30" s="7">
        <f t="shared" si="4"/>
        <v>-227.03101920236332</v>
      </c>
      <c r="F30" s="7">
        <f t="shared" si="4"/>
        <v>36.189069423929098</v>
      </c>
      <c r="G30" s="7">
        <f t="shared" si="4"/>
        <v>47.415066469719356</v>
      </c>
      <c r="H30" s="7">
        <f t="shared" ref="H30:M30" si="5">IF(H16="","",100-H16/$H$24*100)</f>
        <v>-5.0558108995403757</v>
      </c>
      <c r="I30" s="7">
        <f t="shared" si="5"/>
        <v>19.829284307288248</v>
      </c>
      <c r="J30" s="7">
        <f t="shared" si="5"/>
        <v>-12.672357189757051</v>
      </c>
      <c r="K30" s="7">
        <f t="shared" si="5"/>
        <v>20.485883125410382</v>
      </c>
      <c r="L30" s="7">
        <f t="shared" si="5"/>
        <v>70.518713066316479</v>
      </c>
      <c r="M30" s="7">
        <f t="shared" si="5"/>
        <v>31.254103742613268</v>
      </c>
    </row>
    <row r="31" spans="1:13">
      <c r="A31" s="3" t="s">
        <v>68</v>
      </c>
      <c r="B31" s="7">
        <f t="shared" ref="B31:G31" si="6">IF(B17="","",100-B17/$B$24*100)</f>
        <v>79.91137370753323</v>
      </c>
      <c r="C31" s="7">
        <f t="shared" si="6"/>
        <v>63.07237813884786</v>
      </c>
      <c r="D31" s="7">
        <f t="shared" si="6"/>
        <v>-235.30280649926141</v>
      </c>
      <c r="E31" s="7">
        <f t="shared" si="6"/>
        <v>35.598227474150661</v>
      </c>
      <c r="F31" s="7">
        <f t="shared" si="6"/>
        <v>-205.16986706056122</v>
      </c>
      <c r="G31" s="7">
        <f t="shared" si="6"/>
        <v>36.484490398818323</v>
      </c>
      <c r="H31" s="7">
        <f t="shared" ref="H31:M31" si="7">IF(H17="","",100-H17/$H$24*100)</f>
        <v>49.770190413657254</v>
      </c>
      <c r="I31" s="7">
        <f t="shared" si="7"/>
        <v>9.9803020354563472</v>
      </c>
      <c r="J31" s="7">
        <f t="shared" si="7"/>
        <v>27.051871306631654</v>
      </c>
      <c r="K31" s="7">
        <f t="shared" si="7"/>
        <v>8.0105055810899586</v>
      </c>
      <c r="L31" s="7">
        <f t="shared" si="7"/>
        <v>11.293499671700602</v>
      </c>
      <c r="M31" s="7">
        <f t="shared" si="7"/>
        <v>-4.9901510177281523</v>
      </c>
    </row>
    <row r="32" spans="1:13">
      <c r="A32" s="3" t="s">
        <v>69</v>
      </c>
      <c r="B32" s="7">
        <f t="shared" ref="B32:G32" si="8">IF(B18="","",100-B18/$B$24*100)</f>
        <v>47.710487444608574</v>
      </c>
      <c r="C32" s="7">
        <f t="shared" si="8"/>
        <v>-274.88921713441647</v>
      </c>
      <c r="D32" s="7">
        <f t="shared" si="8"/>
        <v>8.1240768094534701</v>
      </c>
      <c r="E32" s="7">
        <f t="shared" si="8"/>
        <v>55.096011816839003</v>
      </c>
      <c r="F32" s="7">
        <f t="shared" si="8"/>
        <v>14.032496307237835</v>
      </c>
      <c r="G32" s="7">
        <f t="shared" si="8"/>
        <v>34.416543574593803</v>
      </c>
      <c r="H32" s="7">
        <f t="shared" ref="H32:M32" si="9">IF(H18="","",100-H18/$H$24*100)</f>
        <v>36.769533814839136</v>
      </c>
      <c r="I32" s="7">
        <f t="shared" si="9"/>
        <v>24.491135915955368</v>
      </c>
      <c r="J32" s="7">
        <f t="shared" si="9"/>
        <v>-22.652659225213398</v>
      </c>
      <c r="K32" s="7">
        <f t="shared" si="9"/>
        <v>-20.354563361785935</v>
      </c>
      <c r="L32" s="7">
        <f t="shared" si="9"/>
        <v>27.445830597504923</v>
      </c>
      <c r="M32" s="7">
        <f t="shared" si="9"/>
        <v>61.129349967170064</v>
      </c>
    </row>
    <row r="33" spans="1:13">
      <c r="A33" s="3" t="s">
        <v>70</v>
      </c>
      <c r="B33" s="7">
        <f t="shared" ref="B33:G33" si="10">IF(B19="","",100-B19/$B$24*100)</f>
        <v>-54.80059084194977</v>
      </c>
      <c r="C33" s="7">
        <f t="shared" si="10"/>
        <v>21.418020679468242</v>
      </c>
      <c r="D33" s="7">
        <f t="shared" si="10"/>
        <v>9.010339734121132</v>
      </c>
      <c r="E33" s="7">
        <f t="shared" si="10"/>
        <v>-252.43722304283602</v>
      </c>
      <c r="F33" s="7">
        <f t="shared" si="10"/>
        <v>-1.6248153618906684</v>
      </c>
      <c r="G33" s="7">
        <f t="shared" si="10"/>
        <v>17.872968980797637</v>
      </c>
      <c r="H33" s="7">
        <f t="shared" ref="H33:M34" si="11">IF(H19="","",100-H19/$H$24*100)</f>
        <v>-9.7833223900196913</v>
      </c>
      <c r="I33" s="7">
        <f t="shared" si="11"/>
        <v>14.970453053184514</v>
      </c>
      <c r="J33" s="7">
        <f t="shared" si="11"/>
        <v>-16.94024950755086</v>
      </c>
      <c r="K33" s="7">
        <f t="shared" si="11"/>
        <v>-22.258699934340115</v>
      </c>
      <c r="L33" s="7">
        <f t="shared" si="11"/>
        <v>28.759028233749177</v>
      </c>
      <c r="M33" s="7">
        <f t="shared" si="11"/>
        <v>28.102429415627057</v>
      </c>
    </row>
    <row r="34" spans="1:13">
      <c r="A34" s="3" t="s">
        <v>71</v>
      </c>
      <c r="B34" s="7">
        <f t="shared" ref="B34:G34" si="12">IF(B20="","",100-B20/$B$24*100)</f>
        <v>-45.347119645494814</v>
      </c>
      <c r="C34" s="7">
        <f t="shared" si="12"/>
        <v>5.4652880354505271</v>
      </c>
      <c r="D34" s="7">
        <f t="shared" si="12"/>
        <v>-0.44313146233383804</v>
      </c>
      <c r="E34" s="7">
        <f t="shared" si="12"/>
        <v>0.73855243722303499</v>
      </c>
      <c r="F34" s="7">
        <f t="shared" si="12"/>
        <v>6.3515509601181748</v>
      </c>
      <c r="G34" s="7">
        <f t="shared" si="12"/>
        <v>-24.963072378138833</v>
      </c>
      <c r="H34" s="7">
        <f>IF(H20="","",100-H20/$H$24*100)</f>
        <v>-16.086671043992112</v>
      </c>
      <c r="I34" s="7">
        <f t="shared" si="11"/>
        <v>-34.274458305975031</v>
      </c>
      <c r="J34" s="7">
        <f t="shared" si="11"/>
        <v>22.390019697964561</v>
      </c>
      <c r="K34" s="7">
        <f t="shared" si="11"/>
        <v>8.1418253447143769</v>
      </c>
      <c r="L34" s="7">
        <f t="shared" si="11"/>
        <v>4.9244911359159715</v>
      </c>
      <c r="M34" s="7">
        <f>IF(M20="","",100-M20/$H$24*100)</f>
        <v>82.994090610636903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4" workbookViewId="0">
      <selection activeCell="I4" sqref="I4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 t="str">
        <f>IF(ECHANTILLONS!C6="","",ECHANTILLONS!C6)</f>
        <v/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tr">
        <f>IF(ECHANTILLONS!C7="","",ECHANTILLONS!C7)</f>
        <v/>
      </c>
      <c r="D6" s="27"/>
      <c r="E6" s="27"/>
      <c r="F6" s="27"/>
      <c r="G6" s="27"/>
      <c r="H6" s="27"/>
      <c r="I6" s="30"/>
    </row>
    <row r="7" spans="1:12" ht="15" customHeight="1">
      <c r="A7" s="32" t="s">
        <v>83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84</v>
      </c>
      <c r="B9" s="33"/>
      <c r="C9" s="38" t="str">
        <f>IF(ECHANTILLONS!C10="","",ECHANTILLONS!C10)</f>
        <v/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85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86</v>
      </c>
      <c r="E13" s="44" t="s">
        <v>87</v>
      </c>
      <c r="F13" s="41" t="s">
        <v>86</v>
      </c>
      <c r="G13" s="44" t="s">
        <v>87</v>
      </c>
      <c r="H13" s="74"/>
      <c r="I13" s="45" t="s">
        <v>88</v>
      </c>
      <c r="J13" s="55" t="s">
        <v>89</v>
      </c>
      <c r="K13" s="54"/>
      <c r="L13" s="54"/>
    </row>
    <row r="14" spans="1:12" ht="15" customHeight="1">
      <c r="A14" s="46" t="s">
        <v>11</v>
      </c>
      <c r="B14" s="47">
        <f>IF(ECHANTILLONS!B15="","",ECHANTILLONS!B15)</f>
        <v>133</v>
      </c>
      <c r="C14" s="48">
        <f>IF(ECHANTILLONS!C15="","",ECHANTILLONS!C15)</f>
        <v>2402285</v>
      </c>
      <c r="D14" s="49">
        <f>IF('450-600 nm'!F27="","",'450-600 nm'!F27)</f>
        <v>-19.350073855243721</v>
      </c>
      <c r="E14" s="49" t="str">
        <f>IF(D14="","",IF(D14&gt;=$G$5,"POS","NEG"))</f>
        <v>NEG</v>
      </c>
      <c r="F14" s="49">
        <f>IF('450-600 nm'!L27="","",'450-600 nm'!L27)</f>
        <v>51.608667104399217</v>
      </c>
      <c r="G14" s="49" t="str">
        <f>IF(F14="","",IF(F14&gt;=$G$5,"POS","NEG"))</f>
        <v>POS</v>
      </c>
      <c r="H14" s="49" t="str">
        <f>IF(AND(E14="NEG",G14="NEG"),"N",IF(E14="POS","P",IF(G14="POS","P","")))</f>
        <v>P</v>
      </c>
      <c r="I14" s="50" t="str">
        <f>IF(ECHANTILLONS!D15="","",ECHANTILLONS!D15)</f>
        <v/>
      </c>
      <c r="J14" s="50" t="s">
        <v>68</v>
      </c>
    </row>
    <row r="15" spans="1:12" ht="15" customHeight="1">
      <c r="A15" s="36" t="s">
        <v>12</v>
      </c>
      <c r="B15" s="47">
        <f>IF(ECHANTILLONS!B16="","",ECHANTILLONS!B16)</f>
        <v>134</v>
      </c>
      <c r="C15" s="51">
        <f>IF(ECHANTILLONS!C16="","",ECHANTILLONS!C16)</f>
        <v>2402457</v>
      </c>
      <c r="D15" s="52">
        <f>IF('450-600 nm'!G27="","",'450-600 nm'!G27)</f>
        <v>7.2378138847858224</v>
      </c>
      <c r="E15" s="49" t="str">
        <f t="shared" ref="E15:E57" si="0">IF(D15="","",IF(D15&gt;=$G$5,"POS","NEG"))</f>
        <v>NEG</v>
      </c>
      <c r="F15" s="52">
        <f>IF('450-600 nm'!M27="","",'450-600 nm'!M27)</f>
        <v>19.63230466185162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68</v>
      </c>
    </row>
    <row r="16" spans="1:12" ht="15" customHeight="1">
      <c r="A16" s="36" t="s">
        <v>13</v>
      </c>
      <c r="B16" s="47">
        <f>IF(ECHANTILLONS!B17="","",ECHANTILLONS!B17)</f>
        <v>135</v>
      </c>
      <c r="C16" s="51">
        <f>IF(ECHANTILLONS!C17="","",ECHANTILLONS!C17)</f>
        <v>2402580</v>
      </c>
      <c r="D16" s="52">
        <f>IF('450-600 nm'!B28="","",'450-600 nm'!B28)</f>
        <v>66.617429837518472</v>
      </c>
      <c r="E16" s="49" t="str">
        <f t="shared" si="0"/>
        <v>POS</v>
      </c>
      <c r="F16" s="52">
        <f>IF('450-600 nm'!H28="","",'450-600 nm'!H28)</f>
        <v>1.0505581089954177</v>
      </c>
      <c r="G16" s="49" t="str">
        <f t="shared" si="1"/>
        <v>NEG</v>
      </c>
      <c r="H16" s="49" t="str">
        <f t="shared" si="2"/>
        <v>P</v>
      </c>
      <c r="I16" s="50" t="str">
        <f>IF(ECHANTILLONS!D17="","",ECHANTILLONS!D17)</f>
        <v/>
      </c>
      <c r="J16" s="50" t="s">
        <v>68</v>
      </c>
    </row>
    <row r="17" spans="1:10" ht="15" customHeight="1">
      <c r="A17" s="36" t="s">
        <v>14</v>
      </c>
      <c r="B17" s="47">
        <f>IF(ECHANTILLONS!B18="","",ECHANTILLONS!B18)</f>
        <v>136</v>
      </c>
      <c r="C17" s="51">
        <f>IF(ECHANTILLONS!C18="","",ECHANTILLONS!C18)</f>
        <v>2402584</v>
      </c>
      <c r="D17" s="52">
        <f>IF('450-600 nm'!C28="","",'450-600 nm'!C28)</f>
        <v>28.803545051698677</v>
      </c>
      <c r="E17" s="49" t="str">
        <f t="shared" si="0"/>
        <v>NEG</v>
      </c>
      <c r="F17" s="52">
        <f>IF('450-600 nm'!I28="","",'450-600 nm'!I28)</f>
        <v>12.869336835193707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68</v>
      </c>
    </row>
    <row r="18" spans="1:10" ht="15" customHeight="1">
      <c r="A18" s="36" t="s">
        <v>15</v>
      </c>
      <c r="B18" s="47">
        <f>IF(ECHANTILLONS!B19="","",ECHANTILLONS!B19)</f>
        <v>137</v>
      </c>
      <c r="C18" s="51">
        <f>IF(ECHANTILLONS!C19="","",ECHANTILLONS!C19)</f>
        <v>2402576</v>
      </c>
      <c r="D18" s="52">
        <f>IF('450-600 nm'!D28="","",'450-600 nm'!D28)</f>
        <v>57.459379615952741</v>
      </c>
      <c r="E18" s="49" t="str">
        <f t="shared" si="0"/>
        <v>POS</v>
      </c>
      <c r="F18" s="52">
        <f>IF('450-600 nm'!J28="","",'450-600 nm'!J28)</f>
        <v>13.525935653315841</v>
      </c>
      <c r="G18" s="49" t="str">
        <f t="shared" si="1"/>
        <v>NEG</v>
      </c>
      <c r="H18" s="49" t="str">
        <f t="shared" si="2"/>
        <v>P</v>
      </c>
      <c r="I18" s="50" t="str">
        <f>IF(ECHANTILLONS!D19="","",ECHANTILLONS!D19)</f>
        <v/>
      </c>
      <c r="J18" s="50" t="s">
        <v>68</v>
      </c>
    </row>
    <row r="19" spans="1:10" ht="15" customHeight="1">
      <c r="A19" s="36" t="s">
        <v>16</v>
      </c>
      <c r="B19" s="47">
        <f>IF(ECHANTILLONS!B20="","",ECHANTILLONS!B20)</f>
        <v>138</v>
      </c>
      <c r="C19" s="51">
        <f>IF(ECHANTILLONS!C20="","",ECHANTILLONS!C20)</f>
        <v>2500054</v>
      </c>
      <c r="D19" s="52">
        <f>IF('450-600 nm'!E28="","",'450-600 nm'!E28)</f>
        <v>94.091580502215663</v>
      </c>
      <c r="E19" s="49" t="str">
        <f t="shared" si="0"/>
        <v>POS</v>
      </c>
      <c r="F19" s="52">
        <f>IF('450-600 nm'!K28="","",'450-600 nm'!K28)</f>
        <v>87.130663164806307</v>
      </c>
      <c r="G19" s="49" t="str">
        <f t="shared" si="1"/>
        <v>POS</v>
      </c>
      <c r="H19" s="49" t="str">
        <f t="shared" si="2"/>
        <v>P</v>
      </c>
      <c r="I19" s="50" t="str">
        <f>IF(ECHANTILLONS!D20="","",ECHANTILLONS!D20)</f>
        <v/>
      </c>
      <c r="J19" s="50" t="s">
        <v>68</v>
      </c>
    </row>
    <row r="20" spans="1:10" ht="15" customHeight="1">
      <c r="A20" s="36" t="s">
        <v>17</v>
      </c>
      <c r="B20" s="47">
        <f>IF(ECHANTILLONS!B21="","",ECHANTILLONS!B21)</f>
        <v>139</v>
      </c>
      <c r="C20" s="51">
        <f>IF(ECHANTILLONS!C21="","",ECHANTILLONS!C21)</f>
        <v>2500065</v>
      </c>
      <c r="D20" s="52">
        <f>IF('450-600 nm'!F28="","",'450-600 nm'!F28)</f>
        <v>12.850812407680962</v>
      </c>
      <c r="E20" s="49" t="str">
        <f t="shared" si="0"/>
        <v>NEG</v>
      </c>
      <c r="F20" s="52">
        <f>IF('450-600 nm'!L28="","",'450-600 nm'!L28)</f>
        <v>36.835193696651359</v>
      </c>
      <c r="G20" s="49" t="str">
        <f t="shared" si="1"/>
        <v>POS</v>
      </c>
      <c r="H20" s="49" t="str">
        <f t="shared" si="2"/>
        <v>P</v>
      </c>
      <c r="I20" s="50" t="str">
        <f>IF(ECHANTILLONS!D21="","",ECHANTILLONS!D21)</f>
        <v/>
      </c>
      <c r="J20" s="50" t="s">
        <v>68</v>
      </c>
    </row>
    <row r="21" spans="1:10" ht="15" customHeight="1">
      <c r="A21" s="36" t="s">
        <v>18</v>
      </c>
      <c r="B21" s="47">
        <f>IF(ECHANTILLONS!B22="","",ECHANTILLONS!B22)</f>
        <v>140</v>
      </c>
      <c r="C21" s="51">
        <f>IF(ECHANTILLONS!C22="","",ECHANTILLONS!C22)</f>
        <v>2402074</v>
      </c>
      <c r="D21" s="52">
        <f>IF('450-600 nm'!G28="","",'450-600 nm'!G28)</f>
        <v>45.051698670605624</v>
      </c>
      <c r="E21" s="49" t="str">
        <f t="shared" si="0"/>
        <v>POS</v>
      </c>
      <c r="F21" s="52">
        <f>IF('450-600 nm'!M28="","",'450-600 nm'!M28)</f>
        <v>2.1011162179908069</v>
      </c>
      <c r="G21" s="49" t="str">
        <f t="shared" si="1"/>
        <v>NEG</v>
      </c>
      <c r="H21" s="49" t="str">
        <f t="shared" si="2"/>
        <v>P</v>
      </c>
      <c r="I21" s="50" t="str">
        <f>IF(ECHANTILLONS!D22="","",ECHANTILLONS!D22)</f>
        <v/>
      </c>
      <c r="J21" s="50" t="s">
        <v>68</v>
      </c>
    </row>
    <row r="22" spans="1:10" ht="15" customHeight="1">
      <c r="A22" s="36" t="s">
        <v>19</v>
      </c>
      <c r="B22" s="47">
        <f>IF(ECHANTILLONS!B23="","",ECHANTILLONS!B23)</f>
        <v>141</v>
      </c>
      <c r="C22" s="51">
        <f>IF(ECHANTILLONS!C23="","",ECHANTILLONS!C23)</f>
        <v>2501957</v>
      </c>
      <c r="D22" s="52">
        <f>IF('450-600 nm'!B29="","",'450-600 nm'!B29)</f>
        <v>53.618906942392911</v>
      </c>
      <c r="E22" s="49" t="str">
        <f t="shared" si="0"/>
        <v>POS</v>
      </c>
      <c r="F22" s="52">
        <f>IF('450-600 nm'!H29="","",'450-600 nm'!H29)</f>
        <v>6.7629678266579276</v>
      </c>
      <c r="G22" s="49" t="str">
        <f t="shared" si="1"/>
        <v>NEG</v>
      </c>
      <c r="H22" s="49" t="str">
        <f t="shared" si="2"/>
        <v>P</v>
      </c>
      <c r="I22" s="50" t="str">
        <f>IF(ECHANTILLONS!D23="","",ECHANTILLONS!D23)</f>
        <v/>
      </c>
      <c r="J22" s="50" t="s">
        <v>68</v>
      </c>
    </row>
    <row r="23" spans="1:10" ht="15" customHeight="1">
      <c r="A23" s="36" t="s">
        <v>20</v>
      </c>
      <c r="B23" s="47">
        <f>IF(ECHANTILLONS!B24="","",ECHANTILLONS!B24)</f>
        <v>142</v>
      </c>
      <c r="C23" s="51">
        <f>IF(ECHANTILLONS!C24="","",ECHANTILLONS!C24)</f>
        <v>2501306</v>
      </c>
      <c r="D23" s="52">
        <f>IF('450-600 nm'!C29="","",'450-600 nm'!C29)</f>
        <v>-12.259970457902497</v>
      </c>
      <c r="E23" s="49" t="str">
        <f t="shared" si="0"/>
        <v>NEG</v>
      </c>
      <c r="F23" s="52">
        <f>IF('450-600 nm'!I29="","",'450-600 nm'!I29)</f>
        <v>10.571240971766244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68</v>
      </c>
    </row>
    <row r="24" spans="1:10" ht="15" customHeight="1">
      <c r="A24" s="36" t="s">
        <v>21</v>
      </c>
      <c r="B24" s="47">
        <f>IF(ECHANTILLONS!B25="","",ECHANTILLONS!B25)</f>
        <v>143</v>
      </c>
      <c r="C24" s="51">
        <f>IF(ECHANTILLONS!C25="","",ECHANTILLONS!C25)</f>
        <v>2500008</v>
      </c>
      <c r="D24" s="52">
        <f>IF('450-600 nm'!D29="","",'450-600 nm'!D29)</f>
        <v>-211.669128508124</v>
      </c>
      <c r="E24" s="49" t="str">
        <f t="shared" si="0"/>
        <v>NEG</v>
      </c>
      <c r="F24" s="52">
        <f>IF('450-600 nm'!J29="","",'450-600 nm'!J29)</f>
        <v>7.0912672357189734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68</v>
      </c>
    </row>
    <row r="25" spans="1:10" ht="15" customHeight="1">
      <c r="A25" s="36" t="s">
        <v>22</v>
      </c>
      <c r="B25" s="47">
        <f>IF(ECHANTILLONS!B26="","",ECHANTILLONS!B26)</f>
        <v>144</v>
      </c>
      <c r="C25" s="51">
        <f>IF(ECHANTILLONS!C26="","",ECHANTILLONS!C26)</f>
        <v>2500096</v>
      </c>
      <c r="D25" s="52">
        <f>IF('450-600 nm'!E29="","",'450-600 nm'!E29)</f>
        <v>27.917282127031029</v>
      </c>
      <c r="E25" s="49" t="str">
        <f t="shared" si="0"/>
        <v>NEG</v>
      </c>
      <c r="F25" s="52">
        <f>IF('450-600 nm'!K29="","",'450-600 nm'!K29)</f>
        <v>10.111621799080766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68</v>
      </c>
    </row>
    <row r="26" spans="1:10" ht="15" customHeight="1">
      <c r="A26" s="36" t="s">
        <v>23</v>
      </c>
      <c r="B26" s="47">
        <f>IF(ECHANTILLONS!B27="","",ECHANTILLONS!B27)</f>
        <v>145</v>
      </c>
      <c r="C26" s="51">
        <f>IF(ECHANTILLONS!C27="","",ECHANTILLONS!C27)</f>
        <v>2402849</v>
      </c>
      <c r="D26" s="52">
        <f>IF('450-600 nm'!F29="","",'450-600 nm'!F29)</f>
        <v>40.029542097488921</v>
      </c>
      <c r="E26" s="49" t="str">
        <f t="shared" si="0"/>
        <v>POS</v>
      </c>
      <c r="F26" s="52">
        <f>IF('450-600 nm'!L29="","",'450-600 nm'!L29)</f>
        <v>2.6920551543007321</v>
      </c>
      <c r="G26" s="49" t="str">
        <f t="shared" si="1"/>
        <v>NEG</v>
      </c>
      <c r="H26" s="49" t="str">
        <f t="shared" si="2"/>
        <v>P</v>
      </c>
      <c r="I26" s="50" t="str">
        <f>IF(ECHANTILLONS!D27="","",ECHANTILLONS!D27)</f>
        <v/>
      </c>
      <c r="J26" s="50" t="s">
        <v>68</v>
      </c>
    </row>
    <row r="27" spans="1:10" ht="15" customHeight="1">
      <c r="A27" s="36" t="s">
        <v>24</v>
      </c>
      <c r="B27" s="47">
        <f>IF(ECHANTILLONS!B28="","",ECHANTILLONS!B28)</f>
        <v>146</v>
      </c>
      <c r="C27" s="51">
        <f>IF(ECHANTILLONS!C28="","",ECHANTILLONS!C28)</f>
        <v>2400767</v>
      </c>
      <c r="D27" s="52">
        <f>IF('450-600 nm'!G29="","",'450-600 nm'!G29)</f>
        <v>-175.33234859675036</v>
      </c>
      <c r="E27" s="49" t="str">
        <f t="shared" si="0"/>
        <v>NEG</v>
      </c>
      <c r="F27" s="52">
        <f>IF('450-600 nm'!M29="","",'450-600 nm'!M29)</f>
        <v>-7.0912672357189592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68</v>
      </c>
    </row>
    <row r="28" spans="1:10" ht="15" customHeight="1">
      <c r="A28" s="36" t="s">
        <v>25</v>
      </c>
      <c r="B28" s="47">
        <f>IF(ECHANTILLONS!B29="","",ECHANTILLONS!B29)</f>
        <v>147</v>
      </c>
      <c r="C28" s="51">
        <f>IF(ECHANTILLONS!C29="","",ECHANTILLONS!C29)</f>
        <v>2402837</v>
      </c>
      <c r="D28" s="52">
        <f>IF('450-600 nm'!B30="","",'450-600 nm'!B30)</f>
        <v>53.028064992614475</v>
      </c>
      <c r="E28" s="49" t="str">
        <f t="shared" si="0"/>
        <v>POS</v>
      </c>
      <c r="F28" s="52">
        <f>IF('450-600 nm'!H30="","",'450-600 nm'!H30)</f>
        <v>-5.0558108995403757</v>
      </c>
      <c r="G28" s="49" t="str">
        <f t="shared" si="1"/>
        <v>NEG</v>
      </c>
      <c r="H28" s="49" t="str">
        <f t="shared" si="2"/>
        <v>P</v>
      </c>
      <c r="I28" s="50" t="str">
        <f>IF(ECHANTILLONS!D29="","",ECHANTILLONS!D29)</f>
        <v/>
      </c>
      <c r="J28" s="50" t="s">
        <v>68</v>
      </c>
    </row>
    <row r="29" spans="1:10" ht="15" customHeight="1">
      <c r="A29" s="36" t="s">
        <v>26</v>
      </c>
      <c r="B29" s="47">
        <f>IF(ECHANTILLONS!B30="","",ECHANTILLONS!B30)</f>
        <v>148</v>
      </c>
      <c r="C29" s="51">
        <f>IF(ECHANTILLONS!C30="","",ECHANTILLONS!C30)</f>
        <v>2500125</v>
      </c>
      <c r="D29" s="52">
        <f>IF('450-600 nm'!C30="","",'450-600 nm'!C30)</f>
        <v>22.895125553914326</v>
      </c>
      <c r="E29" s="49" t="str">
        <f t="shared" si="0"/>
        <v>NEG</v>
      </c>
      <c r="F29" s="52">
        <f>IF('450-600 nm'!I30="","",'450-600 nm'!I30)</f>
        <v>19.829284307288248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68</v>
      </c>
    </row>
    <row r="30" spans="1:10" ht="15" customHeight="1">
      <c r="A30" s="36" t="s">
        <v>27</v>
      </c>
      <c r="B30" s="47">
        <f>IF(ECHANTILLONS!B31="","",ECHANTILLONS!B31)</f>
        <v>149</v>
      </c>
      <c r="C30" s="51">
        <f>IF(ECHANTILLONS!C31="","",ECHANTILLONS!C31)</f>
        <v>2500072</v>
      </c>
      <c r="D30" s="52">
        <f>IF('450-600 nm'!D30="","",'450-600 nm'!D30)</f>
        <v>-249.48301329394383</v>
      </c>
      <c r="E30" s="49" t="str">
        <f t="shared" si="0"/>
        <v>NEG</v>
      </c>
      <c r="F30" s="52">
        <f>IF('450-600 nm'!J30="","",'450-600 nm'!J30)</f>
        <v>-12.672357189757051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68</v>
      </c>
    </row>
    <row r="31" spans="1:10" ht="15" customHeight="1">
      <c r="A31" s="36" t="s">
        <v>28</v>
      </c>
      <c r="B31" s="47">
        <f>IF(ECHANTILLONS!B32="","",ECHANTILLONS!B32)</f>
        <v>150</v>
      </c>
      <c r="C31" s="51">
        <f>IF(ECHANTILLONS!C32="","",ECHANTILLONS!C32)</f>
        <v>2500083</v>
      </c>
      <c r="D31" s="52">
        <f>IF('450-600 nm'!E30="","",'450-600 nm'!E30)</f>
        <v>-227.03101920236332</v>
      </c>
      <c r="E31" s="49" t="str">
        <f t="shared" si="0"/>
        <v>NEG</v>
      </c>
      <c r="F31" s="52">
        <f>IF('450-600 nm'!K30="","",'450-600 nm'!K30)</f>
        <v>20.485883125410382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68</v>
      </c>
    </row>
    <row r="32" spans="1:10" ht="15" customHeight="1">
      <c r="A32" s="36" t="s">
        <v>29</v>
      </c>
      <c r="B32" s="47">
        <f>IF(ECHANTILLONS!B33="","",ECHANTILLONS!B33)</f>
        <v>151</v>
      </c>
      <c r="C32" s="51">
        <f>IF(ECHANTILLONS!C33="","",ECHANTILLONS!C33)</f>
        <v>2500050</v>
      </c>
      <c r="D32" s="52">
        <f>IF('450-600 nm'!F30="","",'450-600 nm'!F30)</f>
        <v>36.189069423929098</v>
      </c>
      <c r="E32" s="49" t="str">
        <f t="shared" si="0"/>
        <v>POS</v>
      </c>
      <c r="F32" s="52">
        <f>IF('450-600 nm'!L30="","",'450-600 nm'!L30)</f>
        <v>70.518713066316479</v>
      </c>
      <c r="G32" s="49" t="str">
        <f t="shared" si="1"/>
        <v>POS</v>
      </c>
      <c r="H32" s="49" t="str">
        <f t="shared" si="2"/>
        <v>P</v>
      </c>
      <c r="I32" s="50" t="str">
        <f>IF(ECHANTILLONS!D33="","",ECHANTILLONS!D33)</f>
        <v/>
      </c>
      <c r="J32" s="50" t="s">
        <v>68</v>
      </c>
    </row>
    <row r="33" spans="1:10" ht="15" customHeight="1">
      <c r="A33" s="36" t="s">
        <v>30</v>
      </c>
      <c r="B33" s="47">
        <f>IF(ECHANTILLONS!B34="","",ECHANTILLONS!B34)</f>
        <v>152</v>
      </c>
      <c r="C33" s="51">
        <f>IF(ECHANTILLONS!C34="","",ECHANTILLONS!C34)</f>
        <v>2401006</v>
      </c>
      <c r="D33" s="52">
        <f>IF('450-600 nm'!G30="","",'450-600 nm'!G30)</f>
        <v>47.415066469719356</v>
      </c>
      <c r="E33" s="49" t="str">
        <f t="shared" si="0"/>
        <v>POS</v>
      </c>
      <c r="F33" s="52">
        <f>IF('450-600 nm'!M30="","",'450-600 nm'!M30)</f>
        <v>31.254103742613268</v>
      </c>
      <c r="G33" s="49" t="str">
        <f t="shared" si="1"/>
        <v>POS</v>
      </c>
      <c r="H33" s="49" t="str">
        <f t="shared" si="2"/>
        <v>P</v>
      </c>
      <c r="I33" s="50" t="str">
        <f>IF(ECHANTILLONS!D34="","",ECHANTILLONS!D34)</f>
        <v/>
      </c>
      <c r="J33" s="50" t="s">
        <v>68</v>
      </c>
    </row>
    <row r="34" spans="1:10" ht="15" customHeight="1">
      <c r="A34" s="36" t="s">
        <v>31</v>
      </c>
      <c r="B34" s="47">
        <f>IF(ECHANTILLONS!B35="","",ECHANTILLONS!B35)</f>
        <v>153</v>
      </c>
      <c r="C34" s="51">
        <f>IF(ECHANTILLONS!C35="","",ECHANTILLONS!C35)</f>
        <v>2402575</v>
      </c>
      <c r="D34" s="52">
        <f>IF('450-600 nm'!B31="","",'450-600 nm'!B31)</f>
        <v>79.91137370753323</v>
      </c>
      <c r="E34" s="49" t="str">
        <f t="shared" si="0"/>
        <v>POS</v>
      </c>
      <c r="F34" s="52">
        <f>IF('450-600 nm'!H31="","",'450-600 nm'!H31)</f>
        <v>49.770190413657254</v>
      </c>
      <c r="G34" s="49" t="str">
        <f t="shared" si="1"/>
        <v>POS</v>
      </c>
      <c r="H34" s="49" t="str">
        <f t="shared" si="2"/>
        <v>P</v>
      </c>
      <c r="I34" s="50" t="str">
        <f>IF(ECHANTILLONS!D35="","",ECHANTILLONS!D35)</f>
        <v/>
      </c>
      <c r="J34" s="50" t="s">
        <v>68</v>
      </c>
    </row>
    <row r="35" spans="1:10" ht="15" customHeight="1">
      <c r="A35" s="36" t="s">
        <v>32</v>
      </c>
      <c r="B35" s="47">
        <f>IF(ECHANTILLONS!B36="","",ECHANTILLONS!B36)</f>
        <v>154</v>
      </c>
      <c r="C35" s="51">
        <f>IF(ECHANTILLONS!C36="","",ECHANTILLONS!C36)</f>
        <v>2401086</v>
      </c>
      <c r="D35" s="52">
        <f>IF('450-600 nm'!C31="","",'450-600 nm'!C31)</f>
        <v>63.07237813884786</v>
      </c>
      <c r="E35" s="49" t="str">
        <f t="shared" si="0"/>
        <v>POS</v>
      </c>
      <c r="F35" s="52">
        <f>IF('450-600 nm'!I31="","",'450-600 nm'!I31)</f>
        <v>9.9803020354563472</v>
      </c>
      <c r="G35" s="49" t="str">
        <f t="shared" si="1"/>
        <v>NEG</v>
      </c>
      <c r="H35" s="49" t="str">
        <f t="shared" si="2"/>
        <v>P</v>
      </c>
      <c r="I35" s="50" t="str">
        <f>IF(ECHANTILLONS!D36="","",ECHANTILLONS!D36)</f>
        <v/>
      </c>
      <c r="J35" s="50" t="s">
        <v>68</v>
      </c>
    </row>
    <row r="36" spans="1:10" ht="15" customHeight="1">
      <c r="A36" s="36" t="s">
        <v>33</v>
      </c>
      <c r="B36" s="47">
        <f>IF(ECHANTILLONS!B37="","",ECHANTILLONS!B37)</f>
        <v>155</v>
      </c>
      <c r="C36" s="51">
        <f>IF(ECHANTILLONS!C37="","",ECHANTILLONS!C37)</f>
        <v>2401116</v>
      </c>
      <c r="D36" s="52">
        <f>IF('450-600 nm'!D31="","",'450-600 nm'!D31)</f>
        <v>-235.30280649926141</v>
      </c>
      <c r="E36" s="49" t="str">
        <f t="shared" si="0"/>
        <v>NEG</v>
      </c>
      <c r="F36" s="52">
        <f>IF('450-600 nm'!J31="","",'450-600 nm'!J31)</f>
        <v>27.051871306631654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68</v>
      </c>
    </row>
    <row r="37" spans="1:10" ht="15" customHeight="1">
      <c r="A37" s="36" t="s">
        <v>34</v>
      </c>
      <c r="B37" s="47">
        <f>IF(ECHANTILLONS!B38="","",ECHANTILLONS!B38)</f>
        <v>156</v>
      </c>
      <c r="C37" s="51">
        <f>IF(ECHANTILLONS!C38="","",ECHANTILLONS!C38)</f>
        <v>2502159</v>
      </c>
      <c r="D37" s="52">
        <f>IF('450-600 nm'!E31="","",'450-600 nm'!E31)</f>
        <v>35.598227474150661</v>
      </c>
      <c r="E37" s="49" t="str">
        <f t="shared" si="0"/>
        <v>POS</v>
      </c>
      <c r="F37" s="52">
        <f>IF('450-600 nm'!K31="","",'450-600 nm'!K31)</f>
        <v>8.0105055810899586</v>
      </c>
      <c r="G37" s="49" t="str">
        <f t="shared" si="1"/>
        <v>NEG</v>
      </c>
      <c r="H37" s="49" t="str">
        <f t="shared" si="2"/>
        <v>P</v>
      </c>
      <c r="I37" s="50" t="str">
        <f>IF(ECHANTILLONS!D38="","",ECHANTILLONS!D38)</f>
        <v/>
      </c>
      <c r="J37" s="50" t="s">
        <v>68</v>
      </c>
    </row>
    <row r="38" spans="1:10" ht="15" customHeight="1">
      <c r="A38" s="36" t="s">
        <v>35</v>
      </c>
      <c r="B38" s="47">
        <f>IF(ECHANTILLONS!B39="","",ECHANTILLONS!B39)</f>
        <v>157</v>
      </c>
      <c r="C38" s="51">
        <f>IF(ECHANTILLONS!C39="","",ECHANTILLONS!C39)</f>
        <v>2501982</v>
      </c>
      <c r="D38" s="52">
        <f>IF('450-600 nm'!F31="","",'450-600 nm'!F31)</f>
        <v>-205.16986706056122</v>
      </c>
      <c r="E38" s="49" t="str">
        <f t="shared" si="0"/>
        <v>NEG</v>
      </c>
      <c r="F38" s="52">
        <f>IF('450-600 nm'!L31="","",'450-600 nm'!L31)</f>
        <v>11.293499671700602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68</v>
      </c>
    </row>
    <row r="39" spans="1:10" ht="15" customHeight="1">
      <c r="A39" s="36" t="s">
        <v>36</v>
      </c>
      <c r="B39" s="47">
        <f>IF(ECHANTILLONS!B40="","",ECHANTILLONS!B40)</f>
        <v>158</v>
      </c>
      <c r="C39" s="51">
        <f>IF(ECHANTILLONS!C40="","",ECHANTILLONS!C40)</f>
        <v>2502111</v>
      </c>
      <c r="D39" s="52">
        <f>IF('450-600 nm'!G31="","",'450-600 nm'!G31)</f>
        <v>36.484490398818323</v>
      </c>
      <c r="E39" s="49" t="str">
        <f t="shared" si="0"/>
        <v>POS</v>
      </c>
      <c r="F39" s="52">
        <f>IF('450-600 nm'!M31="","",'450-600 nm'!M31)</f>
        <v>-4.9901510177281523</v>
      </c>
      <c r="G39" s="49" t="str">
        <f t="shared" si="1"/>
        <v>NEG</v>
      </c>
      <c r="H39" s="49" t="str">
        <f t="shared" si="2"/>
        <v>P</v>
      </c>
      <c r="I39" s="50" t="str">
        <f>IF(ECHANTILLONS!D40="","",ECHANTILLONS!D40)</f>
        <v/>
      </c>
      <c r="J39" s="50" t="s">
        <v>68</v>
      </c>
    </row>
    <row r="40" spans="1:10" ht="15" customHeight="1">
      <c r="A40" s="36" t="s">
        <v>37</v>
      </c>
      <c r="B40" s="47">
        <f>IF(ECHANTILLONS!B41="","",ECHANTILLONS!B41)</f>
        <v>159</v>
      </c>
      <c r="C40" s="51">
        <f>IF(ECHANTILLONS!C41="","",ECHANTILLONS!C41)</f>
        <v>2501975</v>
      </c>
      <c r="D40" s="52">
        <f>IF('450-600 nm'!B32="","",'450-600 nm'!B32)</f>
        <v>47.710487444608574</v>
      </c>
      <c r="E40" s="49" t="str">
        <f t="shared" si="0"/>
        <v>POS</v>
      </c>
      <c r="F40" s="52">
        <f>IF('450-600 nm'!H32="","",'450-600 nm'!H32)</f>
        <v>36.769533814839136</v>
      </c>
      <c r="G40" s="49" t="str">
        <f t="shared" si="1"/>
        <v>POS</v>
      </c>
      <c r="H40" s="49" t="str">
        <f t="shared" si="2"/>
        <v>P</v>
      </c>
      <c r="I40" s="50" t="str">
        <f>IF(ECHANTILLONS!D41="","",ECHANTILLONS!D41)</f>
        <v/>
      </c>
      <c r="J40" s="50" t="s">
        <v>68</v>
      </c>
    </row>
    <row r="41" spans="1:10" ht="15" customHeight="1">
      <c r="A41" s="36" t="s">
        <v>38</v>
      </c>
      <c r="B41" s="47">
        <f>IF(ECHANTILLONS!B42="","",ECHANTILLONS!B42)</f>
        <v>160</v>
      </c>
      <c r="C41" s="51">
        <f>IF(ECHANTILLONS!C42="","",ECHANTILLONS!C42)</f>
        <v>2401114</v>
      </c>
      <c r="D41" s="52">
        <f>IF('450-600 nm'!C32="","",'450-600 nm'!C32)</f>
        <v>-274.88921713441647</v>
      </c>
      <c r="E41" s="49" t="str">
        <f t="shared" si="0"/>
        <v>NEG</v>
      </c>
      <c r="F41" s="52">
        <f>IF('450-600 nm'!I32="","",'450-600 nm'!I32)</f>
        <v>24.491135915955368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68</v>
      </c>
    </row>
    <row r="42" spans="1:10" ht="15" customHeight="1">
      <c r="A42" s="36" t="s">
        <v>39</v>
      </c>
      <c r="B42" s="47">
        <f>IF(ECHANTILLONS!B43="","",ECHANTILLONS!B43)</f>
        <v>161</v>
      </c>
      <c r="C42" s="51">
        <f>IF(ECHANTILLONS!C43="","",ECHANTILLONS!C43)</f>
        <v>2502119</v>
      </c>
      <c r="D42" s="52">
        <f>IF('450-600 nm'!D32="","",'450-600 nm'!D32)</f>
        <v>8.1240768094534701</v>
      </c>
      <c r="E42" s="49" t="str">
        <f t="shared" si="0"/>
        <v>NEG</v>
      </c>
      <c r="F42" s="52">
        <f>IF('450-600 nm'!J32="","",'450-600 nm'!J32)</f>
        <v>-22.652659225213398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68</v>
      </c>
    </row>
    <row r="43" spans="1:10" ht="15" customHeight="1">
      <c r="A43" s="36" t="s">
        <v>40</v>
      </c>
      <c r="B43" s="47">
        <f>IF(ECHANTILLONS!B44="","",ECHANTILLONS!B44)</f>
        <v>162</v>
      </c>
      <c r="C43" s="51">
        <f>IF(ECHANTILLONS!C44="","",ECHANTILLONS!C44)</f>
        <v>2502113</v>
      </c>
      <c r="D43" s="52">
        <f>IF('450-600 nm'!E32="","",'450-600 nm'!E32)</f>
        <v>55.096011816839003</v>
      </c>
      <c r="E43" s="49" t="str">
        <f t="shared" si="0"/>
        <v>POS</v>
      </c>
      <c r="F43" s="52">
        <f>IF('450-600 nm'!K32="","",'450-600 nm'!K32)</f>
        <v>-20.354563361785935</v>
      </c>
      <c r="G43" s="49" t="str">
        <f t="shared" si="1"/>
        <v>NEG</v>
      </c>
      <c r="H43" s="49" t="str">
        <f t="shared" si="2"/>
        <v>P</v>
      </c>
      <c r="I43" s="50" t="str">
        <f>IF(ECHANTILLONS!D44="","",ECHANTILLONS!D44)</f>
        <v/>
      </c>
      <c r="J43" s="50" t="s">
        <v>68</v>
      </c>
    </row>
    <row r="44" spans="1:10" ht="15" customHeight="1">
      <c r="A44" s="36" t="s">
        <v>41</v>
      </c>
      <c r="B44" s="47">
        <f>IF(ECHANTILLONS!B45="","",ECHANTILLONS!B45)</f>
        <v>163</v>
      </c>
      <c r="C44" s="51">
        <f>IF(ECHANTILLONS!C45="","",ECHANTILLONS!C45)</f>
        <v>2502115</v>
      </c>
      <c r="D44" s="52">
        <f>IF('450-600 nm'!F32="","",'450-600 nm'!F32)</f>
        <v>14.032496307237835</v>
      </c>
      <c r="E44" s="49" t="str">
        <f t="shared" si="0"/>
        <v>NEG</v>
      </c>
      <c r="F44" s="52">
        <f>IF('450-600 nm'!L32="","",'450-600 nm'!L32)</f>
        <v>27.445830597504923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68</v>
      </c>
    </row>
    <row r="45" spans="1:10" ht="15" customHeight="1">
      <c r="A45" s="36" t="s">
        <v>42</v>
      </c>
      <c r="B45" s="47">
        <f>IF(ECHANTILLONS!B46="","",ECHANTILLONS!B46)</f>
        <v>164</v>
      </c>
      <c r="C45" s="51">
        <f>IF(ECHANTILLONS!C46="","",ECHANTILLONS!C46)</f>
        <v>2401050</v>
      </c>
      <c r="D45" s="52">
        <f>IF('450-600 nm'!G32="","",'450-600 nm'!G32)</f>
        <v>34.416543574593803</v>
      </c>
      <c r="E45" s="49" t="str">
        <f t="shared" si="0"/>
        <v>POS</v>
      </c>
      <c r="F45" s="52">
        <f>IF('450-600 nm'!M32="","",'450-600 nm'!M32)</f>
        <v>61.129349967170064</v>
      </c>
      <c r="G45" s="49" t="str">
        <f t="shared" si="1"/>
        <v>POS</v>
      </c>
      <c r="H45" s="49" t="str">
        <f t="shared" si="2"/>
        <v>P</v>
      </c>
      <c r="I45" s="50" t="str">
        <f>IF(ECHANTILLONS!D46="","",ECHANTILLONS!D46)</f>
        <v/>
      </c>
      <c r="J45" s="50" t="s">
        <v>68</v>
      </c>
    </row>
    <row r="46" spans="1:10" ht="15" customHeight="1">
      <c r="A46" s="36" t="s">
        <v>43</v>
      </c>
      <c r="B46" s="47">
        <f>IF(ECHANTILLONS!B47="","",ECHANTILLONS!B47)</f>
        <v>165</v>
      </c>
      <c r="C46" s="51">
        <f>IF(ECHANTILLONS!C47="","",ECHANTILLONS!C47)</f>
        <v>2501967</v>
      </c>
      <c r="D46" s="52">
        <f>IF('450-600 nm'!B33="","",'450-600 nm'!B33)</f>
        <v>-54.80059084194977</v>
      </c>
      <c r="E46" s="49" t="str">
        <f t="shared" si="0"/>
        <v>NEG</v>
      </c>
      <c r="F46" s="52">
        <f>IF('450-600 nm'!H33="","",'450-600 nm'!H33)</f>
        <v>-9.7833223900196913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68</v>
      </c>
    </row>
    <row r="47" spans="1:10" ht="15" customHeight="1">
      <c r="A47" s="36" t="s">
        <v>44</v>
      </c>
      <c r="B47" s="47">
        <f>IF(ECHANTILLONS!B48="","",ECHANTILLONS!B48)</f>
        <v>166</v>
      </c>
      <c r="C47" s="51">
        <f>IF(ECHANTILLONS!C48="","",ECHANTILLONS!C48)</f>
        <v>2501963</v>
      </c>
      <c r="D47" s="52">
        <f>IF('450-600 nm'!C33="","",'450-600 nm'!C33)</f>
        <v>21.418020679468242</v>
      </c>
      <c r="E47" s="49" t="str">
        <f t="shared" si="0"/>
        <v>NEG</v>
      </c>
      <c r="F47" s="52">
        <f>IF('450-600 nm'!I33="","",'450-600 nm'!I33)</f>
        <v>14.970453053184514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68</v>
      </c>
    </row>
    <row r="48" spans="1:10" ht="15" customHeight="1">
      <c r="A48" s="36" t="s">
        <v>45</v>
      </c>
      <c r="B48" s="47">
        <f>IF(ECHANTILLONS!B49="","",ECHANTILLONS!B49)</f>
        <v>167</v>
      </c>
      <c r="C48" s="51">
        <f>IF(ECHANTILLONS!C49="","",ECHANTILLONS!C49)</f>
        <v>2501940</v>
      </c>
      <c r="D48" s="52">
        <f>IF('450-600 nm'!D33="","",'450-600 nm'!D33)</f>
        <v>9.010339734121132</v>
      </c>
      <c r="E48" s="49" t="str">
        <f t="shared" si="0"/>
        <v>NEG</v>
      </c>
      <c r="F48" s="52">
        <f>IF('450-600 nm'!J33="","",'450-600 nm'!J33)</f>
        <v>-16.94024950755086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68</v>
      </c>
    </row>
    <row r="49" spans="1:10" ht="15" customHeight="1">
      <c r="A49" s="36" t="s">
        <v>46</v>
      </c>
      <c r="B49" s="47">
        <f>IF(ECHANTILLONS!B50="","",ECHANTILLONS!B50)</f>
        <v>168</v>
      </c>
      <c r="C49" s="51">
        <f>IF(ECHANTILLONS!C50="","",ECHANTILLONS!C50)</f>
        <v>2500044</v>
      </c>
      <c r="D49" s="52">
        <f>IF('450-600 nm'!E33="","",'450-600 nm'!E33)</f>
        <v>-252.43722304283602</v>
      </c>
      <c r="E49" s="49" t="str">
        <f t="shared" si="0"/>
        <v>NEG</v>
      </c>
      <c r="F49" s="52">
        <f>IF('450-600 nm'!K33="","",'450-600 nm'!K33)</f>
        <v>-22.258699934340115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68</v>
      </c>
    </row>
    <row r="50" spans="1:10" ht="15" customHeight="1">
      <c r="A50" s="36" t="s">
        <v>47</v>
      </c>
      <c r="B50" s="47">
        <f>IF(ECHANTILLONS!B51="","",ECHANTILLONS!B51)</f>
        <v>169</v>
      </c>
      <c r="C50" s="51">
        <f>IF(ECHANTILLONS!C51="","",ECHANTILLONS!C51)</f>
        <v>2500062</v>
      </c>
      <c r="D50" s="52">
        <f>IF('450-600 nm'!F33="","",'450-600 nm'!F33)</f>
        <v>-1.6248153618906684</v>
      </c>
      <c r="E50" s="49" t="str">
        <f t="shared" si="0"/>
        <v>NEG</v>
      </c>
      <c r="F50" s="52">
        <f>IF('450-600 nm'!L33="","",'450-600 nm'!L33)</f>
        <v>28.759028233749177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68</v>
      </c>
    </row>
    <row r="51" spans="1:10" ht="15" customHeight="1">
      <c r="A51" s="36" t="s">
        <v>48</v>
      </c>
      <c r="B51" s="47">
        <f>IF(ECHANTILLONS!B52="","",ECHANTILLONS!B52)</f>
        <v>170</v>
      </c>
      <c r="C51" s="51">
        <f>IF(ECHANTILLONS!C52="","",ECHANTILLONS!C52)</f>
        <v>2500042</v>
      </c>
      <c r="D51" s="52">
        <f>IF('450-600 nm'!G33="","",'450-600 nm'!G33)</f>
        <v>17.872968980797637</v>
      </c>
      <c r="E51" s="49" t="str">
        <f t="shared" si="0"/>
        <v>NEG</v>
      </c>
      <c r="F51" s="52">
        <f>IF('450-600 nm'!M33="","",'450-600 nm'!M33)</f>
        <v>28.102429415627057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68</v>
      </c>
    </row>
    <row r="52" spans="1:10" ht="15" customHeight="1">
      <c r="A52" s="36" t="s">
        <v>49</v>
      </c>
      <c r="B52" s="47">
        <f>IF(ECHANTILLONS!B53="","",ECHANTILLONS!B53)</f>
        <v>171</v>
      </c>
      <c r="C52" s="51">
        <f>IF(ECHANTILLONS!C53="","",ECHANTILLONS!C53)</f>
        <v>2500032</v>
      </c>
      <c r="D52" s="52">
        <f>IF('450-600 nm'!B34="","",'450-600 nm'!B34)</f>
        <v>-45.347119645494814</v>
      </c>
      <c r="E52" s="49" t="str">
        <f t="shared" si="0"/>
        <v>NEG</v>
      </c>
      <c r="F52" s="52">
        <f>IF('450-600 nm'!H34="","",'450-600 nm'!H34)</f>
        <v>-16.086671043992112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68</v>
      </c>
    </row>
    <row r="53" spans="1:10" ht="15" customHeight="1">
      <c r="A53" s="36" t="s">
        <v>50</v>
      </c>
      <c r="B53" s="47">
        <f>IF(ECHANTILLONS!B54="","",ECHANTILLONS!B54)</f>
        <v>172</v>
      </c>
      <c r="C53" s="51">
        <f>IF(ECHANTILLONS!C54="","",ECHANTILLONS!C54)</f>
        <v>2500006</v>
      </c>
      <c r="D53" s="52">
        <f>IF('450-600 nm'!C34="","",'450-600 nm'!C34)</f>
        <v>5.4652880354505271</v>
      </c>
      <c r="E53" s="49" t="str">
        <f t="shared" si="0"/>
        <v>NEG</v>
      </c>
      <c r="F53" s="52">
        <f>IF('450-600 nm'!I34="","",'450-600 nm'!I34)</f>
        <v>-34.274458305975031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68</v>
      </c>
    </row>
    <row r="54" spans="1:10" ht="15" customHeight="1">
      <c r="A54" s="36" t="s">
        <v>51</v>
      </c>
      <c r="B54" s="47">
        <f>IF(ECHANTILLONS!B55="","",ECHANTILLONS!B55)</f>
        <v>173</v>
      </c>
      <c r="C54" s="51">
        <f>IF(ECHANTILLONS!C55="","",ECHANTILLONS!C55)</f>
        <v>2500021</v>
      </c>
      <c r="D54" s="52">
        <f>IF('450-600 nm'!D34="","",'450-600 nm'!D34)</f>
        <v>-0.44313146233383804</v>
      </c>
      <c r="E54" s="49" t="str">
        <f t="shared" si="0"/>
        <v>NEG</v>
      </c>
      <c r="F54" s="52">
        <f>IF('450-600 nm'!J34="","",'450-600 nm'!J34)</f>
        <v>22.390019697964561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68</v>
      </c>
    </row>
    <row r="55" spans="1:10" ht="15" customHeight="1">
      <c r="A55" s="36" t="s">
        <v>52</v>
      </c>
      <c r="B55" s="47">
        <f>IF(ECHANTILLONS!B56="","",ECHANTILLONS!B56)</f>
        <v>174</v>
      </c>
      <c r="C55" s="51">
        <f>IF(ECHANTILLONS!C56="","",ECHANTILLONS!C56)</f>
        <v>2500018</v>
      </c>
      <c r="D55" s="52">
        <f>IF('450-600 nm'!E34="","",'450-600 nm'!E34)</f>
        <v>0.73855243722303499</v>
      </c>
      <c r="E55" s="49" t="str">
        <f t="shared" si="0"/>
        <v>NEG</v>
      </c>
      <c r="F55" s="52">
        <f>IF('450-600 nm'!K34="","",'450-600 nm'!K34)</f>
        <v>8.1418253447143769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68</v>
      </c>
    </row>
    <row r="56" spans="1:10" ht="15" customHeight="1">
      <c r="A56" s="36" t="s">
        <v>53</v>
      </c>
      <c r="B56" s="47">
        <f>IF(ECHANTILLONS!B57="","",ECHANTILLONS!B57)</f>
        <v>175</v>
      </c>
      <c r="C56" s="51">
        <f>IF(ECHANTILLONS!C57="","",ECHANTILLONS!C57)</f>
        <v>2500031</v>
      </c>
      <c r="D56" s="52">
        <f>IF('450-600 nm'!F34="","",'450-600 nm'!F34)</f>
        <v>6.3515509601181748</v>
      </c>
      <c r="E56" s="49" t="str">
        <f t="shared" si="0"/>
        <v>NEG</v>
      </c>
      <c r="F56" s="52">
        <f>IF('450-600 nm'!L34="","",'450-600 nm'!L34)</f>
        <v>4.9244911359159715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68</v>
      </c>
    </row>
    <row r="57" spans="1:10" ht="15" customHeight="1">
      <c r="A57" s="36" t="s">
        <v>54</v>
      </c>
      <c r="B57" s="47">
        <f>IF(ECHANTILLONS!B58="","",ECHANTILLONS!B58)</f>
        <v>176</v>
      </c>
      <c r="C57" s="51">
        <f>IF(ECHANTILLONS!C58="","",ECHANTILLONS!C58)</f>
        <v>2501233</v>
      </c>
      <c r="D57" s="52">
        <f>IF('450-600 nm'!G34="","",'450-600 nm'!G34)</f>
        <v>-24.963072378138833</v>
      </c>
      <c r="E57" s="49" t="str">
        <f t="shared" si="0"/>
        <v>NEG</v>
      </c>
      <c r="F57" s="52">
        <f>IF('450-600 nm'!M34="","",'450-600 nm'!M34)</f>
        <v>82.994090610636903</v>
      </c>
      <c r="G57" s="49" t="str">
        <f t="shared" si="1"/>
        <v>POS</v>
      </c>
      <c r="H57" s="49" t="str">
        <f t="shared" si="2"/>
        <v>P</v>
      </c>
      <c r="I57" s="50" t="str">
        <f>IF(ECHANTILLONS!D58="","",ECHANTILLONS!D58)</f>
        <v/>
      </c>
      <c r="J57" s="50" t="s">
        <v>68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2025-10-07T11:05:33+00:00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3BC300EB-3305-4AFD-8047-18C02585E9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2025-10-08T11:23:16Z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