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6BCEB0F2-9B3A-40CA-AF2B-A10A945315BB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20" yWindow="-120" windowWidth="29040" windowHeight="1584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<sst xmlns="http://schemas.openxmlformats.org/spreadsheetml/2006/main" count="401" uniqueCount="75">
  <si>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</si>
  <si>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</si>
  <si>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</si>
  <si>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</si>
  <si>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</si>
  <si>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</si>
  <si>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</si>
  <si>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</si>
  <si>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</si>
  <si>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</si>
  <si>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</si>
  <si>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</si>
  <si>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</si>
  <si>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</si>
  <si>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</si>
  <si>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</si>
  <si>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</si>
  <si>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</si>
  <si>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</si>
  <si>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</si>
  <si>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</si>
  <si>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</si>
  <si>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</si>
  <si>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</si>
  <si>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</si>
  <si>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</si>
  <si>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</si>
  <si>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</si>
  <si>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</si>
  <si>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</si>
  <si>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</si>
  <si>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</si>
  <si>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</si>
  <si>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</si>
  <si>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</si>
  <si>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</si>
  <si>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</si>
  <si>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</si>
  <si>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</si>
  <si>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</si>
  <si>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</si>
  <si>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</si>
  <si>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</si>
  <si>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LC,DK,HM</t>
  </si>
  <si>
    <t>Qrun file name</t>
  </si>
  <si>
    <t>2025-10-07 13.58.02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</si>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</sst>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206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206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206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206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207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207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207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207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208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208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208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208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209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209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209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209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210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210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210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210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211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211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211</v>
      </c>
      <c r="C24" s="8">
        <v>31.4044175170202</v>
      </c>
      <c r="D24" s="8">
        <v>0.40275775412251602</v>
      </c>
      <c r="E24" s="8">
        <v>0.99934000000000001</v>
      </c>
      <c r="F24" s="8"/>
    </row>
    <row r="25" spans="1:6">
      <c r="A25" s="8">
        <v>24</v>
      </c>
      <c r="B25" s="8">
        <v>211</v>
      </c>
      <c r="C25" s="8">
        <v>31.488329038820002</v>
      </c>
      <c r="D25" s="8">
        <v>0.40688368857329399</v>
      </c>
      <c r="E25" s="8">
        <v>0.99877000000000005</v>
      </c>
      <c r="F25" s="8"/>
    </row>
    <row r="26" spans="1:6">
      <c r="A26" s="8">
        <v>25</v>
      </c>
      <c r="B26" s="8">
        <v>212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212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212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212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213</v>
      </c>
      <c r="C30" s="8">
        <v>26.1548967427936</v>
      </c>
      <c r="D30" s="8">
        <v>0.76587586777882599</v>
      </c>
      <c r="E30" s="8">
        <v>0.99977000000000005</v>
      </c>
      <c r="F30" s="8"/>
    </row>
    <row r="31" spans="1:6">
      <c r="A31" s="8">
        <v>30</v>
      </c>
      <c r="B31" s="8">
        <v>213</v>
      </c>
      <c r="C31" s="8">
        <v>26.093479607592101</v>
      </c>
      <c r="D31" s="8">
        <v>0.79064068696067302</v>
      </c>
      <c r="E31" s="8">
        <v>0.99997000000000003</v>
      </c>
      <c r="F31" s="8"/>
    </row>
    <row r="32" spans="1:6">
      <c r="A32" s="8">
        <v>31</v>
      </c>
      <c r="B32" s="8">
        <v>213</v>
      </c>
      <c r="C32" s="8">
        <v>26.365730030420998</v>
      </c>
      <c r="D32" s="8">
        <v>0.69007489443890502</v>
      </c>
      <c r="E32" s="8">
        <v>0.99946999999999997</v>
      </c>
      <c r="F32" s="8"/>
    </row>
    <row r="33" spans="1:6">
      <c r="A33" s="8">
        <v>32</v>
      </c>
      <c r="B33" s="8">
        <v>213</v>
      </c>
      <c r="C33" s="8">
        <v>26.1632107640608</v>
      </c>
      <c r="D33" s="8">
        <v>0.67018082453967098</v>
      </c>
      <c r="E33" s="8">
        <v>0.99958000000000002</v>
      </c>
      <c r="F33" s="8"/>
    </row>
    <row r="34" spans="1:6">
      <c r="A34" s="8">
        <v>33</v>
      </c>
      <c r="B34" s="8">
        <v>214</v>
      </c>
      <c r="C34" s="8">
        <v>23.497957147092698</v>
      </c>
      <c r="D34" s="8">
        <v>0.89753119906322498</v>
      </c>
      <c r="E34" s="8">
        <v>0.99985000000000002</v>
      </c>
      <c r="F34" s="8"/>
    </row>
    <row r="35" spans="1:6">
      <c r="A35" s="8">
        <v>34</v>
      </c>
      <c r="B35" s="8">
        <v>214</v>
      </c>
      <c r="C35" s="8">
        <v>23.547333014149299</v>
      </c>
      <c r="D35" s="8">
        <v>0.84499120914801296</v>
      </c>
      <c r="E35" s="8">
        <v>0.99973999999999996</v>
      </c>
      <c r="F35" s="8"/>
    </row>
    <row r="36" spans="1:6">
      <c r="A36" s="8">
        <v>35</v>
      </c>
      <c r="B36" s="8">
        <v>214</v>
      </c>
      <c r="C36" s="8">
        <v>23.732924133766101</v>
      </c>
      <c r="D36" s="8">
        <v>0.93046617409003296</v>
      </c>
      <c r="E36" s="8">
        <v>0.99994000000000005</v>
      </c>
      <c r="F36" s="8"/>
    </row>
    <row r="37" spans="1:6">
      <c r="A37" s="8">
        <v>36</v>
      </c>
      <c r="B37" s="8">
        <v>214</v>
      </c>
      <c r="C37" s="8">
        <v>23.7818270108293</v>
      </c>
      <c r="D37" s="8">
        <v>1.0143042565895199</v>
      </c>
      <c r="E37" s="8">
        <v>0.99961999999999995</v>
      </c>
      <c r="F37" s="8"/>
    </row>
    <row r="38" spans="1:6">
      <c r="A38" s="8">
        <v>37</v>
      </c>
      <c r="B38" s="8">
        <v>215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215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215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215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22.043761343566199</v>
      </c>
      <c r="D42" s="8">
        <v>0.97303006237810596</v>
      </c>
      <c r="E42" s="8">
        <v>0.99877000000000005</v>
      </c>
      <c r="F42" s="8"/>
    </row>
    <row r="43" spans="1:6">
      <c r="A43" s="8">
        <v>42</v>
      </c>
      <c r="B43" s="8" t="s">
        <v>7</v>
      </c>
      <c r="C43" s="8">
        <v>21.677850359886399</v>
      </c>
      <c r="D43" s="8">
        <v>0.77940683235975805</v>
      </c>
      <c r="E43" s="8">
        <v>0.99970999999999999</v>
      </c>
      <c r="F43" s="8"/>
    </row>
    <row r="44" spans="1:6">
      <c r="A44" s="8">
        <v>43</v>
      </c>
      <c r="B44" s="8" t="s">
        <v>7</v>
      </c>
      <c r="C44" s="8">
        <v>22.039615674756799</v>
      </c>
      <c r="D44" s="8">
        <v>1.0642533035311099</v>
      </c>
      <c r="E44" s="8">
        <v>0.99843999999999999</v>
      </c>
      <c r="F44" s="8"/>
    </row>
    <row r="45" spans="1:6">
      <c r="A45" s="8">
        <v>44</v>
      </c>
      <c r="B45" s="8" t="s">
        <v>7</v>
      </c>
      <c r="C45" s="8">
        <v>21.442057918478302</v>
      </c>
      <c r="D45" s="8">
        <v>0.85620332942746702</v>
      </c>
      <c r="E45" s="8">
        <v>0.99973000000000001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206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206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206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206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207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207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207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207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208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208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208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208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209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209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209</v>
      </c>
      <c r="C16" s="9">
        <v>37.591908722843201</v>
      </c>
      <c r="D16" s="9">
        <v>0.47432457048340798</v>
      </c>
      <c r="E16" s="9">
        <v>0.99975999999999998</v>
      </c>
      <c r="F16" s="9"/>
    </row>
    <row r="17" spans="1:6">
      <c r="A17" s="9">
        <v>16</v>
      </c>
      <c r="B17" s="9">
        <v>209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210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210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210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210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211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211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211</v>
      </c>
      <c r="C24" s="9">
        <v>37.708667728138103</v>
      </c>
      <c r="D24" s="9">
        <v>0.39031950471750199</v>
      </c>
      <c r="E24" s="9">
        <v>0.99985999999999997</v>
      </c>
      <c r="F24" s="9"/>
    </row>
    <row r="25" spans="1:6">
      <c r="A25" s="9">
        <v>24</v>
      </c>
      <c r="B25" s="9">
        <v>211</v>
      </c>
      <c r="C25" s="9">
        <v>37.863833883067599</v>
      </c>
      <c r="D25" s="9">
        <v>0.38487137181938402</v>
      </c>
      <c r="E25" s="9">
        <v>0.99892000000000003</v>
      </c>
      <c r="F25" s="9"/>
    </row>
    <row r="26" spans="1:6">
      <c r="A26" s="9">
        <v>25</v>
      </c>
      <c r="B26" s="9">
        <v>212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212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212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212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213</v>
      </c>
      <c r="C30" s="9">
        <v>33.6936076238974</v>
      </c>
      <c r="D30" s="9">
        <v>0.60151720428483602</v>
      </c>
      <c r="E30" s="9">
        <v>0.99787000000000003</v>
      </c>
      <c r="F30" s="9"/>
    </row>
    <row r="31" spans="1:6">
      <c r="A31" s="9">
        <v>30</v>
      </c>
      <c r="B31" s="9">
        <v>213</v>
      </c>
      <c r="C31" s="9">
        <v>33.262646797077302</v>
      </c>
      <c r="D31" s="9">
        <v>0.62501912648997804</v>
      </c>
      <c r="E31" s="9">
        <v>0.998</v>
      </c>
      <c r="F31" s="9"/>
    </row>
    <row r="32" spans="1:6">
      <c r="A32" s="9">
        <v>31</v>
      </c>
      <c r="B32" s="9">
        <v>213</v>
      </c>
      <c r="C32" s="9">
        <v>34.232076979119199</v>
      </c>
      <c r="D32" s="9">
        <v>0.57344051770983595</v>
      </c>
      <c r="E32" s="9">
        <v>0.99787000000000003</v>
      </c>
      <c r="F32" s="9"/>
    </row>
    <row r="33" spans="1:6">
      <c r="A33" s="9">
        <v>32</v>
      </c>
      <c r="B33" s="9">
        <v>213</v>
      </c>
      <c r="C33" s="9">
        <v>32.741113750706504</v>
      </c>
      <c r="D33" s="9">
        <v>0.69290137981768596</v>
      </c>
      <c r="E33" s="9">
        <v>0.99763999999999997</v>
      </c>
      <c r="F33" s="9"/>
    </row>
    <row r="34" spans="1:6">
      <c r="A34" s="9">
        <v>33</v>
      </c>
      <c r="B34" s="9">
        <v>214</v>
      </c>
      <c r="C34" s="9">
        <v>27.885038437699599</v>
      </c>
      <c r="D34" s="9">
        <v>1.00167614547003</v>
      </c>
      <c r="E34" s="9">
        <v>0.99866999999999995</v>
      </c>
      <c r="F34" s="9"/>
    </row>
    <row r="35" spans="1:6">
      <c r="A35" s="9">
        <v>34</v>
      </c>
      <c r="B35" s="9">
        <v>214</v>
      </c>
      <c r="C35" s="9">
        <v>28.068985355248898</v>
      </c>
      <c r="D35" s="9">
        <v>0.95526099842942802</v>
      </c>
      <c r="E35" s="9">
        <v>0.99927999999999995</v>
      </c>
      <c r="F35" s="9"/>
    </row>
    <row r="36" spans="1:6">
      <c r="A36" s="9">
        <v>35</v>
      </c>
      <c r="B36" s="9">
        <v>214</v>
      </c>
      <c r="C36" s="9">
        <v>27.549786035894801</v>
      </c>
      <c r="D36" s="9">
        <v>1.03479545144879</v>
      </c>
      <c r="E36" s="9">
        <v>0.99873000000000001</v>
      </c>
      <c r="F36" s="9"/>
    </row>
    <row r="37" spans="1:6">
      <c r="A37" s="9">
        <v>36</v>
      </c>
      <c r="B37" s="9">
        <v>214</v>
      </c>
      <c r="C37" s="9">
        <v>27.423215626613999</v>
      </c>
      <c r="D37" s="9">
        <v>0.98544206983926497</v>
      </c>
      <c r="E37" s="9">
        <v>0.99929999999999997</v>
      </c>
      <c r="F37" s="9"/>
    </row>
    <row r="38" spans="1:6">
      <c r="A38" s="9">
        <v>37</v>
      </c>
      <c r="B38" s="9">
        <v>215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215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215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215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19.125544058134601</v>
      </c>
      <c r="D42" s="9">
        <v>1.07835391010411</v>
      </c>
      <c r="E42" s="9">
        <v>0.99761999999999995</v>
      </c>
      <c r="F42" s="9"/>
    </row>
    <row r="43" spans="1:6">
      <c r="A43" s="9">
        <v>42</v>
      </c>
      <c r="B43" s="9" t="s">
        <v>7</v>
      </c>
      <c r="C43" s="9">
        <v>19.0507353020324</v>
      </c>
      <c r="D43" s="9">
        <v>1.1030033671446999</v>
      </c>
      <c r="E43" s="9">
        <v>0.99719000000000002</v>
      </c>
      <c r="F43" s="9"/>
    </row>
    <row r="44" spans="1:6">
      <c r="A44" s="9">
        <v>43</v>
      </c>
      <c r="B44" s="9" t="s">
        <v>7</v>
      </c>
      <c r="C44" s="9">
        <v>19.049097869456698</v>
      </c>
      <c r="D44" s="9">
        <v>1.10422609071147</v>
      </c>
      <c r="E44" s="9">
        <v>0.99712000000000001</v>
      </c>
      <c r="F44" s="9"/>
    </row>
    <row r="45" spans="1:6">
      <c r="A45" s="9">
        <v>44</v>
      </c>
      <c r="B45" s="9" t="s">
        <v>7</v>
      </c>
      <c r="C45" s="9">
        <v>18.8005647765997</v>
      </c>
      <c r="D45" s="9">
        <v>1.0095082530111501</v>
      </c>
      <c r="E45" s="9">
        <v>0.99914999999999998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206</v>
      </c>
      <c r="C2" s="10">
        <v>24.384730596148898</v>
      </c>
      <c r="D2" s="10">
        <v>0.83560117127167199</v>
      </c>
      <c r="E2" s="10">
        <v>0.99895</v>
      </c>
      <c r="F2" s="10"/>
    </row>
    <row r="3" spans="1:6">
      <c r="A3" s="10">
        <v>2</v>
      </c>
      <c r="B3" s="10">
        <v>206</v>
      </c>
      <c r="C3" s="10">
        <v>24.4433650774954</v>
      </c>
      <c r="D3" s="10">
        <v>0.81955565888759696</v>
      </c>
      <c r="E3" s="10">
        <v>0.99897000000000002</v>
      </c>
      <c r="F3" s="10"/>
    </row>
    <row r="4" spans="1:6">
      <c r="A4" s="10">
        <v>3</v>
      </c>
      <c r="B4" s="10">
        <v>206</v>
      </c>
      <c r="C4" s="10">
        <v>24.529800153849699</v>
      </c>
      <c r="D4" s="10">
        <v>0.81929918771597499</v>
      </c>
      <c r="E4" s="10">
        <v>0.99887000000000004</v>
      </c>
      <c r="F4" s="10"/>
    </row>
    <row r="5" spans="1:6">
      <c r="A5" s="10">
        <v>4</v>
      </c>
      <c r="B5" s="10">
        <v>206</v>
      </c>
      <c r="C5" s="10">
        <v>24.434202207052</v>
      </c>
      <c r="D5" s="10">
        <v>0.83924872663611205</v>
      </c>
      <c r="E5" s="10">
        <v>0.99878999999999996</v>
      </c>
      <c r="F5" s="10"/>
    </row>
    <row r="6" spans="1:6">
      <c r="A6" s="10">
        <v>5</v>
      </c>
      <c r="B6" s="10">
        <v>207</v>
      </c>
      <c r="C6" s="10">
        <v>23.9897632146033</v>
      </c>
      <c r="D6" s="10">
        <v>0.81648672582306203</v>
      </c>
      <c r="E6" s="10">
        <v>0.99868000000000001</v>
      </c>
      <c r="F6" s="10"/>
    </row>
    <row r="7" spans="1:6">
      <c r="A7" s="10">
        <v>6</v>
      </c>
      <c r="B7" s="10">
        <v>207</v>
      </c>
      <c r="C7" s="10">
        <v>24.058824636705001</v>
      </c>
      <c r="D7" s="10">
        <v>0.81148072888536005</v>
      </c>
      <c r="E7" s="10">
        <v>0.99870999999999999</v>
      </c>
      <c r="F7" s="10"/>
    </row>
    <row r="8" spans="1:6">
      <c r="A8" s="10">
        <v>7</v>
      </c>
      <c r="B8" s="10">
        <v>207</v>
      </c>
      <c r="C8" s="10">
        <v>23.9885861861754</v>
      </c>
      <c r="D8" s="10">
        <v>0.81974116390905805</v>
      </c>
      <c r="E8" s="10">
        <v>0.99848000000000003</v>
      </c>
      <c r="F8" s="10"/>
    </row>
    <row r="9" spans="1:6">
      <c r="A9" s="10">
        <v>8</v>
      </c>
      <c r="B9" s="10">
        <v>207</v>
      </c>
      <c r="C9" s="10">
        <v>23.945399683305499</v>
      </c>
      <c r="D9" s="10">
        <v>0.82127604080441496</v>
      </c>
      <c r="E9" s="10">
        <v>0.99848999999999999</v>
      </c>
      <c r="F9" s="10"/>
    </row>
    <row r="10" spans="1:6">
      <c r="A10" s="10">
        <v>9</v>
      </c>
      <c r="B10" s="10">
        <v>208</v>
      </c>
      <c r="C10" s="10">
        <v>24.0374966400171</v>
      </c>
      <c r="D10" s="10">
        <v>0.81715622029823298</v>
      </c>
      <c r="E10" s="10">
        <v>0.99878</v>
      </c>
      <c r="F10" s="10"/>
    </row>
    <row r="11" spans="1:6">
      <c r="A11" s="10">
        <v>10</v>
      </c>
      <c r="B11" s="10">
        <v>208</v>
      </c>
      <c r="C11" s="10">
        <v>23.986318879636201</v>
      </c>
      <c r="D11" s="10">
        <v>0.82040422422694004</v>
      </c>
      <c r="E11" s="10">
        <v>0.99863999999999997</v>
      </c>
      <c r="F11" s="10"/>
    </row>
    <row r="12" spans="1:6">
      <c r="A12" s="10">
        <v>11</v>
      </c>
      <c r="B12" s="10">
        <v>208</v>
      </c>
      <c r="C12" s="10">
        <v>24.0946285313609</v>
      </c>
      <c r="D12" s="10">
        <v>0.80234830799762602</v>
      </c>
      <c r="E12" s="10">
        <v>0.99895</v>
      </c>
      <c r="F12" s="10"/>
    </row>
    <row r="13" spans="1:6">
      <c r="A13" s="10">
        <v>12</v>
      </c>
      <c r="B13" s="10">
        <v>208</v>
      </c>
      <c r="C13" s="10">
        <v>24.130115631090298</v>
      </c>
      <c r="D13" s="10">
        <v>0.812024732469109</v>
      </c>
      <c r="E13" s="10">
        <v>0.99853999999999998</v>
      </c>
      <c r="F13" s="10"/>
    </row>
    <row r="14" spans="1:6">
      <c r="A14" s="10">
        <v>13</v>
      </c>
      <c r="B14" s="10">
        <v>209</v>
      </c>
      <c r="C14" s="10">
        <v>23.193074480149502</v>
      </c>
      <c r="D14" s="10">
        <v>0.81755735683029496</v>
      </c>
      <c r="E14" s="10">
        <v>0.99870999999999999</v>
      </c>
      <c r="F14" s="10"/>
    </row>
    <row r="15" spans="1:6">
      <c r="A15" s="10">
        <v>14</v>
      </c>
      <c r="B15" s="10">
        <v>209</v>
      </c>
      <c r="C15" s="10">
        <v>23.226848086615199</v>
      </c>
      <c r="D15" s="10">
        <v>0.80475057486142998</v>
      </c>
      <c r="E15" s="10">
        <v>0.99868000000000001</v>
      </c>
      <c r="F15" s="10"/>
    </row>
    <row r="16" spans="1:6">
      <c r="A16" s="10">
        <v>15</v>
      </c>
      <c r="B16" s="10">
        <v>209</v>
      </c>
      <c r="C16" s="10">
        <v>23.232447691528201</v>
      </c>
      <c r="D16" s="10">
        <v>0.81016330532700498</v>
      </c>
      <c r="E16" s="10">
        <v>0.99872000000000005</v>
      </c>
      <c r="F16" s="10"/>
    </row>
    <row r="17" spans="1:6">
      <c r="A17" s="10">
        <v>16</v>
      </c>
      <c r="B17" s="10">
        <v>209</v>
      </c>
      <c r="C17" s="10">
        <v>23.084956128254301</v>
      </c>
      <c r="D17" s="10">
        <v>0.81266599117925697</v>
      </c>
      <c r="E17" s="10">
        <v>0.99895</v>
      </c>
      <c r="F17" s="10"/>
    </row>
    <row r="18" spans="1:6">
      <c r="A18" s="10">
        <v>17</v>
      </c>
      <c r="B18" s="10">
        <v>210</v>
      </c>
      <c r="C18" s="10">
        <v>20.846702683242899</v>
      </c>
      <c r="D18" s="10">
        <v>0.82865828059558899</v>
      </c>
      <c r="E18" s="10">
        <v>0.99831999999999999</v>
      </c>
      <c r="F18" s="10"/>
    </row>
    <row r="19" spans="1:6">
      <c r="A19" s="10">
        <v>18</v>
      </c>
      <c r="B19" s="10">
        <v>210</v>
      </c>
      <c r="C19" s="10">
        <v>20.8040065146524</v>
      </c>
      <c r="D19" s="10">
        <v>0.81682615174940698</v>
      </c>
      <c r="E19" s="10">
        <v>0.99895</v>
      </c>
      <c r="F19" s="10"/>
    </row>
    <row r="20" spans="1:6">
      <c r="A20" s="10">
        <v>19</v>
      </c>
      <c r="B20" s="10">
        <v>210</v>
      </c>
      <c r="C20" s="10">
        <v>20.8230847257067</v>
      </c>
      <c r="D20" s="10">
        <v>0.820157096975485</v>
      </c>
      <c r="E20" s="10">
        <v>0.99834999999999996</v>
      </c>
      <c r="F20" s="10"/>
    </row>
    <row r="21" spans="1:6">
      <c r="A21" s="10">
        <v>20</v>
      </c>
      <c r="B21" s="10">
        <v>210</v>
      </c>
      <c r="C21" s="10">
        <v>20.734829261826899</v>
      </c>
      <c r="D21" s="10">
        <v>0.82128633054676103</v>
      </c>
      <c r="E21" s="10">
        <v>0.99900999999999995</v>
      </c>
      <c r="F21" s="10"/>
    </row>
    <row r="22" spans="1:6">
      <c r="A22" s="10">
        <v>21</v>
      </c>
      <c r="B22" s="10">
        <v>211</v>
      </c>
      <c r="C22" s="10">
        <v>24.315420883474999</v>
      </c>
      <c r="D22" s="10">
        <v>0.81265883544463402</v>
      </c>
      <c r="E22" s="10">
        <v>0.99900999999999995</v>
      </c>
      <c r="F22" s="10"/>
    </row>
    <row r="23" spans="1:6">
      <c r="A23" s="10">
        <v>22</v>
      </c>
      <c r="B23" s="10">
        <v>211</v>
      </c>
      <c r="C23" s="10">
        <v>24.733706957341798</v>
      </c>
      <c r="D23" s="10">
        <v>0.82761043571152404</v>
      </c>
      <c r="E23" s="10">
        <v>0.99878</v>
      </c>
      <c r="F23" s="10"/>
    </row>
    <row r="24" spans="1:6">
      <c r="A24" s="10">
        <v>23</v>
      </c>
      <c r="B24" s="10">
        <v>211</v>
      </c>
      <c r="C24" s="10">
        <v>24.285526005791102</v>
      </c>
      <c r="D24" s="10">
        <v>0.81343496092793099</v>
      </c>
      <c r="E24" s="10">
        <v>0.99919999999999998</v>
      </c>
      <c r="F24" s="10"/>
    </row>
    <row r="25" spans="1:6">
      <c r="A25" s="10">
        <v>24</v>
      </c>
      <c r="B25" s="10">
        <v>211</v>
      </c>
      <c r="C25" s="10">
        <v>24.339775723663401</v>
      </c>
      <c r="D25" s="10">
        <v>0.80447332795377702</v>
      </c>
      <c r="E25" s="10">
        <v>0.99912000000000001</v>
      </c>
      <c r="F25" s="10"/>
    </row>
    <row r="26" spans="1:6">
      <c r="A26" s="10">
        <v>25</v>
      </c>
      <c r="B26" s="10">
        <v>212</v>
      </c>
      <c r="C26" s="10">
        <v>-1</v>
      </c>
      <c r="D26" s="10">
        <v>-1</v>
      </c>
      <c r="E26" s="10"/>
      <c r="F26" s="10" t="s">
        <v>6</v>
      </c>
    </row>
    <row r="27" spans="1:6">
      <c r="A27" s="10">
        <v>26</v>
      </c>
      <c r="B27" s="10">
        <v>212</v>
      </c>
      <c r="C27" s="10">
        <v>23.432766709027199</v>
      </c>
      <c r="D27" s="10">
        <v>0.79074586196653796</v>
      </c>
      <c r="E27" s="10">
        <v>0.99909000000000003</v>
      </c>
      <c r="F27" s="10"/>
    </row>
    <row r="28" spans="1:6">
      <c r="A28" s="10">
        <v>27</v>
      </c>
      <c r="B28" s="10">
        <v>212</v>
      </c>
      <c r="C28" s="10">
        <v>23.4352319144135</v>
      </c>
      <c r="D28" s="10">
        <v>0.82594555650518797</v>
      </c>
      <c r="E28" s="10">
        <v>0.99905999999999995</v>
      </c>
      <c r="F28" s="10"/>
    </row>
    <row r="29" spans="1:6">
      <c r="A29" s="10">
        <v>28</v>
      </c>
      <c r="B29" s="10">
        <v>212</v>
      </c>
      <c r="C29" s="10">
        <v>23.488946944629301</v>
      </c>
      <c r="D29" s="10">
        <v>0.81837005688030895</v>
      </c>
      <c r="E29" s="10">
        <v>0.99900999999999995</v>
      </c>
      <c r="F29" s="10"/>
    </row>
    <row r="30" spans="1:6">
      <c r="A30" s="10">
        <v>29</v>
      </c>
      <c r="B30" s="10">
        <v>213</v>
      </c>
      <c r="C30" s="10">
        <v>23.256774962247601</v>
      </c>
      <c r="D30" s="10">
        <v>0.80279444611890804</v>
      </c>
      <c r="E30" s="10">
        <v>0.99924000000000002</v>
      </c>
      <c r="F30" s="10"/>
    </row>
    <row r="31" spans="1:6">
      <c r="A31" s="10">
        <v>30</v>
      </c>
      <c r="B31" s="10">
        <v>213</v>
      </c>
      <c r="C31" s="10">
        <v>23.2107078011345</v>
      </c>
      <c r="D31" s="10">
        <v>0.80144359075012295</v>
      </c>
      <c r="E31" s="10">
        <v>0.99890000000000001</v>
      </c>
      <c r="F31" s="10"/>
    </row>
    <row r="32" spans="1:6">
      <c r="A32" s="10">
        <v>31</v>
      </c>
      <c r="B32" s="10">
        <v>213</v>
      </c>
      <c r="C32" s="10">
        <v>23.287347374344598</v>
      </c>
      <c r="D32" s="10">
        <v>0.79217089779905803</v>
      </c>
      <c r="E32" s="10">
        <v>0.99922999999999995</v>
      </c>
      <c r="F32" s="10"/>
    </row>
    <row r="33" spans="1:6">
      <c r="A33" s="10">
        <v>32</v>
      </c>
      <c r="B33" s="10">
        <v>213</v>
      </c>
      <c r="C33" s="10">
        <v>23.201705348570599</v>
      </c>
      <c r="D33" s="10">
        <v>0.80140254456399995</v>
      </c>
      <c r="E33" s="10">
        <v>0.99904999999999999</v>
      </c>
      <c r="F33" s="10"/>
    </row>
    <row r="34" spans="1:6">
      <c r="A34" s="10">
        <v>33</v>
      </c>
      <c r="B34" s="10">
        <v>214</v>
      </c>
      <c r="C34" s="10">
        <v>24.243306251241201</v>
      </c>
      <c r="D34" s="10">
        <v>0.79692310844564496</v>
      </c>
      <c r="E34" s="10">
        <v>0.99907000000000001</v>
      </c>
      <c r="F34" s="10"/>
    </row>
    <row r="35" spans="1:6">
      <c r="A35" s="10">
        <v>34</v>
      </c>
      <c r="B35" s="10">
        <v>214</v>
      </c>
      <c r="C35" s="10">
        <v>24.280990946958301</v>
      </c>
      <c r="D35" s="10">
        <v>0.77670853515767602</v>
      </c>
      <c r="E35" s="10">
        <v>0.99943000000000004</v>
      </c>
      <c r="F35" s="10"/>
    </row>
    <row r="36" spans="1:6">
      <c r="A36" s="10">
        <v>35</v>
      </c>
      <c r="B36" s="10">
        <v>214</v>
      </c>
      <c r="C36" s="10">
        <v>24.2223853449918</v>
      </c>
      <c r="D36" s="10">
        <v>0.80394101177881006</v>
      </c>
      <c r="E36" s="10">
        <v>0.99887999999999999</v>
      </c>
      <c r="F36" s="10"/>
    </row>
    <row r="37" spans="1:6">
      <c r="A37" s="10">
        <v>36</v>
      </c>
      <c r="B37" s="10">
        <v>214</v>
      </c>
      <c r="C37" s="10">
        <v>24.1848234673337</v>
      </c>
      <c r="D37" s="10">
        <v>0.80977264534100601</v>
      </c>
      <c r="E37" s="10">
        <v>0.99878999999999996</v>
      </c>
      <c r="F37" s="10"/>
    </row>
    <row r="38" spans="1:6">
      <c r="A38" s="10">
        <v>37</v>
      </c>
      <c r="B38" s="10">
        <v>215</v>
      </c>
      <c r="C38" s="10">
        <v>22.700799426067402</v>
      </c>
      <c r="D38" s="10">
        <v>0.82788251459120998</v>
      </c>
      <c r="E38" s="10">
        <v>0.99887999999999999</v>
      </c>
      <c r="F38" s="10"/>
    </row>
    <row r="39" spans="1:6">
      <c r="A39" s="10">
        <v>38</v>
      </c>
      <c r="B39" s="10">
        <v>215</v>
      </c>
      <c r="C39" s="10">
        <v>22.685279805226799</v>
      </c>
      <c r="D39" s="10">
        <v>0.82556640913567902</v>
      </c>
      <c r="E39" s="10">
        <v>0.99873000000000001</v>
      </c>
      <c r="F39" s="10"/>
    </row>
    <row r="40" spans="1:6">
      <c r="A40" s="10">
        <v>39</v>
      </c>
      <c r="B40" s="10">
        <v>215</v>
      </c>
      <c r="C40" s="10">
        <v>22.724384262193801</v>
      </c>
      <c r="D40" s="10">
        <v>0.82477046807119603</v>
      </c>
      <c r="E40" s="10">
        <v>0.99873999999999996</v>
      </c>
      <c r="F40" s="10"/>
    </row>
    <row r="41" spans="1:6">
      <c r="A41" s="10">
        <v>40</v>
      </c>
      <c r="B41" s="10">
        <v>215</v>
      </c>
      <c r="C41" s="10">
        <v>22.666462957894801</v>
      </c>
      <c r="D41" s="10">
        <v>0.82597867408867998</v>
      </c>
      <c r="E41" s="10">
        <v>0.99880000000000002</v>
      </c>
      <c r="F41" s="10"/>
    </row>
    <row r="42" spans="1:6">
      <c r="A42" s="10">
        <v>41</v>
      </c>
      <c r="B42" s="10" t="s">
        <v>7</v>
      </c>
      <c r="C42" s="10">
        <v>34.573747865463901</v>
      </c>
      <c r="D42" s="10">
        <v>0.59861345771315899</v>
      </c>
      <c r="E42" s="10">
        <v>0.99841999999999997</v>
      </c>
      <c r="F42" s="10"/>
    </row>
    <row r="43" spans="1:6">
      <c r="A43" s="10">
        <v>42</v>
      </c>
      <c r="B43" s="10" t="s">
        <v>7</v>
      </c>
      <c r="C43" s="10">
        <v>35.214971739711899</v>
      </c>
      <c r="D43" s="10">
        <v>0.59159307912749703</v>
      </c>
      <c r="E43" s="10">
        <v>0.99834999999999996</v>
      </c>
      <c r="F43" s="10"/>
    </row>
    <row r="44" spans="1:6">
      <c r="A44" s="10">
        <v>43</v>
      </c>
      <c r="B44" s="10" t="s">
        <v>7</v>
      </c>
      <c r="C44" s="10">
        <v>36.243872855984797</v>
      </c>
      <c r="D44" s="10">
        <v>0.58494754136603699</v>
      </c>
      <c r="E44" s="10">
        <v>0.99834000000000001</v>
      </c>
      <c r="F44" s="10"/>
    </row>
    <row r="45" spans="1:6">
      <c r="A45" s="10">
        <v>44</v>
      </c>
      <c r="B45" s="10" t="s">
        <v>7</v>
      </c>
      <c r="C45" s="10">
        <v>35.270389377607799</v>
      </c>
      <c r="D45" s="10">
        <v>0.57103741241711703</v>
      </c>
      <c r="E45" s="10">
        <v>0.99821000000000004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206</v>
      </c>
      <c r="B2">
        <f>IF('177T'!C2="", "", '177T'!C2)</f>
        <v>-1</v>
      </c>
      <c r="C2">
        <f>IF('18S2'!C2="", "", '18S2'!C2)</f>
        <v>-1</v>
      </c>
      <c r="D2">
        <f>IF(RNAseP!C2="", "", RNAseP!C2)</f>
        <v>24.384730596148898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206</v>
      </c>
      <c r="B3">
        <f>IF('177T'!C3="", "", '177T'!C3)</f>
        <v>-1</v>
      </c>
      <c r="C3">
        <f>IF('18S2'!C3="", "", '18S2'!C3)</f>
        <v>-1</v>
      </c>
      <c r="D3">
        <f>IF(RNAseP!C3="", "", RNAseP!C3)</f>
        <v>24.4433650774954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206</v>
      </c>
      <c r="B4">
        <f>IF('177T'!C4="", "", '177T'!C4)</f>
        <v>-1</v>
      </c>
      <c r="C4">
        <f>IF('18S2'!C4="", "", '18S2'!C4)</f>
        <v>-1</v>
      </c>
      <c r="D4">
        <f>IF(RNAseP!C4="", "", RNAseP!C4)</f>
        <v>24.529800153849699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206</v>
      </c>
      <c r="B5">
        <f>IF('177T'!C5="", "", '177T'!C5)</f>
        <v>-1</v>
      </c>
      <c r="C5">
        <f>IF('18S2'!C5="", "", '18S2'!C5)</f>
        <v>-1</v>
      </c>
      <c r="D5">
        <f>IF(RNAseP!C5="", "", RNAseP!C5)</f>
        <v>24.434202207052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207</v>
      </c>
      <c r="B6">
        <f>IF('177T'!C6="", "", '177T'!C6)</f>
        <v>-1</v>
      </c>
      <c r="C6">
        <f>IF('18S2'!C6="", "", '18S2'!C6)</f>
        <v>-1</v>
      </c>
      <c r="D6">
        <f>IF(RNAseP!C6="", "", RNAseP!C6)</f>
        <v>23.9897632146033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207</v>
      </c>
      <c r="B7">
        <f>IF('177T'!C7="", "", '177T'!C7)</f>
        <v>-1</v>
      </c>
      <c r="C7">
        <f>IF('18S2'!C7="", "", '18S2'!C7)</f>
        <v>-1</v>
      </c>
      <c r="D7">
        <f>IF(RNAseP!C7="", "", RNAseP!C7)</f>
        <v>24.058824636705001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207</v>
      </c>
      <c r="B8">
        <f>IF('177T'!C8="", "", '177T'!C8)</f>
        <v>-1</v>
      </c>
      <c r="C8">
        <f>IF('18S2'!C8="", "", '18S2'!C8)</f>
        <v>-1</v>
      </c>
      <c r="D8">
        <f>IF(RNAseP!C8="", "", RNAseP!C8)</f>
        <v>23.9885861861754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207</v>
      </c>
      <c r="B9">
        <f>IF('177T'!C9="", "", '177T'!C9)</f>
        <v>-1</v>
      </c>
      <c r="C9">
        <f>IF('18S2'!C9="", "", '18S2'!C9)</f>
        <v>-1</v>
      </c>
      <c r="D9">
        <f>IF(RNAseP!C9="", "", RNAseP!C9)</f>
        <v>23.945399683305499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208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24.0374966400171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208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23.986318879636201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208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24.0946285313609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208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24.130115631090298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209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23.193074480149502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209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23.226848086615199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209</v>
      </c>
      <c r="B16">
        <f>IF('177T'!C16="", "", '177T'!C16)</f>
        <v>-1</v>
      </c>
      <c r="C16">
        <f>IF('18S2'!C16="", "", '18S2'!C16)</f>
        <v>37.591908722843201</v>
      </c>
      <c r="D16">
        <f>IF(RNAseP!C16="", "", RNAseP!C16)</f>
        <v>23.232447691528201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0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S</v>
      </c>
      <c r="I16" t="str" cm="1">
        <f t="array" ref="I16">INDEX(Decision!$E$1:$E$28, MATCH(E16&amp;F16&amp;G16, Decision!$A$1:$A$28&amp;Decision!$B$1:$B$28&amp;Decision!$C$1:$C$28, 0))</f>
        <v>RNA suspect</v>
      </c>
    </row>
    <row r="17" spans="1:9">
      <c r="A17">
        <f>IF(AND('177T'!B17 = '18S2'!B17, '177T'!B17 = RNAseP!B17, '177T'!B17 &lt;&gt; ""), '177T'!B17, IF('177T'!B17 = "", "", "Mismatch"))</f>
        <v>209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23.084956128254301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210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20.846702683242899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210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20.8040065146524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210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20.8230847257067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210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20.734829261826899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211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24.315420883474999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211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24.733706957341798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211</v>
      </c>
      <c r="B24">
        <f>IF('177T'!C24="", "", '177T'!C24)</f>
        <v>31.4044175170202</v>
      </c>
      <c r="C24">
        <f>IF('18S2'!C24="", "", '18S2'!C24)</f>
        <v>37.708667728138103</v>
      </c>
      <c r="D24">
        <f>IF(RNAseP!C24="", "", RNAseP!C24)</f>
        <v>24.285526005791102</v>
      </c>
      <c r="E24" s="3" t="str">
        <f>IF(B24=-1, "-1", IF(B24&lt;VLOOKUP("177T", Cutoff!$A$1:$B$4, 2, FALSE), "1", "0"))</f>
        <v>1</v>
      </c>
      <c r="F24" s="3" t="str">
        <f>IF(C24=-1, "-1", IF(C24&lt;VLOOKUP("18S2", Cutoff!$A$1:$B$4, 2, FALSE), "1", "0"))</f>
        <v>0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P</v>
      </c>
      <c r="I24" t="str" cm="1">
        <f t="array" ref="I24">INDEX(Decision!$E$1:$E$28, MATCH(E24&amp;F24&amp;G24, Decision!$A$1:$A$28&amp;Decision!$B$1:$B$28&amp;Decision!$C$1:$C$28, 0))</f>
        <v>DNA case &amp; RNA suspect</v>
      </c>
    </row>
    <row r="25" spans="1:9">
      <c r="A25">
        <f>IF(AND('177T'!B25 = '18S2'!B25, '177T'!B25 = RNAseP!B25, '177T'!B25 &lt;&gt; ""), '177T'!B25, IF('177T'!B25 = "", "", "Mismatch"))</f>
        <v>211</v>
      </c>
      <c r="B25">
        <f>IF('177T'!C25="", "", '177T'!C25)</f>
        <v>31.488329038820002</v>
      </c>
      <c r="C25">
        <f>IF('18S2'!C25="", "", '18S2'!C25)</f>
        <v>37.863833883067599</v>
      </c>
      <c r="D25">
        <f>IF(RNAseP!C25="", "", RNAseP!C25)</f>
        <v>24.339775723663401</v>
      </c>
      <c r="E25" s="3" t="str">
        <f>IF(B25=-1, "-1", IF(B25&lt;VLOOKUP("177T", Cutoff!$A$1:$B$4, 2, FALSE), "1", "0"))</f>
        <v>1</v>
      </c>
      <c r="F25" s="3" t="str">
        <f>IF(C25=-1, "-1", IF(C25&lt;VLOOKUP("18S2", Cutoff!$A$1:$B$4, 2, FALSE), "1", "0"))</f>
        <v>0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P</v>
      </c>
      <c r="I25" t="str" cm="1">
        <f t="array" ref="I25">INDEX(Decision!$E$1:$E$28, MATCH(E25&amp;F25&amp;G25, Decision!$A$1:$A$28&amp;Decision!$B$1:$B$28&amp;Decision!$C$1:$C$28, 0))</f>
        <v>DNA case &amp; RNA suspect</v>
      </c>
    </row>
    <row r="26" spans="1:9">
      <c r="A26">
        <f>IF(AND('177T'!B26 = '18S2'!B26, '177T'!B26 = RNAseP!B26, '177T'!B26 &lt;&gt; ""), '177T'!B26, IF('177T'!B26 = "", "", "Mismatch"))</f>
        <v>212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-1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-1</v>
      </c>
      <c r="H26" s="3" t="str" cm="1">
        <f t="array" ref="H26">INDEX(Decision!$D$1:$D$28, MATCH(E26&amp;F26&amp;G26, Decision!$A$1:$A$28&amp;Decision!$B$1:$B$28&amp;Decision!$C$1:$C$28, 0))</f>
        <v>F</v>
      </c>
      <c r="I26" t="str" cm="1">
        <f t="array" ref="I26">INDEX(Decision!$E$1:$E$28, MATCH(E26&amp;F26&amp;G26, Decision!$A$1:$A$28&amp;Decision!$B$1:$B$28&amp;Decision!$C$1:$C$28, 0))</f>
        <v>extraction fail</v>
      </c>
    </row>
    <row r="27" spans="1:9">
      <c r="A27">
        <f>IF(AND('177T'!B27 = '18S2'!B27, '177T'!B27 = RNAseP!B27, '177T'!B27 &lt;&gt; ""), '177T'!B27, IF('177T'!B27 = "", "", "Mismatch"))</f>
        <v>212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23.432766709027199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212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23.4352319144135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212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23.488946944629301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213</v>
      </c>
      <c r="B30">
        <f>IF('177T'!C30="", "", '177T'!C30)</f>
        <v>26.1548967427936</v>
      </c>
      <c r="C30">
        <f>IF('18S2'!C30="", "", '18S2'!C30)</f>
        <v>33.6936076238974</v>
      </c>
      <c r="D30">
        <f>IF(RNAseP!C30="", "", RNAseP!C30)</f>
        <v>23.256774962247601</v>
      </c>
      <c r="E30" s="3" t="str">
        <f>IF(B30=-1, "-1", IF(B30&lt;VLOOKUP("177T", Cutoff!$A$1:$B$4, 2, FALSE), "1", "0"))</f>
        <v>1</v>
      </c>
      <c r="F30" s="3" t="str">
        <f>IF(C30=-1, "-1", IF(C30&lt;VLOOKUP("18S2", Cutoff!$A$1:$B$4, 2, FALSE), "1", "0"))</f>
        <v>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P</v>
      </c>
      <c r="I30" t="str" cm="1">
        <f t="array" ref="I30">INDEX(Decision!$E$1:$E$28, MATCH(E30&amp;F30&amp;G30, Decision!$A$1:$A$28&amp;Decision!$B$1:$B$28&amp;Decision!$C$1:$C$28, 0))</f>
        <v>TNA case</v>
      </c>
    </row>
    <row r="31" spans="1:9">
      <c r="A31">
        <f>IF(AND('177T'!B31 = '18S2'!B31, '177T'!B31 = RNAseP!B31, '177T'!B31 &lt;&gt; ""), '177T'!B31, IF('177T'!B31 = "", "", "Mismatch"))</f>
        <v>213</v>
      </c>
      <c r="B31">
        <f>IF('177T'!C31="", "", '177T'!C31)</f>
        <v>26.093479607592101</v>
      </c>
      <c r="C31">
        <f>IF('18S2'!C31="", "", '18S2'!C31)</f>
        <v>33.262646797077302</v>
      </c>
      <c r="D31">
        <f>IF(RNAseP!C31="", "", RNAseP!C31)</f>
        <v>23.2107078011345</v>
      </c>
      <c r="E31" s="3" t="str">
        <f>IF(B31=-1, "-1", IF(B31&lt;VLOOKUP("177T", Cutoff!$A$1:$B$4, 2, FALSE), "1", "0"))</f>
        <v>1</v>
      </c>
      <c r="F31" s="3" t="str">
        <f>IF(C31=-1, "-1", IF(C31&lt;VLOOKUP("18S2", Cutoff!$A$1:$B$4, 2, FALSE), "1", "0"))</f>
        <v>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P</v>
      </c>
      <c r="I31" t="str" cm="1">
        <f t="array" ref="I31">INDEX(Decision!$E$1:$E$28, MATCH(E31&amp;F31&amp;G31, Decision!$A$1:$A$28&amp;Decision!$B$1:$B$28&amp;Decision!$C$1:$C$28, 0))</f>
        <v>TNA case</v>
      </c>
    </row>
    <row r="32" spans="1:9">
      <c r="A32">
        <f>IF(AND('177T'!B32 = '18S2'!B32, '177T'!B32 = RNAseP!B32, '177T'!B32 &lt;&gt; ""), '177T'!B32, IF('177T'!B32 = "", "", "Mismatch"))</f>
        <v>213</v>
      </c>
      <c r="B32">
        <f>IF('177T'!C32="", "", '177T'!C32)</f>
        <v>26.365730030420998</v>
      </c>
      <c r="C32">
        <f>IF('18S2'!C32="", "", '18S2'!C32)</f>
        <v>34.232076979119199</v>
      </c>
      <c r="D32">
        <f>IF(RNAseP!C32="", "", RNAseP!C32)</f>
        <v>23.287347374344598</v>
      </c>
      <c r="E32" s="3" t="str">
        <f>IF(B32=-1, "-1", IF(B32&lt;VLOOKUP("177T", Cutoff!$A$1:$B$4, 2, FALSE), "1", "0"))</f>
        <v>1</v>
      </c>
      <c r="F32" s="3" t="str">
        <f>IF(C32=-1, "-1", IF(C32&lt;VLOOKUP("18S2", Cutoff!$A$1:$B$4, 2, FALSE), "1", "0"))</f>
        <v>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P</v>
      </c>
      <c r="I32" t="str" cm="1">
        <f t="array" ref="I32">INDEX(Decision!$E$1:$E$28, MATCH(E32&amp;F32&amp;G32, Decision!$A$1:$A$28&amp;Decision!$B$1:$B$28&amp;Decision!$C$1:$C$28, 0))</f>
        <v>TNA case</v>
      </c>
    </row>
    <row r="33" spans="1:9">
      <c r="A33">
        <f>IF(AND('177T'!B33 = '18S2'!B33, '177T'!B33 = RNAseP!B33, '177T'!B33 &lt;&gt; ""), '177T'!B33, IF('177T'!B33 = "", "", "Mismatch"))</f>
        <v>213</v>
      </c>
      <c r="B33">
        <f>IF('177T'!C33="", "", '177T'!C33)</f>
        <v>26.1632107640608</v>
      </c>
      <c r="C33">
        <f>IF('18S2'!C33="", "", '18S2'!C33)</f>
        <v>32.741113750706504</v>
      </c>
      <c r="D33">
        <f>IF(RNAseP!C33="", "", RNAseP!C33)</f>
        <v>23.201705348570599</v>
      </c>
      <c r="E33" s="3" t="str">
        <f>IF(B33=-1, "-1", IF(B33&lt;VLOOKUP("177T", Cutoff!$A$1:$B$4, 2, FALSE), "1", "0"))</f>
        <v>1</v>
      </c>
      <c r="F33" s="3" t="str">
        <f>IF(C33=-1, "-1", IF(C33&lt;VLOOKUP("18S2", Cutoff!$A$1:$B$4, 2, FALSE), "1", "0"))</f>
        <v>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P</v>
      </c>
      <c r="I33" t="str" cm="1">
        <f t="array" ref="I33">INDEX(Decision!$E$1:$E$28, MATCH(E33&amp;F33&amp;G33, Decision!$A$1:$A$28&amp;Decision!$B$1:$B$28&amp;Decision!$C$1:$C$28, 0))</f>
        <v>TNA case</v>
      </c>
    </row>
    <row r="34" spans="1:9">
      <c r="A34">
        <f>IF(AND('177T'!B34 = '18S2'!B34, '177T'!B34 = RNAseP!B34, '177T'!B34 &lt;&gt; ""), '177T'!B34, IF('177T'!B34 = "", "", "Mismatch"))</f>
        <v>214</v>
      </c>
      <c r="B34">
        <f>IF('177T'!C34="", "", '177T'!C34)</f>
        <v>23.497957147092698</v>
      </c>
      <c r="C34">
        <f>IF('18S2'!C34="", "", '18S2'!C34)</f>
        <v>27.885038437699599</v>
      </c>
      <c r="D34">
        <f>IF(RNAseP!C34="", "", RNAseP!C34)</f>
        <v>24.243306251241201</v>
      </c>
      <c r="E34" s="3" t="str">
        <f>IF(B34=-1, "-1", IF(B34&lt;VLOOKUP("177T", Cutoff!$A$1:$B$4, 2, FALSE), "1", "0"))</f>
        <v>1</v>
      </c>
      <c r="F34" s="3" t="str">
        <f>IF(C34=-1, "-1", IF(C34&lt;VLOOKUP("18S2", Cutoff!$A$1:$B$4, 2, FALSE), "1", "0"))</f>
        <v>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P</v>
      </c>
      <c r="I34" t="str" cm="1">
        <f t="array" ref="I34">INDEX(Decision!$E$1:$E$28, MATCH(E34&amp;F34&amp;G34, Decision!$A$1:$A$28&amp;Decision!$B$1:$B$28&amp;Decision!$C$1:$C$28, 0))</f>
        <v>TNA case</v>
      </c>
    </row>
    <row r="35" spans="1:9">
      <c r="A35">
        <f>IF(AND('177T'!B35 = '18S2'!B35, '177T'!B35 = RNAseP!B35, '177T'!B35 &lt;&gt; ""), '177T'!B35, IF('177T'!B35 = "", "", "Mismatch"))</f>
        <v>214</v>
      </c>
      <c r="B35">
        <f>IF('177T'!C35="", "", '177T'!C35)</f>
        <v>23.547333014149299</v>
      </c>
      <c r="C35">
        <f>IF('18S2'!C35="", "", '18S2'!C35)</f>
        <v>28.068985355248898</v>
      </c>
      <c r="D35">
        <f>IF(RNAseP!C35="", "", RNAseP!C35)</f>
        <v>24.280990946958301</v>
      </c>
      <c r="E35" s="3" t="str">
        <f>IF(B35=-1, "-1", IF(B35&lt;VLOOKUP("177T", Cutoff!$A$1:$B$4, 2, FALSE), "1", "0"))</f>
        <v>1</v>
      </c>
      <c r="F35" s="3" t="str">
        <f>IF(C35=-1, "-1", IF(C35&lt;VLOOKUP("18S2", Cutoff!$A$1:$B$4, 2, FALSE), "1", "0"))</f>
        <v>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P</v>
      </c>
      <c r="I35" t="str" cm="1">
        <f t="array" ref="I35">INDEX(Decision!$E$1:$E$28, MATCH(E35&amp;F35&amp;G35, Decision!$A$1:$A$28&amp;Decision!$B$1:$B$28&amp;Decision!$C$1:$C$28, 0))</f>
        <v>TNA case</v>
      </c>
    </row>
    <row r="36" spans="1:9">
      <c r="A36">
        <f>IF(AND('177T'!B36 = '18S2'!B36, '177T'!B36 = RNAseP!B36, '177T'!B36 &lt;&gt; ""), '177T'!B36, IF('177T'!B36 = "", "", "Mismatch"))</f>
        <v>214</v>
      </c>
      <c r="B36">
        <f>IF('177T'!C36="", "", '177T'!C36)</f>
        <v>23.732924133766101</v>
      </c>
      <c r="C36">
        <f>IF('18S2'!C36="", "", '18S2'!C36)</f>
        <v>27.549786035894801</v>
      </c>
      <c r="D36">
        <f>IF(RNAseP!C36="", "", RNAseP!C36)</f>
        <v>24.2223853449918</v>
      </c>
      <c r="E36" s="3" t="str">
        <f>IF(B36=-1, "-1", IF(B36&lt;VLOOKUP("177T", Cutoff!$A$1:$B$4, 2, FALSE), "1", "0"))</f>
        <v>1</v>
      </c>
      <c r="F36" s="3" t="str">
        <f>IF(C36=-1, "-1", IF(C36&lt;VLOOKUP("18S2", Cutoff!$A$1:$B$4, 2, FALSE), "1", "0"))</f>
        <v>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P</v>
      </c>
      <c r="I36" t="str" cm="1">
        <f t="array" ref="I36">INDEX(Decision!$E$1:$E$28, MATCH(E36&amp;F36&amp;G36, Decision!$A$1:$A$28&amp;Decision!$B$1:$B$28&amp;Decision!$C$1:$C$28, 0))</f>
        <v>TNA case</v>
      </c>
    </row>
    <row r="37" spans="1:9">
      <c r="A37">
        <f>IF(AND('177T'!B37 = '18S2'!B37, '177T'!B37 = RNAseP!B37, '177T'!B37 &lt;&gt; ""), '177T'!B37, IF('177T'!B37 = "", "", "Mismatch"))</f>
        <v>214</v>
      </c>
      <c r="B37">
        <f>IF('177T'!C37="", "", '177T'!C37)</f>
        <v>23.7818270108293</v>
      </c>
      <c r="C37">
        <f>IF('18S2'!C37="", "", '18S2'!C37)</f>
        <v>27.423215626613999</v>
      </c>
      <c r="D37">
        <f>IF(RNAseP!C37="", "", RNAseP!C37)</f>
        <v>24.1848234673337</v>
      </c>
      <c r="E37" s="3" t="str">
        <f>IF(B37=-1, "-1", IF(B37&lt;VLOOKUP("177T", Cutoff!$A$1:$B$4, 2, FALSE), "1", "0"))</f>
        <v>1</v>
      </c>
      <c r="F37" s="3" t="str">
        <f>IF(C37=-1, "-1", IF(C37&lt;VLOOKUP("18S2", Cutoff!$A$1:$B$4, 2, FALSE), "1", "0"))</f>
        <v>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P</v>
      </c>
      <c r="I37" t="str" cm="1">
        <f t="array" ref="I37">INDEX(Decision!$E$1:$E$28, MATCH(E37&amp;F37&amp;G37, Decision!$A$1:$A$28&amp;Decision!$B$1:$B$28&amp;Decision!$C$1:$C$28, 0))</f>
        <v>TNA case</v>
      </c>
    </row>
    <row r="38" spans="1:9">
      <c r="A38">
        <f>IF(AND('177T'!B38 = '18S2'!B38, '177T'!B38 = RNAseP!B38, '177T'!B38 &lt;&gt; ""), '177T'!B38, IF('177T'!B38 = "", "", "Mismatch"))</f>
        <v>215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22.700799426067402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215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22.685279805226799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215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22.724384262193801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215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22.666462957894801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22.043761343566199</v>
      </c>
      <c r="C42">
        <f>IF('18S2'!C42="", "", '18S2'!C42)</f>
        <v>19.125544058134601</v>
      </c>
      <c r="D42">
        <f>IF(RNAseP!C42="", "", RNAseP!C42)</f>
        <v>34.573747865463901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21.677850359886399</v>
      </c>
      <c r="C43">
        <f>IF('18S2'!C43="", "", '18S2'!C43)</f>
        <v>19.0507353020324</v>
      </c>
      <c r="D43">
        <f>IF(RNAseP!C43="", "", RNAseP!C43)</f>
        <v>35.214971739711899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22.039615674756799</v>
      </c>
      <c r="C44">
        <f>IF('18S2'!C44="", "", '18S2'!C44)</f>
        <v>19.049097869456698</v>
      </c>
      <c r="D44">
        <f>IF(RNAseP!C44="", "", RNAseP!C44)</f>
        <v>36.243872855984797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21.442057918478302</v>
      </c>
      <c r="C45">
        <f>IF('18S2'!C45="", "", '18S2'!C45)</f>
        <v>18.8005647765997</v>
      </c>
      <c r="D45">
        <f>IF(RNAseP!C45="", "", RNAseP!C45)</f>
        <v>35.270389377607799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C5" sqref="C5:G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45937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1">
        <v>66262118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206</v>
      </c>
      <c r="B16" s="11">
        <v>2501885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24,4 +/- 0,1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207</v>
      </c>
      <c r="B17" s="11">
        <v>2501901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24 +/- 0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208</v>
      </c>
      <c r="B18" s="11">
        <v>2402797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24,1 +/- 0,1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209</v>
      </c>
      <c r="B19" s="11">
        <v>2500040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>37,6</v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23,2 +/- 0,1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210</v>
      </c>
      <c r="B20" s="11">
        <v>2500061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20,8 +/- 0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211</v>
      </c>
      <c r="B21" s="11">
        <v>2501304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R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>31,4 +/- 0,1</v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>37,8 +/- 0,1</v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24,4 +/- 0,2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212</v>
      </c>
      <c r="B22" s="11">
        <v>2501307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23,5 +/- 0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213</v>
      </c>
      <c r="B23" s="11">
        <v>2501322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P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>26,2 +/- 0,1</v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>33,5 +/- 0,6</v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23,2 +/- 0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214</v>
      </c>
      <c r="B24" s="11">
        <v>2402762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P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>23,6 +/- 0,1</v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>27,7 +/- 0,3</v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24,2 +/- 0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215</v>
      </c>
      <c r="B25" s="11">
        <v>2501308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22,7 +/- 0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21,8 +/- 0,3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19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35,3 +/- 0,7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25" t="s">
        <v>58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24" t="s">
        <v>61</v>
      </c>
      <c r="D30" s="24"/>
      <c r="E30" s="20"/>
    </row>
    <row r="31" spans="1:12">
      <c r="A31" s="18" t="s">
        <v>20</v>
      </c>
      <c r="B31" s="18" t="s">
        <v>21</v>
      </c>
      <c r="C31" s="24" t="s">
        <v>62</v>
      </c>
      <c r="D31" s="24"/>
      <c r="E31" s="20"/>
    </row>
    <row r="32" spans="1:12">
      <c r="A32" s="18" t="s">
        <v>22</v>
      </c>
      <c r="B32" s="18" t="s">
        <v>63</v>
      </c>
      <c r="C32" s="24" t="s">
        <v>64</v>
      </c>
      <c r="D32" s="24"/>
      <c r="E32" s="20"/>
    </row>
    <row r="33" spans="1:5">
      <c r="A33" s="18" t="s">
        <v>65</v>
      </c>
      <c r="B33" s="18" t="s">
        <v>66</v>
      </c>
      <c r="C33" s="24" t="s">
        <v>67</v>
      </c>
      <c r="D33" s="24"/>
      <c r="E33" s="20"/>
    </row>
    <row r="34" spans="1:5">
      <c r="A34" s="18" t="s">
        <v>17</v>
      </c>
      <c r="B34" s="18" t="s">
        <v>68</v>
      </c>
      <c r="C34" s="24" t="s">
        <v>69</v>
      </c>
      <c r="D34" s="24"/>
      <c r="E34" s="20"/>
    </row>
    <row r="35" spans="1:5">
      <c r="A35" s="18" t="s">
        <v>70</v>
      </c>
      <c r="B35" s="18" t="s">
        <v>71</v>
      </c>
      <c r="C35" s="24" t="s">
        <v>72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206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24,4 +/- 0,1</v>
      </c>
    </row>
    <row r="3" spans="1:11">
      <c r="A3" s="3">
        <f>Report!A17</f>
        <v>207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24 +/- 0</v>
      </c>
    </row>
    <row r="4" spans="1:11">
      <c r="A4" s="3">
        <f>Report!A18</f>
        <v>208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24,1 +/- 0,1</v>
      </c>
    </row>
    <row r="5" spans="1:11">
      <c r="A5" s="3">
        <f>Report!A19</f>
        <v>209</v>
      </c>
      <c r="B5" s="3" t="str" cm="1">
        <f t="array" ref="B5">_xlfn.TEXTJOIN(", ", TRUE, IF(Analysis!$A$2:$A$82=A5, Analysis!$H$2:$H$82, ""))</f>
        <v>N, N, S, N</v>
      </c>
      <c r="C5" s="3" t="str" cm="1">
        <f t="array" ref="C5">_xlfn.TEXTJOIN(", ", TRUE, IF(Analysis!$A$2:$A$82=A5, Analysis!$I$2:$I$82, ""))</f>
        <v>negative, negative, RNA suspect,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>37,6</v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23,2 +/- 0,1</v>
      </c>
    </row>
    <row r="6" spans="1:11">
      <c r="A6" s="3">
        <f>Report!A20</f>
        <v>210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20,8 +/- 0</v>
      </c>
    </row>
    <row r="7" spans="1:11">
      <c r="A7" s="3">
        <f>Report!A21</f>
        <v>211</v>
      </c>
      <c r="B7" s="3" t="str" cm="1">
        <f t="array" ref="B7">_xlfn.TEXTJOIN(", ", TRUE, IF(Analysis!$A$2:$A$82=A7, Analysis!$H$2:$H$82, ""))</f>
        <v>N, N, P, P</v>
      </c>
      <c r="C7" s="3" t="str" cm="1">
        <f t="array" ref="C7">_xlfn.TEXTJOIN(", ", TRUE, IF(Analysis!$A$2:$A$82=A7, Analysis!$I$2:$I$82, ""))</f>
        <v>negative, negative, DNA case &amp; RNA suspect, DNA case &amp; RNA suspect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Retest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>31,4 +/- 0,1</v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>37,8 +/- 0,1</v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24,4 +/- 0,2</v>
      </c>
      <c r="K7" s="4"/>
    </row>
    <row r="8" spans="1:11">
      <c r="A8" s="3">
        <f>Report!A22</f>
        <v>212</v>
      </c>
      <c r="B8" s="3" t="str" cm="1">
        <f t="array" ref="B8">_xlfn.TEXTJOIN(", ", TRUE, IF(Analysis!$A$2:$A$82=A8, Analysis!$H$2:$H$82, ""))</f>
        <v>F, N, N, N</v>
      </c>
      <c r="C8" s="3" t="str" cm="1">
        <f t="array" ref="C8">_xlfn.TEXTJOIN(", ", TRUE, IF(Analysis!$A$2:$A$82=A8, Analysis!$I$2:$I$82, ""))</f>
        <v>extraction fail,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23,5 +/- 0</v>
      </c>
    </row>
    <row r="9" spans="1:11">
      <c r="A9" s="3">
        <f>Report!A23</f>
        <v>213</v>
      </c>
      <c r="B9" s="3" t="str" cm="1">
        <f t="array" ref="B9">_xlfn.TEXTJOIN(", ", TRUE, IF(Analysis!$A$2:$A$82=A9, Analysis!$H$2:$H$82, ""))</f>
        <v>P, P, P, P</v>
      </c>
      <c r="C9" s="3" t="str" cm="1">
        <f t="array" ref="C9">_xlfn.TEXTJOIN(", ", TRUE, IF(Analysis!$A$2:$A$82=A9, Analysis!$I$2:$I$82, ""))</f>
        <v>TNA case, TNA case, TNA case, TNA case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P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>26,2 +/- 0,1</v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>33,5 +/- 0,6</v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23,2 +/- 0</v>
      </c>
    </row>
    <row r="10" spans="1:11">
      <c r="A10" s="3">
        <f>Report!A24</f>
        <v>214</v>
      </c>
      <c r="B10" s="3" t="str" cm="1">
        <f t="array" ref="B10">_xlfn.TEXTJOIN(", ", TRUE, IF(Analysis!$A$2:$A$82=A10, Analysis!$H$2:$H$82, ""))</f>
        <v>P, P, P, P</v>
      </c>
      <c r="C10" s="3" t="str" cm="1">
        <f t="array" ref="C10">_xlfn.TEXTJOIN(", ", TRUE, IF(Analysis!$A$2:$A$82=A10, Analysis!$I$2:$I$82, ""))</f>
        <v>TNA case, TNA case, TNA case, TNA case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P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>23,6 +/- 0,1</v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>27,7 +/- 0,3</v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24,2 +/- 0</v>
      </c>
    </row>
    <row r="11" spans="1:11">
      <c r="A11" s="3">
        <f>Report!A25</f>
        <v>215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22,7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21,8 +/- 0,3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19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35,3 +/- 0,7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OK</v>
      </c>
      <c r="C13" s="3" t="str" cm="1">
        <f t="array" ref="C13">_xlfn.TEXTJOIN(", ", TRUE, IF(Analysis!$A$2:$A$82=A13, Analysis!$I$2:$I$82, ""))</f>
        <v>clean,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2025-10-10T09:39:47+00:00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235F6B-AD40-4267-9714-07191A6A5AFD}"/>
</file>

<file path=customXml/itemProps2.xml><?xml version="1.0" encoding="utf-8"?>
<ds:datastoreItem xmlns:ds="http://schemas.openxmlformats.org/officeDocument/2006/customXml" ds:itemID="{AB9A821D-C720-4CBC-8A51-71F1534F3FA1}"/>
</file>

<file path=customXml/itemProps3.xml><?xml version="1.0" encoding="utf-8"?>
<ds:datastoreItem xmlns:ds="http://schemas.openxmlformats.org/officeDocument/2006/customXml" ds:itemID="{2F3EBFCC-77C3-431C-9CE7-502D1FF9F2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2025-10-10T10:23:44Z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