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BF34B0D5-33A4-42B3-A540-3E4638C608B5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0" yWindow="0" windowWidth="14400" windowHeight="1560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<sst xmlns="http://schemas.openxmlformats.org/spreadsheetml/2006/main" count="433" uniqueCount="78">
  <si>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</si>
  <si>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</si>
  <si>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</si>
  <si>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</si>
  <si>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</si>
  <si>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</si>
  <si>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</si>
  <si>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</si>
  <si>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</si>
  <si>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</si>
  <si>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</si>
  <si>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</si>
  <si>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</si>
  <si>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</si>
  <si>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</si>
  <si>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</si>
  <si>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</si>
  <si>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</si>
  <si>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</si>
  <si>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</si>
  <si>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</si>
  <si>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</si>
  <si>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</si>
  <si>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</si>
  <si>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</si>
  <si>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</si>
  <si>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</si>
  <si>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</si>
  <si>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</si>
  <si>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</si>
  <si>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</si>
  <si>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</si>
  <si>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</si>
  <si>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</si>
  <si>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</si>
  <si>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</si>
  <si>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</si>
  <si>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</si>
  <si>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</si>
  <si>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</si>
  <si>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</si>
  <si>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</si>
  <si>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</si>
  <si>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Dieudo,Louis,Henriette</t>
  </si>
  <si>
    <t>Qrun file name</t>
  </si>
  <si>
    <t>2025-05-13 13.39.04 Run</t>
  </si>
  <si>
    <t>Qrun directory</t>
  </si>
  <si>
    <t>XLT qScript batch</t>
  </si>
  <si>
    <t>177T batch</t>
  </si>
  <si>
    <t>24/04/20205</t>
  </si>
  <si>
    <t>18S2 batch</t>
  </si>
  <si>
    <t>RNAseP batch</t>
  </si>
  <si>
    <t>water (CN)</t>
  </si>
  <si>
    <t>positive controle (CP)</t>
  </si>
  <si>
    <t>Code Barre</t>
  </si>
  <si>
    <t>Final</t>
  </si>
  <si>
    <t>Validation</t>
  </si>
  <si>
    <t>E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</si>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</sst>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14" fontId="0" fillId="5" borderId="2" xfId="0" applyNumberFormat="1" applyFill="1" applyBorder="1" applyAlignment="1" applyProtection="1">
      <alignment horizontal="center"/>
      <protection locked="0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topLeftCell="A19"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31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31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31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31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32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32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32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32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33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33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33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33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34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34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34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34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35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35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35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35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36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36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36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36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37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37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37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37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38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38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38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38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39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39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39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39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40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40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40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40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22.820829559754401</v>
      </c>
      <c r="D42" s="8">
        <v>0.89667420141066101</v>
      </c>
      <c r="E42" s="8">
        <v>0.99912999999999996</v>
      </c>
      <c r="F42" s="8"/>
    </row>
    <row r="43" spans="1:6">
      <c r="A43" s="8">
        <v>42</v>
      </c>
      <c r="B43" s="8" t="s">
        <v>7</v>
      </c>
      <c r="C43" s="8">
        <v>24.1275405145173</v>
      </c>
      <c r="D43" s="8">
        <v>0.82179162491060098</v>
      </c>
      <c r="E43" s="8">
        <v>0.99939999999999996</v>
      </c>
      <c r="F43" s="8"/>
    </row>
    <row r="44" spans="1:6">
      <c r="A44" s="8">
        <v>43</v>
      </c>
      <c r="B44" s="8" t="s">
        <v>7</v>
      </c>
      <c r="C44" s="8">
        <v>22.937525034817899</v>
      </c>
      <c r="D44" s="8">
        <v>0.80713666952279395</v>
      </c>
      <c r="E44" s="8">
        <v>0.99961999999999995</v>
      </c>
      <c r="F44" s="8"/>
    </row>
    <row r="45" spans="1:6">
      <c r="A45" s="8">
        <v>44</v>
      </c>
      <c r="B45" s="8" t="s">
        <v>7</v>
      </c>
      <c r="C45" s="8">
        <v>23.421745228412401</v>
      </c>
      <c r="D45" s="8">
        <v>0.84172792270896801</v>
      </c>
      <c r="E45" s="8">
        <v>0.99924999999999997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31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31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31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31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32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32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32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32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33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33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33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33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34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34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34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34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35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35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35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35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36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36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36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36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37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37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37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37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38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38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38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38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39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39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39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39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40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40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40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40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19.290050428798502</v>
      </c>
      <c r="D42" s="9">
        <v>0.84593328481184604</v>
      </c>
      <c r="E42" s="9">
        <v>0.99873000000000001</v>
      </c>
      <c r="F42" s="9"/>
    </row>
    <row r="43" spans="1:6">
      <c r="A43" s="9">
        <v>42</v>
      </c>
      <c r="B43" s="9" t="s">
        <v>7</v>
      </c>
      <c r="C43" s="9">
        <v>19.703053998082101</v>
      </c>
      <c r="D43" s="9">
        <v>0.86197041224596804</v>
      </c>
      <c r="E43" s="9">
        <v>0.99827999999999995</v>
      </c>
      <c r="F43" s="9"/>
    </row>
    <row r="44" spans="1:6">
      <c r="A44" s="9">
        <v>43</v>
      </c>
      <c r="B44" s="9" t="s">
        <v>7</v>
      </c>
      <c r="C44" s="9">
        <v>19.513888236224101</v>
      </c>
      <c r="D44" s="9">
        <v>0.86405268557478498</v>
      </c>
      <c r="E44" s="9">
        <v>0.99839</v>
      </c>
      <c r="F44" s="9"/>
    </row>
    <row r="45" spans="1:6">
      <c r="A45" s="9">
        <v>44</v>
      </c>
      <c r="B45" s="9" t="s">
        <v>7</v>
      </c>
      <c r="C45" s="9">
        <v>19.511691337806301</v>
      </c>
      <c r="D45" s="9">
        <v>0.87047873198042502</v>
      </c>
      <c r="E45" s="9">
        <v>0.99831999999999999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31</v>
      </c>
      <c r="C2" s="10">
        <v>22.3523076729937</v>
      </c>
      <c r="D2" s="10">
        <v>0.95513050759057505</v>
      </c>
      <c r="E2" s="10">
        <v>0.99958000000000002</v>
      </c>
      <c r="F2" s="10"/>
    </row>
    <row r="3" spans="1:6">
      <c r="A3" s="10">
        <v>2</v>
      </c>
      <c r="B3" s="10">
        <v>31</v>
      </c>
      <c r="C3" s="10">
        <v>22.4744488075169</v>
      </c>
      <c r="D3" s="10">
        <v>0.95908446209177201</v>
      </c>
      <c r="E3" s="10">
        <v>0.99956999999999996</v>
      </c>
      <c r="F3" s="10"/>
    </row>
    <row r="4" spans="1:6">
      <c r="A4" s="10">
        <v>3</v>
      </c>
      <c r="B4" s="10">
        <v>31</v>
      </c>
      <c r="C4" s="10">
        <v>22.509090841176</v>
      </c>
      <c r="D4" s="10">
        <v>0.95401662895593697</v>
      </c>
      <c r="E4" s="10">
        <v>0.99961</v>
      </c>
      <c r="F4" s="10"/>
    </row>
    <row r="5" spans="1:6">
      <c r="A5" s="10">
        <v>4</v>
      </c>
      <c r="B5" s="10">
        <v>31</v>
      </c>
      <c r="C5" s="10">
        <v>22.601362777111699</v>
      </c>
      <c r="D5" s="10">
        <v>0.95556957554715805</v>
      </c>
      <c r="E5" s="10">
        <v>0.99941999999999998</v>
      </c>
      <c r="F5" s="10"/>
    </row>
    <row r="6" spans="1:6">
      <c r="A6" s="10">
        <v>5</v>
      </c>
      <c r="B6" s="10">
        <v>32</v>
      </c>
      <c r="C6" s="10">
        <v>20.3106917305401</v>
      </c>
      <c r="D6" s="10">
        <v>0.96997437233939998</v>
      </c>
      <c r="E6" s="10">
        <v>0.99927999999999995</v>
      </c>
      <c r="F6" s="10"/>
    </row>
    <row r="7" spans="1:6">
      <c r="A7" s="10">
        <v>6</v>
      </c>
      <c r="B7" s="10">
        <v>32</v>
      </c>
      <c r="C7" s="10">
        <v>20.294673606599599</v>
      </c>
      <c r="D7" s="10">
        <v>1.01900282531959</v>
      </c>
      <c r="E7" s="10">
        <v>0.99895</v>
      </c>
      <c r="F7" s="10"/>
    </row>
    <row r="8" spans="1:6">
      <c r="A8" s="10">
        <v>7</v>
      </c>
      <c r="B8" s="10">
        <v>32</v>
      </c>
      <c r="C8" s="10">
        <v>20.3219675075479</v>
      </c>
      <c r="D8" s="10">
        <v>1.01930357666781</v>
      </c>
      <c r="E8" s="10">
        <v>0.99897000000000002</v>
      </c>
      <c r="F8" s="10"/>
    </row>
    <row r="9" spans="1:6">
      <c r="A9" s="10">
        <v>8</v>
      </c>
      <c r="B9" s="10">
        <v>32</v>
      </c>
      <c r="C9" s="10">
        <v>20.561814355965801</v>
      </c>
      <c r="D9" s="10">
        <v>1.0030448079616601</v>
      </c>
      <c r="E9" s="10">
        <v>0.99902999999999997</v>
      </c>
      <c r="F9" s="10"/>
    </row>
    <row r="10" spans="1:6">
      <c r="A10" s="10">
        <v>9</v>
      </c>
      <c r="B10" s="10">
        <v>33</v>
      </c>
      <c r="C10" s="10">
        <v>21.5613232857703</v>
      </c>
      <c r="D10" s="10">
        <v>0.93929486220790503</v>
      </c>
      <c r="E10" s="10">
        <v>0.99961</v>
      </c>
      <c r="F10" s="10"/>
    </row>
    <row r="11" spans="1:6">
      <c r="A11" s="10">
        <v>10</v>
      </c>
      <c r="B11" s="10">
        <v>33</v>
      </c>
      <c r="C11" s="10">
        <v>21.618309949585498</v>
      </c>
      <c r="D11" s="10">
        <v>0.93647981341097997</v>
      </c>
      <c r="E11" s="10">
        <v>0.99941999999999998</v>
      </c>
      <c r="F11" s="10"/>
    </row>
    <row r="12" spans="1:6">
      <c r="A12" s="10">
        <v>11</v>
      </c>
      <c r="B12" s="10">
        <v>33</v>
      </c>
      <c r="C12" s="10">
        <v>21.5501348890914</v>
      </c>
      <c r="D12" s="10">
        <v>0.91484184626157505</v>
      </c>
      <c r="E12" s="10">
        <v>0.99968000000000001</v>
      </c>
      <c r="F12" s="10"/>
    </row>
    <row r="13" spans="1:6">
      <c r="A13" s="10">
        <v>12</v>
      </c>
      <c r="B13" s="10">
        <v>33</v>
      </c>
      <c r="C13" s="10">
        <v>21.4523034596752</v>
      </c>
      <c r="D13" s="10">
        <v>0.94110379907971198</v>
      </c>
      <c r="E13" s="10">
        <v>0.99956999999999996</v>
      </c>
      <c r="F13" s="10"/>
    </row>
    <row r="14" spans="1:6">
      <c r="A14" s="10">
        <v>13</v>
      </c>
      <c r="B14" s="10">
        <v>34</v>
      </c>
      <c r="C14" s="10">
        <v>21.6407197852044</v>
      </c>
      <c r="D14" s="10">
        <v>0.93568705934475505</v>
      </c>
      <c r="E14" s="10">
        <v>0.99948000000000004</v>
      </c>
      <c r="F14" s="10"/>
    </row>
    <row r="15" spans="1:6">
      <c r="A15" s="10">
        <v>14</v>
      </c>
      <c r="B15" s="10">
        <v>34</v>
      </c>
      <c r="C15" s="10">
        <v>21.6335977899369</v>
      </c>
      <c r="D15" s="10">
        <v>0.91349299420709795</v>
      </c>
      <c r="E15" s="10">
        <v>0.99956</v>
      </c>
      <c r="F15" s="10"/>
    </row>
    <row r="16" spans="1:6">
      <c r="A16" s="10">
        <v>15</v>
      </c>
      <c r="B16" s="10">
        <v>34</v>
      </c>
      <c r="C16" s="10">
        <v>21.4775661724101</v>
      </c>
      <c r="D16" s="10">
        <v>0.95906474009721998</v>
      </c>
      <c r="E16" s="10">
        <v>0.99951000000000001</v>
      </c>
      <c r="F16" s="10"/>
    </row>
    <row r="17" spans="1:6">
      <c r="A17" s="10">
        <v>16</v>
      </c>
      <c r="B17" s="10">
        <v>34</v>
      </c>
      <c r="C17" s="10">
        <v>21.440456215838299</v>
      </c>
      <c r="D17" s="10">
        <v>0.984843469108452</v>
      </c>
      <c r="E17" s="10">
        <v>0.99941999999999998</v>
      </c>
      <c r="F17" s="10"/>
    </row>
    <row r="18" spans="1:6">
      <c r="A18" s="10">
        <v>17</v>
      </c>
      <c r="B18" s="10">
        <v>35</v>
      </c>
      <c r="C18" s="10">
        <v>20.0836315026508</v>
      </c>
      <c r="D18" s="10">
        <v>1.01982629374919</v>
      </c>
      <c r="E18" s="10">
        <v>0.99856</v>
      </c>
      <c r="F18" s="10"/>
    </row>
    <row r="19" spans="1:6">
      <c r="A19" s="10">
        <v>18</v>
      </c>
      <c r="B19" s="10">
        <v>35</v>
      </c>
      <c r="C19" s="10">
        <v>20.1885614786856</v>
      </c>
      <c r="D19" s="10">
        <v>1.0223219984518801</v>
      </c>
      <c r="E19" s="10">
        <v>0.99860000000000004</v>
      </c>
      <c r="F19" s="10"/>
    </row>
    <row r="20" spans="1:6">
      <c r="A20" s="10">
        <v>19</v>
      </c>
      <c r="B20" s="10">
        <v>35</v>
      </c>
      <c r="C20" s="10">
        <v>20.026117230330499</v>
      </c>
      <c r="D20" s="10">
        <v>0.94739764184785102</v>
      </c>
      <c r="E20" s="10">
        <v>0.99924999999999997</v>
      </c>
      <c r="F20" s="10"/>
    </row>
    <row r="21" spans="1:6">
      <c r="A21" s="10">
        <v>20</v>
      </c>
      <c r="B21" s="10">
        <v>35</v>
      </c>
      <c r="C21" s="10">
        <v>19.9625712595819</v>
      </c>
      <c r="D21" s="10">
        <v>0.94454732779558503</v>
      </c>
      <c r="E21" s="10">
        <v>0.99931000000000003</v>
      </c>
      <c r="F21" s="10"/>
    </row>
    <row r="22" spans="1:6">
      <c r="A22" s="10">
        <v>21</v>
      </c>
      <c r="B22" s="10">
        <v>36</v>
      </c>
      <c r="C22" s="10">
        <v>20.429494106766001</v>
      </c>
      <c r="D22" s="10">
        <v>0.97642003195333105</v>
      </c>
      <c r="E22" s="10">
        <v>0.99948000000000004</v>
      </c>
      <c r="F22" s="10"/>
    </row>
    <row r="23" spans="1:6">
      <c r="A23" s="10">
        <v>22</v>
      </c>
      <c r="B23" s="10">
        <v>36</v>
      </c>
      <c r="C23" s="10">
        <v>20.4088863127933</v>
      </c>
      <c r="D23" s="10">
        <v>0.943612492458895</v>
      </c>
      <c r="E23" s="10">
        <v>0.99956999999999996</v>
      </c>
      <c r="F23" s="10"/>
    </row>
    <row r="24" spans="1:6">
      <c r="A24" s="10">
        <v>23</v>
      </c>
      <c r="B24" s="10">
        <v>36</v>
      </c>
      <c r="C24" s="10">
        <v>20.456094830294798</v>
      </c>
      <c r="D24" s="10">
        <v>0.95738954075725102</v>
      </c>
      <c r="E24" s="10">
        <v>0.99951999999999996</v>
      </c>
      <c r="F24" s="10"/>
    </row>
    <row r="25" spans="1:6">
      <c r="A25" s="10">
        <v>24</v>
      </c>
      <c r="B25" s="10">
        <v>36</v>
      </c>
      <c r="C25" s="10">
        <v>20.4116628426946</v>
      </c>
      <c r="D25" s="10">
        <v>0.99329571714531695</v>
      </c>
      <c r="E25" s="10">
        <v>0.99941999999999998</v>
      </c>
      <c r="F25" s="10"/>
    </row>
    <row r="26" spans="1:6">
      <c r="A26" s="10">
        <v>25</v>
      </c>
      <c r="B26" s="10">
        <v>37</v>
      </c>
      <c r="C26" s="10">
        <v>24.627049132282799</v>
      </c>
      <c r="D26" s="10">
        <v>0.89899160517522803</v>
      </c>
      <c r="E26" s="10">
        <v>0.99978999999999996</v>
      </c>
      <c r="F26" s="10"/>
    </row>
    <row r="27" spans="1:6">
      <c r="A27" s="10">
        <v>26</v>
      </c>
      <c r="B27" s="10">
        <v>37</v>
      </c>
      <c r="C27" s="10">
        <v>24.614586350006501</v>
      </c>
      <c r="D27" s="10">
        <v>0.90190361435773703</v>
      </c>
      <c r="E27" s="10">
        <v>0.99985000000000002</v>
      </c>
      <c r="F27" s="10"/>
    </row>
    <row r="28" spans="1:6">
      <c r="A28" s="10">
        <v>27</v>
      </c>
      <c r="B28" s="10">
        <v>37</v>
      </c>
      <c r="C28" s="10">
        <v>24.8841440456914</v>
      </c>
      <c r="D28" s="10">
        <v>0.89097795456912099</v>
      </c>
      <c r="E28" s="10">
        <v>0.99955000000000005</v>
      </c>
      <c r="F28" s="10"/>
    </row>
    <row r="29" spans="1:6">
      <c r="A29" s="10">
        <v>28</v>
      </c>
      <c r="B29" s="10">
        <v>37</v>
      </c>
      <c r="C29" s="10">
        <v>24.6955463265096</v>
      </c>
      <c r="D29" s="10">
        <v>0.88591704849916098</v>
      </c>
      <c r="E29" s="10">
        <v>0.99973999999999996</v>
      </c>
      <c r="F29" s="10"/>
    </row>
    <row r="30" spans="1:6">
      <c r="A30" s="10">
        <v>29</v>
      </c>
      <c r="B30" s="10">
        <v>38</v>
      </c>
      <c r="C30" s="10">
        <v>22.0456235941644</v>
      </c>
      <c r="D30" s="10">
        <v>1.0041352383294599</v>
      </c>
      <c r="E30" s="10">
        <v>0.99870999999999999</v>
      </c>
      <c r="F30" s="10"/>
    </row>
    <row r="31" spans="1:6">
      <c r="A31" s="10">
        <v>30</v>
      </c>
      <c r="B31" s="10">
        <v>38</v>
      </c>
      <c r="C31" s="10">
        <v>22.093798952742599</v>
      </c>
      <c r="D31" s="10">
        <v>0.98492562298714303</v>
      </c>
      <c r="E31" s="10">
        <v>0.99887000000000004</v>
      </c>
      <c r="F31" s="10"/>
    </row>
    <row r="32" spans="1:6">
      <c r="A32" s="10">
        <v>31</v>
      </c>
      <c r="B32" s="10">
        <v>38</v>
      </c>
      <c r="C32" s="10">
        <v>21.867921186454801</v>
      </c>
      <c r="D32" s="10">
        <v>0.93189950814932299</v>
      </c>
      <c r="E32" s="10">
        <v>0.99929000000000001</v>
      </c>
      <c r="F32" s="10"/>
    </row>
    <row r="33" spans="1:6">
      <c r="A33" s="10">
        <v>32</v>
      </c>
      <c r="B33" s="10">
        <v>38</v>
      </c>
      <c r="C33" s="10">
        <v>22.001865210523601</v>
      </c>
      <c r="D33" s="10">
        <v>0.93799606103161703</v>
      </c>
      <c r="E33" s="10">
        <v>0.99931999999999999</v>
      </c>
      <c r="F33" s="10"/>
    </row>
    <row r="34" spans="1:6">
      <c r="A34" s="10">
        <v>33</v>
      </c>
      <c r="B34" s="10">
        <v>39</v>
      </c>
      <c r="C34" s="10">
        <v>23.615193082822199</v>
      </c>
      <c r="D34" s="10">
        <v>0.90884908475272197</v>
      </c>
      <c r="E34" s="10">
        <v>0.99975000000000003</v>
      </c>
      <c r="F34" s="10"/>
    </row>
    <row r="35" spans="1:6">
      <c r="A35" s="10">
        <v>34</v>
      </c>
      <c r="B35" s="10">
        <v>39</v>
      </c>
      <c r="C35" s="10">
        <v>23.637649554322898</v>
      </c>
      <c r="D35" s="10">
        <v>0.89906878879322905</v>
      </c>
      <c r="E35" s="10">
        <v>0.99977000000000005</v>
      </c>
      <c r="F35" s="10"/>
    </row>
    <row r="36" spans="1:6">
      <c r="A36" s="10">
        <v>35</v>
      </c>
      <c r="B36" s="10">
        <v>39</v>
      </c>
      <c r="C36" s="10">
        <v>23.540832746527599</v>
      </c>
      <c r="D36" s="10">
        <v>0.92471558043080404</v>
      </c>
      <c r="E36" s="10">
        <v>0.99965999999999999</v>
      </c>
      <c r="F36" s="10"/>
    </row>
    <row r="37" spans="1:6">
      <c r="A37" s="10">
        <v>36</v>
      </c>
      <c r="B37" s="10">
        <v>39</v>
      </c>
      <c r="C37" s="10">
        <v>23.5940175208613</v>
      </c>
      <c r="D37" s="10">
        <v>0.942878835104624</v>
      </c>
      <c r="E37" s="10">
        <v>0.99941999999999998</v>
      </c>
      <c r="F37" s="10"/>
    </row>
    <row r="38" spans="1:6">
      <c r="A38" s="10">
        <v>37</v>
      </c>
      <c r="B38" s="10">
        <v>40</v>
      </c>
      <c r="C38" s="10">
        <v>22.404187842811002</v>
      </c>
      <c r="D38" s="10">
        <v>0.95445587186250203</v>
      </c>
      <c r="E38" s="10">
        <v>0.99960000000000004</v>
      </c>
      <c r="F38" s="10"/>
    </row>
    <row r="39" spans="1:6">
      <c r="A39" s="10">
        <v>38</v>
      </c>
      <c r="B39" s="10">
        <v>40</v>
      </c>
      <c r="C39" s="10">
        <v>22.606330315276502</v>
      </c>
      <c r="D39" s="10">
        <v>0.96138554551186794</v>
      </c>
      <c r="E39" s="10">
        <v>0.99931999999999999</v>
      </c>
      <c r="F39" s="10"/>
    </row>
    <row r="40" spans="1:6">
      <c r="A40" s="10">
        <v>39</v>
      </c>
      <c r="B40" s="10">
        <v>40</v>
      </c>
      <c r="C40" s="10">
        <v>22.4476306247136</v>
      </c>
      <c r="D40" s="10">
        <v>0.95113334761729096</v>
      </c>
      <c r="E40" s="10">
        <v>0.99961</v>
      </c>
      <c r="F40" s="10"/>
    </row>
    <row r="41" spans="1:6">
      <c r="A41" s="10">
        <v>40</v>
      </c>
      <c r="B41" s="10">
        <v>40</v>
      </c>
      <c r="C41" s="10">
        <v>22.362393733017001</v>
      </c>
      <c r="D41" s="10">
        <v>0.97497820729665796</v>
      </c>
      <c r="E41" s="10">
        <v>0.99950000000000006</v>
      </c>
      <c r="F41" s="10"/>
    </row>
    <row r="42" spans="1:6">
      <c r="A42" s="10">
        <v>41</v>
      </c>
      <c r="B42" s="10" t="s">
        <v>7</v>
      </c>
      <c r="C42" s="10">
        <v>33.740550116179499</v>
      </c>
      <c r="D42" s="10">
        <v>0.58948193294812201</v>
      </c>
      <c r="E42" s="10">
        <v>0.99892000000000003</v>
      </c>
      <c r="F42" s="10"/>
    </row>
    <row r="43" spans="1:6">
      <c r="A43" s="10">
        <v>42</v>
      </c>
      <c r="B43" s="10" t="s">
        <v>7</v>
      </c>
      <c r="C43" s="10">
        <v>34.631479150508397</v>
      </c>
      <c r="D43" s="10">
        <v>0.57387492328202705</v>
      </c>
      <c r="E43" s="10">
        <v>0.99838000000000005</v>
      </c>
      <c r="F43" s="10"/>
    </row>
    <row r="44" spans="1:6">
      <c r="A44" s="10">
        <v>43</v>
      </c>
      <c r="B44" s="10" t="s">
        <v>7</v>
      </c>
      <c r="C44" s="10">
        <v>34.807446288481799</v>
      </c>
      <c r="D44" s="10">
        <v>0.51976289101093398</v>
      </c>
      <c r="E44" s="10">
        <v>0.99892000000000003</v>
      </c>
      <c r="F44" s="10"/>
    </row>
    <row r="45" spans="1:6">
      <c r="A45" s="10">
        <v>44</v>
      </c>
      <c r="B45" s="10" t="s">
        <v>7</v>
      </c>
      <c r="C45" s="10">
        <v>34.029101186152197</v>
      </c>
      <c r="D45" s="10">
        <v>0.60671714268286103</v>
      </c>
      <c r="E45" s="10">
        <v>0.99890999999999996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37.275290634862301</v>
      </c>
      <c r="D49" s="10">
        <v>0.31926377162067199</v>
      </c>
      <c r="E49" s="10">
        <v>0.94599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31</v>
      </c>
      <c r="B2">
        <f>IF('177T'!C2="", "", '177T'!C2)</f>
        <v>-1</v>
      </c>
      <c r="C2">
        <f>IF('18S2'!C2="", "", '18S2'!C2)</f>
        <v>-1</v>
      </c>
      <c r="D2">
        <f>IF(RNAseP!C2="", "", RNAseP!C2)</f>
        <v>22.3523076729937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31</v>
      </c>
      <c r="B3">
        <f>IF('177T'!C3="", "", '177T'!C3)</f>
        <v>-1</v>
      </c>
      <c r="C3">
        <f>IF('18S2'!C3="", "", '18S2'!C3)</f>
        <v>-1</v>
      </c>
      <c r="D3">
        <f>IF(RNAseP!C3="", "", RNAseP!C3)</f>
        <v>22.4744488075169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31</v>
      </c>
      <c r="B4">
        <f>IF('177T'!C4="", "", '177T'!C4)</f>
        <v>-1</v>
      </c>
      <c r="C4">
        <f>IF('18S2'!C4="", "", '18S2'!C4)</f>
        <v>-1</v>
      </c>
      <c r="D4">
        <f>IF(RNAseP!C4="", "", RNAseP!C4)</f>
        <v>22.509090841176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31</v>
      </c>
      <c r="B5">
        <f>IF('177T'!C5="", "", '177T'!C5)</f>
        <v>-1</v>
      </c>
      <c r="C5">
        <f>IF('18S2'!C5="", "", '18S2'!C5)</f>
        <v>-1</v>
      </c>
      <c r="D5">
        <f>IF(RNAseP!C5="", "", RNAseP!C5)</f>
        <v>22.601362777111699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32</v>
      </c>
      <c r="B6">
        <f>IF('177T'!C6="", "", '177T'!C6)</f>
        <v>-1</v>
      </c>
      <c r="C6">
        <f>IF('18S2'!C6="", "", '18S2'!C6)</f>
        <v>-1</v>
      </c>
      <c r="D6">
        <f>IF(RNAseP!C6="", "", RNAseP!C6)</f>
        <v>20.3106917305401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32</v>
      </c>
      <c r="B7">
        <f>IF('177T'!C7="", "", '177T'!C7)</f>
        <v>-1</v>
      </c>
      <c r="C7">
        <f>IF('18S2'!C7="", "", '18S2'!C7)</f>
        <v>-1</v>
      </c>
      <c r="D7">
        <f>IF(RNAseP!C7="", "", RNAseP!C7)</f>
        <v>20.294673606599599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32</v>
      </c>
      <c r="B8">
        <f>IF('177T'!C8="", "", '177T'!C8)</f>
        <v>-1</v>
      </c>
      <c r="C8">
        <f>IF('18S2'!C8="", "", '18S2'!C8)</f>
        <v>-1</v>
      </c>
      <c r="D8">
        <f>IF(RNAseP!C8="", "", RNAseP!C8)</f>
        <v>20.3219675075479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32</v>
      </c>
      <c r="B9">
        <f>IF('177T'!C9="", "", '177T'!C9)</f>
        <v>-1</v>
      </c>
      <c r="C9">
        <f>IF('18S2'!C9="", "", '18S2'!C9)</f>
        <v>-1</v>
      </c>
      <c r="D9">
        <f>IF(RNAseP!C9="", "", RNAseP!C9)</f>
        <v>20.561814355965801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33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21.5613232857703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33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21.618309949585498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33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21.5501348890914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33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21.4523034596752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34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21.6407197852044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34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21.6335977899369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34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21.4775661724101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34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21.440456215838299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35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20.0836315026508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35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20.1885614786856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35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20.026117230330499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35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19.9625712595819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36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20.429494106766001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36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20.4088863127933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36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20.456094830294798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36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20.4116628426946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37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24.627049132282799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37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24.614586350006501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37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24.8841440456914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37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24.6955463265096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38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22.0456235941644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38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22.093798952742599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38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21.867921186454801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38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22.001865210523601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39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23.615193082822199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39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23.637649554322898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39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23.540832746527599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39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23.5940175208613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40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22.404187842811002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40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22.606330315276502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40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22.4476306247136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40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22.362393733017001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22.820829559754401</v>
      </c>
      <c r="C42">
        <f>IF('18S2'!C42="", "", '18S2'!C42)</f>
        <v>19.290050428798502</v>
      </c>
      <c r="D42">
        <f>IF(RNAseP!C42="", "", RNAseP!C42)</f>
        <v>33.740550116179499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24.1275405145173</v>
      </c>
      <c r="C43">
        <f>IF('18S2'!C43="", "", '18S2'!C43)</f>
        <v>19.703053998082101</v>
      </c>
      <c r="D43">
        <f>IF(RNAseP!C43="", "", RNAseP!C43)</f>
        <v>34.631479150508397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22.937525034817899</v>
      </c>
      <c r="C44">
        <f>IF('18S2'!C44="", "", '18S2'!C44)</f>
        <v>19.513888236224101</v>
      </c>
      <c r="D44">
        <f>IF(RNAseP!C44="", "", RNAseP!C44)</f>
        <v>34.807446288481799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23.421745228412401</v>
      </c>
      <c r="C45">
        <f>IF('18S2'!C45="", "", '18S2'!C45)</f>
        <v>19.511691337806301</v>
      </c>
      <c r="D45">
        <f>IF(RNAseP!C45="", "", RNAseP!C45)</f>
        <v>34.029101186152197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37.275290634862301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6" sqref="C6:F6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8" width="13.42578125" style="12" customWidth="1"/>
    <col min="9" max="16384" width="9.140625" style="12"/>
  </cols>
  <sheetData>
    <row r="1" spans="1:8" ht="18.75">
      <c r="A1" s="25" t="s">
        <v>40</v>
      </c>
      <c r="B1" s="25"/>
    </row>
    <row r="3" spans="1:8">
      <c r="A3" s="26" t="s">
        <v>41</v>
      </c>
      <c r="B3" s="27"/>
      <c r="C3" s="31">
        <v>45790</v>
      </c>
      <c r="D3" s="29"/>
      <c r="E3" s="29"/>
      <c r="F3" s="30"/>
    </row>
    <row r="4" spans="1:8">
      <c r="A4" s="26" t="s">
        <v>42</v>
      </c>
      <c r="B4" s="27"/>
      <c r="C4" s="28" t="s">
        <v>43</v>
      </c>
      <c r="D4" s="29"/>
      <c r="E4" s="29"/>
      <c r="F4" s="30"/>
    </row>
    <row r="5" spans="1:8">
      <c r="A5" s="26" t="s">
        <v>44</v>
      </c>
      <c r="B5" s="27"/>
      <c r="C5" s="28" t="s">
        <v>45</v>
      </c>
      <c r="D5" s="29"/>
      <c r="E5" s="29"/>
      <c r="F5" s="30"/>
    </row>
    <row r="6" spans="1:8">
      <c r="A6" s="26" t="s">
        <v>46</v>
      </c>
      <c r="B6" s="27"/>
      <c r="C6" s="28">
        <v>301</v>
      </c>
      <c r="D6" s="29"/>
      <c r="E6" s="29"/>
      <c r="F6" s="30"/>
    </row>
    <row r="7" spans="1:8">
      <c r="A7" s="26" t="s">
        <v>47</v>
      </c>
      <c r="B7" s="27"/>
      <c r="C7" s="28">
        <v>66262118</v>
      </c>
      <c r="D7" s="29"/>
      <c r="E7" s="29"/>
      <c r="F7" s="30"/>
    </row>
    <row r="8" spans="1:8">
      <c r="A8" s="26" t="s">
        <v>48</v>
      </c>
      <c r="B8" s="27"/>
      <c r="C8" s="31" t="s">
        <v>49</v>
      </c>
      <c r="D8" s="29"/>
      <c r="E8" s="29"/>
      <c r="F8" s="30"/>
    </row>
    <row r="9" spans="1:8">
      <c r="A9" s="26" t="s">
        <v>50</v>
      </c>
      <c r="B9" s="27"/>
      <c r="C9" s="31">
        <v>45771</v>
      </c>
      <c r="D9" s="29"/>
      <c r="E9" s="29"/>
      <c r="F9" s="30"/>
    </row>
    <row r="10" spans="1:8">
      <c r="A10" s="26" t="s">
        <v>51</v>
      </c>
      <c r="B10" s="27"/>
      <c r="C10" s="31">
        <v>45771</v>
      </c>
      <c r="D10" s="29"/>
      <c r="E10" s="29"/>
      <c r="F10" s="30"/>
    </row>
    <row r="11" spans="1:8">
      <c r="A11" s="26" t="s">
        <v>52</v>
      </c>
      <c r="B11" s="27"/>
      <c r="C11" s="28">
        <v>2311257</v>
      </c>
      <c r="D11" s="29"/>
      <c r="E11" s="29"/>
      <c r="F11" s="30"/>
    </row>
    <row r="12" spans="1:8">
      <c r="A12" s="26" t="s">
        <v>53</v>
      </c>
      <c r="B12" s="27"/>
      <c r="C12" s="28">
        <v>45771</v>
      </c>
      <c r="D12" s="29"/>
      <c r="E12" s="29"/>
      <c r="F12" s="30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54</v>
      </c>
      <c r="C15" s="13" t="s">
        <v>55</v>
      </c>
      <c r="D15" s="14" t="s">
        <v>9</v>
      </c>
      <c r="E15" s="15" t="s">
        <v>10</v>
      </c>
      <c r="F15" s="16" t="s">
        <v>11</v>
      </c>
      <c r="G15" s="12" t="s">
        <v>56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31</v>
      </c>
      <c r="B16" s="11">
        <v>2402800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22,5 +/- 0,1</v>
      </c>
      <c r="G16" s="12" t="s">
        <v>57</v>
      </c>
    </row>
    <row r="17" spans="1:12">
      <c r="A17" s="21" cm="1">
        <f t="array" ref="A17">IF(INDEX(Analysis!A:A,MATCH(0,COUNTIF($A$14:A16,Analysis!A:A),0))="","",INDEX(Analysis!A:A,MATCH(0,COUNTIF($A$14:A16,Analysis!A:A),0)))</f>
        <v>32</v>
      </c>
      <c r="B17" s="11">
        <v>2402825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20,4 +/- 0,1</v>
      </c>
      <c r="G17" s="12" t="s">
        <v>57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33</v>
      </c>
      <c r="B18" s="11">
        <v>2401082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21,5 +/- 0,1</v>
      </c>
      <c r="G18" s="12" t="s">
        <v>57</v>
      </c>
    </row>
    <row r="19" spans="1:12">
      <c r="A19" s="21" cm="1">
        <f t="array" ref="A19">IF(INDEX(Analysis!A:A,MATCH(0,COUNTIF($A$14:A18,Analysis!A:A),0))="","",INDEX(Analysis!A:A,MATCH(0,COUNTIF($A$14:A18,Analysis!A:A),0)))</f>
        <v>34</v>
      </c>
      <c r="B19" s="11">
        <v>2402834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21,5 +/- 0,1</v>
      </c>
      <c r="G19" s="12" t="s">
        <v>57</v>
      </c>
    </row>
    <row r="20" spans="1:12">
      <c r="A20" s="21" cm="1">
        <f t="array" ref="A20">IF(INDEX(Analysis!A:A,MATCH(0,COUNTIF($A$14:A19,Analysis!A:A),0))="","",INDEX(Analysis!A:A,MATCH(0,COUNTIF($A$14:A19,Analysis!A:A),0)))</f>
        <v>35</v>
      </c>
      <c r="B20" s="11">
        <v>2402776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20,1 +/- 0,1</v>
      </c>
      <c r="G20" s="12" t="s">
        <v>57</v>
      </c>
    </row>
    <row r="21" spans="1:12">
      <c r="A21" s="21" cm="1">
        <f t="array" ref="A21">IF(INDEX(Analysis!A:A,MATCH(0,COUNTIF($A$14:A20,Analysis!A:A),0))="","",INDEX(Analysis!A:A,MATCH(0,COUNTIF($A$14:A20,Analysis!A:A),0)))</f>
        <v>36</v>
      </c>
      <c r="B21" s="11">
        <v>2500019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20,4 +/- 0</v>
      </c>
      <c r="G21" s="12" t="s">
        <v>57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37</v>
      </c>
      <c r="B22" s="11">
        <v>2402586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24,7 +/- 0,1</v>
      </c>
      <c r="G22" s="12" t="s">
        <v>57</v>
      </c>
    </row>
    <row r="23" spans="1:12">
      <c r="A23" s="21" cm="1">
        <f t="array" ref="A23">IF(INDEX(Analysis!A:A,MATCH(0,COUNTIF($A$14:A22,Analysis!A:A),0))="","",INDEX(Analysis!A:A,MATCH(0,COUNTIF($A$14:A22,Analysis!A:A),0)))</f>
        <v>38</v>
      </c>
      <c r="B23" s="11">
        <v>2402831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 +/- 0,1</v>
      </c>
      <c r="G23" s="12" t="s">
        <v>57</v>
      </c>
    </row>
    <row r="24" spans="1:12">
      <c r="A24" s="21" cm="1">
        <f t="array" ref="A24">IF(INDEX(Analysis!A:A,MATCH(0,COUNTIF($A$14:A23,Analysis!A:A),0))="","",INDEX(Analysis!A:A,MATCH(0,COUNTIF($A$14:A23,Analysis!A:A),0)))</f>
        <v>39</v>
      </c>
      <c r="B24" s="11">
        <v>2400780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23,6 +/- 0</v>
      </c>
      <c r="G24" s="12" t="s">
        <v>57</v>
      </c>
    </row>
    <row r="25" spans="1:12">
      <c r="A25" s="21" cm="1">
        <f t="array" ref="A25">IF(INDEX(Analysis!A:A,MATCH(0,COUNTIF($A$14:A24,Analysis!A:A),0))="","",INDEX(Analysis!A:A,MATCH(0,COUNTIF($A$14:A24,Analysis!A:A),0)))</f>
        <v>40</v>
      </c>
      <c r="B25" s="11">
        <v>2400818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22,5 +/- 0,1</v>
      </c>
      <c r="G25" s="12" t="s">
        <v>57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23,3 +/- 0,6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19,5 +/- 0,2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34,3 +/- 0,5</v>
      </c>
      <c r="G26" s="12" t="s">
        <v>58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37,3</v>
      </c>
      <c r="G27" s="12" t="s">
        <v>58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59</v>
      </c>
      <c r="B29" s="13" t="s">
        <v>60</v>
      </c>
      <c r="C29" s="24" t="s">
        <v>61</v>
      </c>
      <c r="D29" s="24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62</v>
      </c>
      <c r="B30" s="18" t="s">
        <v>63</v>
      </c>
      <c r="C30" s="23" t="s">
        <v>64</v>
      </c>
      <c r="D30" s="23"/>
      <c r="E30" s="20"/>
    </row>
    <row r="31" spans="1:12">
      <c r="A31" s="18" t="s">
        <v>20</v>
      </c>
      <c r="B31" s="18" t="s">
        <v>21</v>
      </c>
      <c r="C31" s="23" t="s">
        <v>65</v>
      </c>
      <c r="D31" s="23"/>
      <c r="E31" s="20"/>
    </row>
    <row r="32" spans="1:12">
      <c r="A32" s="18" t="s">
        <v>22</v>
      </c>
      <c r="B32" s="18" t="s">
        <v>66</v>
      </c>
      <c r="C32" s="23" t="s">
        <v>67</v>
      </c>
      <c r="D32" s="23"/>
      <c r="E32" s="20"/>
    </row>
    <row r="33" spans="1:5">
      <c r="A33" s="18" t="s">
        <v>68</v>
      </c>
      <c r="B33" s="18" t="s">
        <v>69</v>
      </c>
      <c r="C33" s="23" t="s">
        <v>70</v>
      </c>
      <c r="D33" s="23"/>
      <c r="E33" s="20"/>
    </row>
    <row r="34" spans="1:5">
      <c r="A34" s="18" t="s">
        <v>17</v>
      </c>
      <c r="B34" s="18" t="s">
        <v>71</v>
      </c>
      <c r="C34" s="23" t="s">
        <v>72</v>
      </c>
      <c r="D34" s="23"/>
      <c r="E34" s="20"/>
    </row>
    <row r="35" spans="1:5">
      <c r="A35" s="18" t="s">
        <v>73</v>
      </c>
      <c r="B35" s="18" t="s">
        <v>74</v>
      </c>
      <c r="C35" s="23" t="s">
        <v>75</v>
      </c>
      <c r="D35" s="23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xx3HKKQrf4B9cH2Ra6zXVUow0sVQhypJI+d9IpWgF/hqWXFEAsmDn2ciCbbk9fxjUtNeluPpb3ohAun1VsyH7g==" saltValue="xIn8O/Ir3EUYjvA6rAHc6Q==" spinCount="100000" sheet="1" insertRows="0"/>
  <mergeCells count="28">
    <mergeCell ref="A12:B12"/>
    <mergeCell ref="C10:F10"/>
    <mergeCell ref="C11:F11"/>
    <mergeCell ref="C12:F12"/>
    <mergeCell ref="A7:B7"/>
    <mergeCell ref="A8:B8"/>
    <mergeCell ref="A9:B9"/>
    <mergeCell ref="C7:F7"/>
    <mergeCell ref="C8:F8"/>
    <mergeCell ref="C9:F9"/>
    <mergeCell ref="A1:B1"/>
    <mergeCell ref="A6:B6"/>
    <mergeCell ref="C6:F6"/>
    <mergeCell ref="A10:B10"/>
    <mergeCell ref="A11:B11"/>
    <mergeCell ref="C5:F5"/>
    <mergeCell ref="C4:F4"/>
    <mergeCell ref="C3:F3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8" priority="4" operator="equal">
      <formula>"OK"</formula>
    </cfRule>
    <cfRule type="cellIs" dxfId="7" priority="5" operator="equal">
      <formula>"N"</formula>
    </cfRule>
    <cfRule type="cellIs" dxfId="6" priority="6" operator="equal">
      <formula>"C"</formula>
    </cfRule>
  </conditionalFormatting>
  <conditionalFormatting sqref="C16:C25">
    <cfRule type="cellIs" dxfId="5" priority="1" operator="equal">
      <formula>"R"</formula>
    </cfRule>
    <cfRule type="cellIs" dxfId="4" priority="3" operator="equal">
      <formula>"P"</formula>
    </cfRule>
  </conditionalFormatting>
  <conditionalFormatting sqref="C16:C27">
    <cfRule type="cellIs" dxfId="3" priority="2" operator="equal">
      <formula>"S"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76</v>
      </c>
      <c r="C1" s="2" t="s">
        <v>77</v>
      </c>
      <c r="D1" s="2" t="s">
        <v>55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31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22,5 +/- 0,1</v>
      </c>
    </row>
    <row r="3" spans="1:11">
      <c r="A3" s="3">
        <f>Report!A17</f>
        <v>32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20,4 +/- 0,1</v>
      </c>
    </row>
    <row r="4" spans="1:11">
      <c r="A4" s="3">
        <f>Report!A18</f>
        <v>33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21,5 +/- 0,1</v>
      </c>
    </row>
    <row r="5" spans="1:11">
      <c r="A5" s="3">
        <f>Report!A19</f>
        <v>34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21,5 +/- 0,1</v>
      </c>
    </row>
    <row r="6" spans="1:11">
      <c r="A6" s="3">
        <f>Report!A20</f>
        <v>35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20,1 +/- 0,1</v>
      </c>
    </row>
    <row r="7" spans="1:11">
      <c r="A7" s="3">
        <f>Report!A21</f>
        <v>36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20,4 +/- 0</v>
      </c>
      <c r="K7" s="4"/>
    </row>
    <row r="8" spans="1:11">
      <c r="A8" s="3">
        <f>Report!A22</f>
        <v>37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24,7 +/- 0,1</v>
      </c>
    </row>
    <row r="9" spans="1:11">
      <c r="A9" s="3">
        <f>Report!A23</f>
        <v>38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 +/- 0,1</v>
      </c>
    </row>
    <row r="10" spans="1:11">
      <c r="A10" s="3">
        <f>Report!A24</f>
        <v>39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23,6 +/- 0</v>
      </c>
    </row>
    <row r="11" spans="1:11">
      <c r="A11" s="3">
        <f>Report!A25</f>
        <v>40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22,5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23,3 +/- 0,6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19,5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34,3 +/- 0,5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F</v>
      </c>
      <c r="C13" s="3" t="str" cm="1">
        <f t="array" ref="C13">_xlfn.TEXTJOIN(", ", TRUE, IF(Analysis!$A$2:$A$82=A13, Analysis!$I$2:$I$82, ""))</f>
        <v>clean, clean, clean,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37,3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2025-05-19T11:55:12+00:00</Uploaded>
  </documentManagement>
</p:properties>
</file>

<file path=customXml/itemProps1.xml><?xml version="1.0" encoding="utf-8"?>
<ds:datastoreItem xmlns:ds="http://schemas.openxmlformats.org/officeDocument/2006/customXml" ds:itemID="{B61F3812-C454-47BB-A582-8EA6356DEB6D}"/>
</file>

<file path=customXml/itemProps2.xml><?xml version="1.0" encoding="utf-8"?>
<ds:datastoreItem xmlns:ds="http://schemas.openxmlformats.org/officeDocument/2006/customXml" ds:itemID="{4C7E66B3-DBD3-4A0F-9572-9E774FCD7813}"/>
</file>

<file path=customXml/itemProps3.xml><?xml version="1.0" encoding="utf-8"?>
<ds:datastoreItem xmlns:ds="http://schemas.openxmlformats.org/officeDocument/2006/customXml" ds:itemID="{61C94C54-2FBF-41B2-A3A4-31A4A2B8A9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2025-07-18T09:43:59Z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