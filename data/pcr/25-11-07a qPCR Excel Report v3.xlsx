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27E3DE07-736E-4564-83D2-31D76FC05D5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72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<sst xmlns="http://schemas.openxmlformats.org/spreadsheetml/2006/main" count="422" uniqueCount="76">
  <si>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</si>
  <si>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</si>
  <si>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</si>
  <si>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</si>
  <si>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</si>
  <si>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</si>
  <si>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</si>
  <si>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</si>
  <si>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</si>
  <si>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</si>
  <si>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</si>
  <si>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</si>
  <si>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</si>
  <si>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</si>
  <si>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</si>
  <si>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</si>
  <si>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</si>
  <si>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</si>
  <si>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</si>
  <si>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</si>
  <si>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</si>
  <si>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</si>
  <si>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</si>
  <si>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</si>
  <si>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</si>
  <si>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</si>
  <si>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</si>
  <si>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</si>
  <si>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</si>
  <si>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</si>
  <si>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</si>
  <si>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</si>
  <si>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</si>
  <si>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</si>
  <si>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</si>
  <si>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</si>
  <si>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</si>
  <si>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</si>
  <si>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</si>
  <si>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</si>
  <si>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</si>
  <si>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</si>
  <si>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</si>
  <si>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</si>
  <si>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</si>
  <si>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2025-11-07 09.54.46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</si>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</sst>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413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413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413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413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414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414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414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414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415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415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415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415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416</v>
      </c>
      <c r="C14" s="8">
        <v>28.4501107386406</v>
      </c>
      <c r="D14" s="8">
        <v>0.72272328682769704</v>
      </c>
      <c r="E14" s="8">
        <v>0.99933000000000005</v>
      </c>
      <c r="F14" s="8"/>
    </row>
    <row r="15" spans="1:6">
      <c r="A15" s="8">
        <v>14</v>
      </c>
      <c r="B15" s="8">
        <v>416</v>
      </c>
      <c r="C15" s="8">
        <v>28.513421069399499</v>
      </c>
      <c r="D15" s="8">
        <v>0.70830209989209203</v>
      </c>
      <c r="E15" s="8">
        <v>0.99990999999999997</v>
      </c>
      <c r="F15" s="8"/>
    </row>
    <row r="16" spans="1:6">
      <c r="A16" s="8">
        <v>15</v>
      </c>
      <c r="B16" s="8">
        <v>416</v>
      </c>
      <c r="C16" s="8">
        <v>28.589308428433799</v>
      </c>
      <c r="D16" s="8">
        <v>0.84187273777709104</v>
      </c>
      <c r="E16" s="8">
        <v>0.99983</v>
      </c>
      <c r="F16" s="8"/>
    </row>
    <row r="17" spans="1:6">
      <c r="A17" s="8">
        <v>16</v>
      </c>
      <c r="B17" s="8">
        <v>416</v>
      </c>
      <c r="C17" s="8">
        <v>28.549038127055301</v>
      </c>
      <c r="D17" s="8">
        <v>0.70096641060348497</v>
      </c>
      <c r="E17" s="8">
        <v>0.99894000000000005</v>
      </c>
      <c r="F17" s="8"/>
    </row>
    <row r="18" spans="1:6">
      <c r="A18" s="8">
        <v>17</v>
      </c>
      <c r="B18" s="8">
        <v>417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417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417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417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418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418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418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418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419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419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419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419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420</v>
      </c>
      <c r="C30" s="8">
        <v>34.341166210944998</v>
      </c>
      <c r="D30" s="8">
        <v>0.381690611251782</v>
      </c>
      <c r="E30" s="8">
        <v>0.99750000000000005</v>
      </c>
      <c r="F30" s="8"/>
    </row>
    <row r="31" spans="1:6">
      <c r="A31" s="8">
        <v>30</v>
      </c>
      <c r="B31" s="8">
        <v>420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420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420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421</v>
      </c>
      <c r="C34" s="8">
        <v>34.309504389063598</v>
      </c>
      <c r="D34" s="8">
        <v>0.439434997102227</v>
      </c>
      <c r="E34" s="8">
        <v>0.99812999999999996</v>
      </c>
      <c r="F34" s="8"/>
    </row>
    <row r="35" spans="1:6">
      <c r="A35" s="8">
        <v>34</v>
      </c>
      <c r="B35" s="8">
        <v>421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421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421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422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422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422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422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22.209727534301699</v>
      </c>
      <c r="D42" s="8">
        <v>1.1790111971181001</v>
      </c>
      <c r="E42" s="8">
        <v>0.99773999999999996</v>
      </c>
      <c r="F42" s="8"/>
    </row>
    <row r="43" spans="1:6">
      <c r="A43" s="8">
        <v>42</v>
      </c>
      <c r="B43" s="8" t="s">
        <v>7</v>
      </c>
      <c r="C43" s="8">
        <v>23.271265396613</v>
      </c>
      <c r="D43" s="8">
        <v>1.0153886976750099</v>
      </c>
      <c r="E43" s="8">
        <v>0.99853000000000003</v>
      </c>
      <c r="F43" s="8"/>
    </row>
    <row r="44" spans="1:6">
      <c r="A44" s="8">
        <v>43</v>
      </c>
      <c r="B44" s="8" t="s">
        <v>7</v>
      </c>
      <c r="C44" s="8">
        <v>23.975059188054001</v>
      </c>
      <c r="D44" s="8">
        <v>0.95451463253108004</v>
      </c>
      <c r="E44" s="8">
        <v>0.99863999999999997</v>
      </c>
      <c r="F44" s="8"/>
    </row>
    <row r="45" spans="1:6">
      <c r="A45" s="8">
        <v>44</v>
      </c>
      <c r="B45" s="8" t="s">
        <v>7</v>
      </c>
      <c r="C45" s="8">
        <v>23.7728402853317</v>
      </c>
      <c r="D45" s="8">
        <v>0.91250428397471295</v>
      </c>
      <c r="E45" s="8">
        <v>0.99934999999999996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413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413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413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413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414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414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414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414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415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415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415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415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416</v>
      </c>
      <c r="C14" s="9">
        <v>37.315493722449901</v>
      </c>
      <c r="D14" s="9">
        <v>0.47370139101034398</v>
      </c>
      <c r="E14" s="9">
        <v>0.99773999999999996</v>
      </c>
      <c r="F14" s="9"/>
    </row>
    <row r="15" spans="1:6">
      <c r="A15" s="9">
        <v>14</v>
      </c>
      <c r="B15" s="9">
        <v>416</v>
      </c>
      <c r="C15" s="9">
        <v>37.4299345235112</v>
      </c>
      <c r="D15" s="9">
        <v>0.42596107961097202</v>
      </c>
      <c r="E15" s="9">
        <v>0.99756999999999996</v>
      </c>
      <c r="F15" s="9"/>
    </row>
    <row r="16" spans="1:6">
      <c r="A16" s="9">
        <v>15</v>
      </c>
      <c r="B16" s="9">
        <v>416</v>
      </c>
      <c r="C16" s="9">
        <v>36.147112284784299</v>
      </c>
      <c r="D16" s="9">
        <v>0.490662016858605</v>
      </c>
      <c r="E16" s="9">
        <v>0.99702000000000002</v>
      </c>
      <c r="F16" s="9"/>
    </row>
    <row r="17" spans="1:6">
      <c r="A17" s="9">
        <v>16</v>
      </c>
      <c r="B17" s="9">
        <v>416</v>
      </c>
      <c r="C17" s="9">
        <v>37.243544469969102</v>
      </c>
      <c r="D17" s="9">
        <v>0.492982495463821</v>
      </c>
      <c r="E17" s="9">
        <v>0.99827999999999995</v>
      </c>
      <c r="F17" s="9"/>
    </row>
    <row r="18" spans="1:6">
      <c r="A18" s="9">
        <v>17</v>
      </c>
      <c r="B18" s="9">
        <v>417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417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417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417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418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418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418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418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419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419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419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419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420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420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420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420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421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421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421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421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422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422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422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422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20.3287045450401</v>
      </c>
      <c r="D42" s="9">
        <v>0.88737346621757296</v>
      </c>
      <c r="E42" s="9">
        <v>0.99892000000000003</v>
      </c>
      <c r="F42" s="9"/>
    </row>
    <row r="43" spans="1:6">
      <c r="A43" s="9">
        <v>42</v>
      </c>
      <c r="B43" s="9" t="s">
        <v>7</v>
      </c>
      <c r="C43" s="9">
        <v>20.605575035830299</v>
      </c>
      <c r="D43" s="9">
        <v>0.85637125464225095</v>
      </c>
      <c r="E43" s="9">
        <v>0.99878</v>
      </c>
      <c r="F43" s="9"/>
    </row>
    <row r="44" spans="1:6">
      <c r="A44" s="9">
        <v>43</v>
      </c>
      <c r="B44" s="9" t="s">
        <v>7</v>
      </c>
      <c r="C44" s="9">
        <v>20.724802435511801</v>
      </c>
      <c r="D44" s="9">
        <v>0.86280241994267204</v>
      </c>
      <c r="E44" s="9">
        <v>0.99858999999999998</v>
      </c>
      <c r="F44" s="9"/>
    </row>
    <row r="45" spans="1:6">
      <c r="A45" s="9">
        <v>44</v>
      </c>
      <c r="B45" s="9" t="s">
        <v>7</v>
      </c>
      <c r="C45" s="9">
        <v>20.660467315801</v>
      </c>
      <c r="D45" s="9">
        <v>0.856023839411725</v>
      </c>
      <c r="E45" s="9">
        <v>0.99873999999999996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413</v>
      </c>
      <c r="C2" s="10">
        <v>25.265730704350801</v>
      </c>
      <c r="D2" s="10">
        <v>0.93698464752376798</v>
      </c>
      <c r="E2" s="10">
        <v>0.99934000000000001</v>
      </c>
      <c r="F2" s="10"/>
    </row>
    <row r="3" spans="1:6">
      <c r="A3" s="10">
        <v>2</v>
      </c>
      <c r="B3" s="10">
        <v>413</v>
      </c>
      <c r="C3" s="10">
        <v>25.377069512019101</v>
      </c>
      <c r="D3" s="10">
        <v>0.93047203799782796</v>
      </c>
      <c r="E3" s="10">
        <v>0.99944999999999995</v>
      </c>
      <c r="F3" s="10"/>
    </row>
    <row r="4" spans="1:6">
      <c r="A4" s="10">
        <v>3</v>
      </c>
      <c r="B4" s="10">
        <v>413</v>
      </c>
      <c r="C4" s="10">
        <v>25.2752024590948</v>
      </c>
      <c r="D4" s="10">
        <v>0.87846385597476595</v>
      </c>
      <c r="E4" s="10">
        <v>0.99965999999999999</v>
      </c>
      <c r="F4" s="10"/>
    </row>
    <row r="5" spans="1:6">
      <c r="A5" s="10">
        <v>4</v>
      </c>
      <c r="B5" s="10">
        <v>413</v>
      </c>
      <c r="C5" s="10">
        <v>25.309273598471002</v>
      </c>
      <c r="D5" s="10">
        <v>0.93152006715133095</v>
      </c>
      <c r="E5" s="10">
        <v>0.99931999999999999</v>
      </c>
      <c r="F5" s="10"/>
    </row>
    <row r="6" spans="1:6">
      <c r="A6" s="10">
        <v>5</v>
      </c>
      <c r="B6" s="10">
        <v>414</v>
      </c>
      <c r="C6" s="10">
        <v>22.0209021209232</v>
      </c>
      <c r="D6" s="10">
        <v>0.88931078336355895</v>
      </c>
      <c r="E6" s="10">
        <v>0.99944</v>
      </c>
      <c r="F6" s="10"/>
    </row>
    <row r="7" spans="1:6">
      <c r="A7" s="10">
        <v>6</v>
      </c>
      <c r="B7" s="10">
        <v>414</v>
      </c>
      <c r="C7" s="10">
        <v>21.942424557059901</v>
      </c>
      <c r="D7" s="10">
        <v>0.84962220967392699</v>
      </c>
      <c r="E7" s="10">
        <v>0.99961999999999995</v>
      </c>
      <c r="F7" s="10"/>
    </row>
    <row r="8" spans="1:6">
      <c r="A8" s="10">
        <v>7</v>
      </c>
      <c r="B8" s="10">
        <v>414</v>
      </c>
      <c r="C8" s="10">
        <v>21.974285695813201</v>
      </c>
      <c r="D8" s="10">
        <v>0.86266981055797498</v>
      </c>
      <c r="E8" s="10">
        <v>0.99951999999999996</v>
      </c>
      <c r="F8" s="10"/>
    </row>
    <row r="9" spans="1:6">
      <c r="A9" s="10">
        <v>8</v>
      </c>
      <c r="B9" s="10">
        <v>414</v>
      </c>
      <c r="C9" s="10">
        <v>21.730056669125801</v>
      </c>
      <c r="D9" s="10">
        <v>0.90589456856530903</v>
      </c>
      <c r="E9" s="10">
        <v>0.99931999999999999</v>
      </c>
      <c r="F9" s="10"/>
    </row>
    <row r="10" spans="1:6">
      <c r="A10" s="10">
        <v>9</v>
      </c>
      <c r="B10" s="10">
        <v>415</v>
      </c>
      <c r="C10" s="10">
        <v>27.0619143440789</v>
      </c>
      <c r="D10" s="10">
        <v>0.91546352814561904</v>
      </c>
      <c r="E10" s="10">
        <v>0.99911000000000005</v>
      </c>
      <c r="F10" s="10"/>
    </row>
    <row r="11" spans="1:6">
      <c r="A11" s="10">
        <v>10</v>
      </c>
      <c r="B11" s="10">
        <v>415</v>
      </c>
      <c r="C11" s="10">
        <v>27.088515219125899</v>
      </c>
      <c r="D11" s="10">
        <v>0.89491799909405001</v>
      </c>
      <c r="E11" s="10">
        <v>0.99922999999999995</v>
      </c>
      <c r="F11" s="10"/>
    </row>
    <row r="12" spans="1:6">
      <c r="A12" s="10">
        <v>11</v>
      </c>
      <c r="B12" s="10">
        <v>415</v>
      </c>
      <c r="C12" s="10">
        <v>27.051489999005501</v>
      </c>
      <c r="D12" s="10">
        <v>0.891957188753146</v>
      </c>
      <c r="E12" s="10">
        <v>0.99933000000000005</v>
      </c>
      <c r="F12" s="10"/>
    </row>
    <row r="13" spans="1:6">
      <c r="A13" s="10">
        <v>12</v>
      </c>
      <c r="B13" s="10">
        <v>415</v>
      </c>
      <c r="C13" s="10">
        <v>27.1561715778093</v>
      </c>
      <c r="D13" s="10">
        <v>0.87953626619346403</v>
      </c>
      <c r="E13" s="10">
        <v>0.99950000000000006</v>
      </c>
      <c r="F13" s="10"/>
    </row>
    <row r="14" spans="1:6">
      <c r="A14" s="10">
        <v>13</v>
      </c>
      <c r="B14" s="10">
        <v>416</v>
      </c>
      <c r="C14" s="10">
        <v>22.338462566781601</v>
      </c>
      <c r="D14" s="10">
        <v>0.95817990159477295</v>
      </c>
      <c r="E14" s="10">
        <v>0.99931000000000003</v>
      </c>
      <c r="F14" s="10"/>
    </row>
    <row r="15" spans="1:6">
      <c r="A15" s="10">
        <v>14</v>
      </c>
      <c r="B15" s="10">
        <v>416</v>
      </c>
      <c r="C15" s="10">
        <v>21.9895374703102</v>
      </c>
      <c r="D15" s="10">
        <v>0.91668488922450497</v>
      </c>
      <c r="E15" s="10">
        <v>0.99929000000000001</v>
      </c>
      <c r="F15" s="10"/>
    </row>
    <row r="16" spans="1:6">
      <c r="A16" s="10">
        <v>15</v>
      </c>
      <c r="B16" s="10">
        <v>416</v>
      </c>
      <c r="C16" s="10">
        <v>22.106955789680601</v>
      </c>
      <c r="D16" s="10">
        <v>0.90876677491815305</v>
      </c>
      <c r="E16" s="10">
        <v>0.99929999999999997</v>
      </c>
      <c r="F16" s="10"/>
    </row>
    <row r="17" spans="1:6">
      <c r="A17" s="10">
        <v>16</v>
      </c>
      <c r="B17" s="10">
        <v>416</v>
      </c>
      <c r="C17" s="10">
        <v>22.184926696882599</v>
      </c>
      <c r="D17" s="10">
        <v>0.88350950448883503</v>
      </c>
      <c r="E17" s="10">
        <v>0.99955000000000005</v>
      </c>
      <c r="F17" s="10"/>
    </row>
    <row r="18" spans="1:6">
      <c r="A18" s="10">
        <v>17</v>
      </c>
      <c r="B18" s="10">
        <v>417</v>
      </c>
      <c r="C18" s="10">
        <v>28.5919361212183</v>
      </c>
      <c r="D18" s="10">
        <v>0.94552233017280496</v>
      </c>
      <c r="E18" s="10">
        <v>0.99946000000000002</v>
      </c>
      <c r="F18" s="10"/>
    </row>
    <row r="19" spans="1:6">
      <c r="A19" s="10">
        <v>18</v>
      </c>
      <c r="B19" s="10">
        <v>417</v>
      </c>
      <c r="C19" s="10">
        <v>28.1578164635925</v>
      </c>
      <c r="D19" s="10">
        <v>0.88699341531541598</v>
      </c>
      <c r="E19" s="10">
        <v>0.99953000000000003</v>
      </c>
      <c r="F19" s="10"/>
    </row>
    <row r="20" spans="1:6">
      <c r="A20" s="10">
        <v>19</v>
      </c>
      <c r="B20" s="10">
        <v>417</v>
      </c>
      <c r="C20" s="10">
        <v>28.170002852350201</v>
      </c>
      <c r="D20" s="10">
        <v>0.94651377623206401</v>
      </c>
      <c r="E20" s="10">
        <v>0.99912000000000001</v>
      </c>
      <c r="F20" s="10"/>
    </row>
    <row r="21" spans="1:6">
      <c r="A21" s="10">
        <v>20</v>
      </c>
      <c r="B21" s="10">
        <v>417</v>
      </c>
      <c r="C21" s="10">
        <v>28.266316470819401</v>
      </c>
      <c r="D21" s="10">
        <v>0.93295317295957003</v>
      </c>
      <c r="E21" s="10">
        <v>0.99927999999999995</v>
      </c>
      <c r="F21" s="10"/>
    </row>
    <row r="22" spans="1:6">
      <c r="A22" s="10">
        <v>21</v>
      </c>
      <c r="B22" s="10">
        <v>418</v>
      </c>
      <c r="C22" s="10">
        <v>23.513620043722501</v>
      </c>
      <c r="D22" s="10">
        <v>0.95788118832091795</v>
      </c>
      <c r="E22" s="10">
        <v>0.99936000000000003</v>
      </c>
      <c r="F22" s="10"/>
    </row>
    <row r="23" spans="1:6">
      <c r="A23" s="10">
        <v>22</v>
      </c>
      <c r="B23" s="10">
        <v>418</v>
      </c>
      <c r="C23" s="10">
        <v>23.215843838702099</v>
      </c>
      <c r="D23" s="10">
        <v>0.90187143586058005</v>
      </c>
      <c r="E23" s="10">
        <v>0.99938000000000005</v>
      </c>
      <c r="F23" s="10"/>
    </row>
    <row r="24" spans="1:6">
      <c r="A24" s="10">
        <v>23</v>
      </c>
      <c r="B24" s="10">
        <v>418</v>
      </c>
      <c r="C24" s="10">
        <v>23.278249835594998</v>
      </c>
      <c r="D24" s="10">
        <v>0.90433289514349902</v>
      </c>
      <c r="E24" s="10">
        <v>0.99938000000000005</v>
      </c>
      <c r="F24" s="10"/>
    </row>
    <row r="25" spans="1:6">
      <c r="A25" s="10">
        <v>24</v>
      </c>
      <c r="B25" s="10">
        <v>418</v>
      </c>
      <c r="C25" s="10">
        <v>23.479804977665701</v>
      </c>
      <c r="D25" s="10">
        <v>0.94343508185048797</v>
      </c>
      <c r="E25" s="10">
        <v>0.99946999999999997</v>
      </c>
      <c r="F25" s="10"/>
    </row>
    <row r="26" spans="1:6">
      <c r="A26" s="10">
        <v>25</v>
      </c>
      <c r="B26" s="10">
        <v>419</v>
      </c>
      <c r="C26" s="10">
        <v>26.159523291129801</v>
      </c>
      <c r="D26" s="10">
        <v>0.86569365826032896</v>
      </c>
      <c r="E26" s="10">
        <v>0.99973999999999996</v>
      </c>
      <c r="F26" s="10"/>
    </row>
    <row r="27" spans="1:6">
      <c r="A27" s="10">
        <v>26</v>
      </c>
      <c r="B27" s="10">
        <v>419</v>
      </c>
      <c r="C27" s="10">
        <v>26.159268768469499</v>
      </c>
      <c r="D27" s="10">
        <v>0.85437193660909505</v>
      </c>
      <c r="E27" s="10">
        <v>0.99982000000000004</v>
      </c>
      <c r="F27" s="10"/>
    </row>
    <row r="28" spans="1:6">
      <c r="A28" s="10">
        <v>27</v>
      </c>
      <c r="B28" s="10">
        <v>419</v>
      </c>
      <c r="C28" s="10">
        <v>26.0529307970472</v>
      </c>
      <c r="D28" s="10">
        <v>0.94065941680093801</v>
      </c>
      <c r="E28" s="10">
        <v>0.99907000000000001</v>
      </c>
      <c r="F28" s="10"/>
    </row>
    <row r="29" spans="1:6">
      <c r="A29" s="10">
        <v>28</v>
      </c>
      <c r="B29" s="10">
        <v>419</v>
      </c>
      <c r="C29" s="10">
        <v>26.123262653911301</v>
      </c>
      <c r="D29" s="10">
        <v>0.846826421326353</v>
      </c>
      <c r="E29" s="10">
        <v>0.99983</v>
      </c>
      <c r="F29" s="10"/>
    </row>
    <row r="30" spans="1:6">
      <c r="A30" s="10">
        <v>29</v>
      </c>
      <c r="B30" s="10">
        <v>420</v>
      </c>
      <c r="C30" s="10">
        <v>22.9654308848162</v>
      </c>
      <c r="D30" s="10">
        <v>0.90846747458724297</v>
      </c>
      <c r="E30" s="10">
        <v>0.99927999999999995</v>
      </c>
      <c r="F30" s="10"/>
    </row>
    <row r="31" spans="1:6">
      <c r="A31" s="10">
        <v>30</v>
      </c>
      <c r="B31" s="10">
        <v>420</v>
      </c>
      <c r="C31" s="10">
        <v>22.929342054602898</v>
      </c>
      <c r="D31" s="10">
        <v>0.90585671640404697</v>
      </c>
      <c r="E31" s="10">
        <v>0.99912999999999996</v>
      </c>
      <c r="F31" s="10"/>
    </row>
    <row r="32" spans="1:6">
      <c r="A32" s="10">
        <v>31</v>
      </c>
      <c r="B32" s="10">
        <v>420</v>
      </c>
      <c r="C32" s="10">
        <v>22.886834056223201</v>
      </c>
      <c r="D32" s="10">
        <v>0.894266746571169</v>
      </c>
      <c r="E32" s="10">
        <v>0.99933000000000005</v>
      </c>
      <c r="F32" s="10"/>
    </row>
    <row r="33" spans="1:6">
      <c r="A33" s="10">
        <v>32</v>
      </c>
      <c r="B33" s="10">
        <v>420</v>
      </c>
      <c r="C33" s="10">
        <v>22.8771438870053</v>
      </c>
      <c r="D33" s="10">
        <v>0.91011316560341204</v>
      </c>
      <c r="E33" s="10">
        <v>0.99924000000000002</v>
      </c>
      <c r="F33" s="10"/>
    </row>
    <row r="34" spans="1:6">
      <c r="A34" s="10">
        <v>33</v>
      </c>
      <c r="B34" s="10">
        <v>421</v>
      </c>
      <c r="C34" s="10">
        <v>23.750527493098499</v>
      </c>
      <c r="D34" s="10">
        <v>0.91353976128232905</v>
      </c>
      <c r="E34" s="10">
        <v>0.99936999999999998</v>
      </c>
      <c r="F34" s="10"/>
    </row>
    <row r="35" spans="1:6">
      <c r="A35" s="10">
        <v>34</v>
      </c>
      <c r="B35" s="10">
        <v>421</v>
      </c>
      <c r="C35" s="10">
        <v>23.751841030232601</v>
      </c>
      <c r="D35" s="10">
        <v>0.89657189611064703</v>
      </c>
      <c r="E35" s="10">
        <v>0.99938000000000005</v>
      </c>
      <c r="F35" s="10"/>
    </row>
    <row r="36" spans="1:6">
      <c r="A36" s="10">
        <v>35</v>
      </c>
      <c r="B36" s="10">
        <v>421</v>
      </c>
      <c r="C36" s="10">
        <v>23.8253332586049</v>
      </c>
      <c r="D36" s="10">
        <v>0.90430718653682696</v>
      </c>
      <c r="E36" s="10">
        <v>0.99929999999999997</v>
      </c>
      <c r="F36" s="10"/>
    </row>
    <row r="37" spans="1:6">
      <c r="A37" s="10">
        <v>36</v>
      </c>
      <c r="B37" s="10">
        <v>421</v>
      </c>
      <c r="C37" s="10">
        <v>23.7898238319058</v>
      </c>
      <c r="D37" s="10">
        <v>0.89806110033313702</v>
      </c>
      <c r="E37" s="10">
        <v>0.99941000000000002</v>
      </c>
      <c r="F37" s="10"/>
    </row>
    <row r="38" spans="1:6">
      <c r="A38" s="10">
        <v>37</v>
      </c>
      <c r="B38" s="10">
        <v>422</v>
      </c>
      <c r="C38" s="10">
        <v>21.426967490298999</v>
      </c>
      <c r="D38" s="10">
        <v>0.94363925918978797</v>
      </c>
      <c r="E38" s="10">
        <v>0.99948999999999999</v>
      </c>
      <c r="F38" s="10"/>
    </row>
    <row r="39" spans="1:6">
      <c r="A39" s="10">
        <v>38</v>
      </c>
      <c r="B39" s="10">
        <v>422</v>
      </c>
      <c r="C39" s="10">
        <v>21.3710648285766</v>
      </c>
      <c r="D39" s="10">
        <v>0.94782736441245097</v>
      </c>
      <c r="E39" s="10">
        <v>0.99934999999999996</v>
      </c>
      <c r="F39" s="10"/>
    </row>
    <row r="40" spans="1:6">
      <c r="A40" s="10">
        <v>39</v>
      </c>
      <c r="B40" s="10">
        <v>422</v>
      </c>
      <c r="C40" s="10">
        <v>21.404195350910399</v>
      </c>
      <c r="D40" s="10">
        <v>0.95131756917731203</v>
      </c>
      <c r="E40" s="10">
        <v>0.99934999999999996</v>
      </c>
      <c r="F40" s="10"/>
    </row>
    <row r="41" spans="1:6">
      <c r="A41" s="10">
        <v>40</v>
      </c>
      <c r="B41" s="10">
        <v>422</v>
      </c>
      <c r="C41" s="10">
        <v>21.3150629039344</v>
      </c>
      <c r="D41" s="10">
        <v>0.96236853163050096</v>
      </c>
      <c r="E41" s="10">
        <v>0.99909999999999999</v>
      </c>
      <c r="F41" s="10"/>
    </row>
    <row r="42" spans="1:6">
      <c r="A42" s="10">
        <v>41</v>
      </c>
      <c r="B42" s="10" t="s">
        <v>7</v>
      </c>
      <c r="C42" s="10">
        <v>33.731432566002098</v>
      </c>
      <c r="D42" s="10">
        <v>0.70743130985050895</v>
      </c>
      <c r="E42" s="10">
        <v>0.99938000000000005</v>
      </c>
      <c r="F42" s="10"/>
    </row>
    <row r="43" spans="1:6">
      <c r="A43" s="10">
        <v>42</v>
      </c>
      <c r="B43" s="10" t="s">
        <v>7</v>
      </c>
      <c r="C43" s="10">
        <v>34.922000544851201</v>
      </c>
      <c r="D43" s="10">
        <v>0.69457011122907797</v>
      </c>
      <c r="E43" s="10">
        <v>0.99941000000000002</v>
      </c>
      <c r="F43" s="10"/>
    </row>
    <row r="44" spans="1:6">
      <c r="A44" s="10">
        <v>43</v>
      </c>
      <c r="B44" s="10" t="s">
        <v>7</v>
      </c>
      <c r="C44" s="10">
        <v>35.105735034696998</v>
      </c>
      <c r="D44" s="10">
        <v>0.71605031357681903</v>
      </c>
      <c r="E44" s="10">
        <v>0.99927999999999995</v>
      </c>
      <c r="F44" s="10"/>
    </row>
    <row r="45" spans="1:6">
      <c r="A45" s="10">
        <v>44</v>
      </c>
      <c r="B45" s="10" t="s">
        <v>7</v>
      </c>
      <c r="C45" s="10">
        <v>34.5473896550833</v>
      </c>
      <c r="D45" s="10">
        <v>0.72640954736687302</v>
      </c>
      <c r="E45" s="10">
        <v>0.99948000000000004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38.204457236012303</v>
      </c>
      <c r="D47" s="10">
        <v>0.52506896319032803</v>
      </c>
      <c r="E47" s="10">
        <v>0.97638999999999998</v>
      </c>
      <c r="F47" s="10"/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413</v>
      </c>
      <c r="B2">
        <f>IF('177T'!C2="", "", '177T'!C2)</f>
        <v>-1</v>
      </c>
      <c r="C2">
        <f>IF('18S2'!C2="", "", '18S2'!C2)</f>
        <v>-1</v>
      </c>
      <c r="D2">
        <f>IF(RNAseP!C2="", "", RNAseP!C2)</f>
        <v>25.265730704350801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413</v>
      </c>
      <c r="B3">
        <f>IF('177T'!C3="", "", '177T'!C3)</f>
        <v>-1</v>
      </c>
      <c r="C3">
        <f>IF('18S2'!C3="", "", '18S2'!C3)</f>
        <v>-1</v>
      </c>
      <c r="D3">
        <f>IF(RNAseP!C3="", "", RNAseP!C3)</f>
        <v>25.377069512019101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413</v>
      </c>
      <c r="B4">
        <f>IF('177T'!C4="", "", '177T'!C4)</f>
        <v>-1</v>
      </c>
      <c r="C4">
        <f>IF('18S2'!C4="", "", '18S2'!C4)</f>
        <v>-1</v>
      </c>
      <c r="D4">
        <f>IF(RNAseP!C4="", "", RNAseP!C4)</f>
        <v>25.2752024590948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413</v>
      </c>
      <c r="B5">
        <f>IF('177T'!C5="", "", '177T'!C5)</f>
        <v>-1</v>
      </c>
      <c r="C5">
        <f>IF('18S2'!C5="", "", '18S2'!C5)</f>
        <v>-1</v>
      </c>
      <c r="D5">
        <f>IF(RNAseP!C5="", "", RNAseP!C5)</f>
        <v>25.309273598471002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414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22.0209021209232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414</v>
      </c>
      <c r="B7">
        <f>IF('177T'!C7="", "", '177T'!C7)</f>
        <v>-1</v>
      </c>
      <c r="C7">
        <f>IF('18S2'!C7="", "", '18S2'!C7)</f>
        <v>-1</v>
      </c>
      <c r="D7">
        <f>IF(RNAseP!C7="", "", RNAseP!C7)</f>
        <v>21.942424557059901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414</v>
      </c>
      <c r="B8">
        <f>IF('177T'!C8="", "", '177T'!C8)</f>
        <v>-1</v>
      </c>
      <c r="C8">
        <f>IF('18S2'!C8="", "", '18S2'!C8)</f>
        <v>-1</v>
      </c>
      <c r="D8">
        <f>IF(RNAseP!C8="", "", RNAseP!C8)</f>
        <v>21.974285695813201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414</v>
      </c>
      <c r="B9">
        <f>IF('177T'!C9="", "", '177T'!C9)</f>
        <v>-1</v>
      </c>
      <c r="C9">
        <f>IF('18S2'!C9="", "", '18S2'!C9)</f>
        <v>-1</v>
      </c>
      <c r="D9">
        <f>IF(RNAseP!C9="", "", RNAseP!C9)</f>
        <v>21.730056669125801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415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27.0619143440789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415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27.088515219125899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415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27.051489999005501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415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27.1561715778093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416</v>
      </c>
      <c r="B14">
        <f>IF('177T'!C14="", "", '177T'!C14)</f>
        <v>28.4501107386406</v>
      </c>
      <c r="C14">
        <f>IF('18S2'!C14="", "", '18S2'!C14)</f>
        <v>37.315493722449901</v>
      </c>
      <c r="D14">
        <f>IF(RNAseP!C14="", "", RNAseP!C14)</f>
        <v>22.338462566781601</v>
      </c>
      <c r="E14" s="3" t="str">
        <f>IF(B14=-1, "-1", IF(B14&lt;VLOOKUP("177T", Cutoff!$A$1:$B$4, 2, FALSE), "1", "0"))</f>
        <v>1</v>
      </c>
      <c r="F14" s="3" t="str">
        <f>IF(C14=-1, "-1", IF(C14&lt;VLOOKUP("18S2", Cutoff!$A$1:$B$4, 2, FALSE), "1", "0"))</f>
        <v>0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P</v>
      </c>
      <c r="I14" t="str" cm="1">
        <f t="array" ref="I14">INDEX(Decision!$E$1:$E$28, MATCH(E14&amp;F14&amp;G14, Decision!$A$1:$A$28&amp;Decision!$B$1:$B$28&amp;Decision!$C$1:$C$28, 0))</f>
        <v>DNA case &amp; RNA suspect</v>
      </c>
    </row>
    <row r="15" spans="1:9">
      <c r="A15">
        <f>IF(AND('177T'!B15 = '18S2'!B15, '177T'!B15 = RNAseP!B15, '177T'!B15 &lt;&gt; ""), '177T'!B15, IF('177T'!B15 = "", "", "Mismatch"))</f>
        <v>416</v>
      </c>
      <c r="B15">
        <f>IF('177T'!C15="", "", '177T'!C15)</f>
        <v>28.513421069399499</v>
      </c>
      <c r="C15">
        <f>IF('18S2'!C15="", "", '18S2'!C15)</f>
        <v>37.4299345235112</v>
      </c>
      <c r="D15">
        <f>IF(RNAseP!C15="", "", RNAseP!C15)</f>
        <v>21.9895374703102</v>
      </c>
      <c r="E15" s="3" t="str">
        <f>IF(B15=-1, "-1", IF(B15&lt;VLOOKUP("177T", Cutoff!$A$1:$B$4, 2, FALSE), "1", "0"))</f>
        <v>1</v>
      </c>
      <c r="F15" s="3" t="str">
        <f>IF(C15=-1, "-1", IF(C15&lt;VLOOKUP("18S2", Cutoff!$A$1:$B$4, 2, FALSE), "1", "0"))</f>
        <v>0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P</v>
      </c>
      <c r="I15" t="str" cm="1">
        <f t="array" ref="I15">INDEX(Decision!$E$1:$E$28, MATCH(E15&amp;F15&amp;G15, Decision!$A$1:$A$28&amp;Decision!$B$1:$B$28&amp;Decision!$C$1:$C$28, 0))</f>
        <v>DNA case &amp; RNA suspect</v>
      </c>
    </row>
    <row r="16" spans="1:9">
      <c r="A16">
        <f>IF(AND('177T'!B16 = '18S2'!B16, '177T'!B16 = RNAseP!B16, '177T'!B16 &lt;&gt; ""), '177T'!B16, IF('177T'!B16 = "", "", "Mismatch"))</f>
        <v>416</v>
      </c>
      <c r="B16">
        <f>IF('177T'!C16="", "", '177T'!C16)</f>
        <v>28.589308428433799</v>
      </c>
      <c r="C16">
        <f>IF('18S2'!C16="", "", '18S2'!C16)</f>
        <v>36.147112284784299</v>
      </c>
      <c r="D16">
        <f>IF(RNAseP!C16="", "", RNAseP!C16)</f>
        <v>22.106955789680601</v>
      </c>
      <c r="E16" s="3" t="str">
        <f>IF(B16=-1, "-1", IF(B16&lt;VLOOKUP("177T", Cutoff!$A$1:$B$4, 2, FALSE), "1", "0"))</f>
        <v>1</v>
      </c>
      <c r="F16" s="3" t="str">
        <f>IF(C16=-1, "-1", IF(C16&lt;VLOOKUP("18S2", Cutoff!$A$1:$B$4, 2, FALSE), "1", "0"))</f>
        <v>0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P</v>
      </c>
      <c r="I16" t="str" cm="1">
        <f t="array" ref="I16">INDEX(Decision!$E$1:$E$28, MATCH(E16&amp;F16&amp;G16, Decision!$A$1:$A$28&amp;Decision!$B$1:$B$28&amp;Decision!$C$1:$C$28, 0))</f>
        <v>DNA case &amp; RNA suspect</v>
      </c>
    </row>
    <row r="17" spans="1:9">
      <c r="A17">
        <f>IF(AND('177T'!B17 = '18S2'!B17, '177T'!B17 = RNAseP!B17, '177T'!B17 &lt;&gt; ""), '177T'!B17, IF('177T'!B17 = "", "", "Mismatch"))</f>
        <v>416</v>
      </c>
      <c r="B17">
        <f>IF('177T'!C17="", "", '177T'!C17)</f>
        <v>28.549038127055301</v>
      </c>
      <c r="C17">
        <f>IF('18S2'!C17="", "", '18S2'!C17)</f>
        <v>37.243544469969102</v>
      </c>
      <c r="D17">
        <f>IF(RNAseP!C17="", "", RNAseP!C17)</f>
        <v>22.184926696882599</v>
      </c>
      <c r="E17" s="3" t="str">
        <f>IF(B17=-1, "-1", IF(B17&lt;VLOOKUP("177T", Cutoff!$A$1:$B$4, 2, FALSE), "1", "0"))</f>
        <v>1</v>
      </c>
      <c r="F17" s="3" t="str">
        <f>IF(C17=-1, "-1", IF(C17&lt;VLOOKUP("18S2", Cutoff!$A$1:$B$4, 2, FALSE), "1", "0"))</f>
        <v>0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P</v>
      </c>
      <c r="I17" t="str" cm="1">
        <f t="array" ref="I17">INDEX(Decision!$E$1:$E$28, MATCH(E17&amp;F17&amp;G17, Decision!$A$1:$A$28&amp;Decision!$B$1:$B$28&amp;Decision!$C$1:$C$28, 0))</f>
        <v>DNA case &amp; RNA suspect</v>
      </c>
    </row>
    <row r="18" spans="1:9">
      <c r="A18">
        <f>IF(AND('177T'!B18 = '18S2'!B18, '177T'!B18 = RNAseP!B18, '177T'!B18 &lt;&gt; ""), '177T'!B18, IF('177T'!B18 = "", "", "Mismatch"))</f>
        <v>417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28.5919361212183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0</v>
      </c>
      <c r="H18" s="3" t="str" cm="1">
        <f t="array" ref="H18">INDEX(Decision!$D$1:$D$28, MATCH(E18&amp;F18&amp;G18, Decision!$A$1:$A$28&amp;Decision!$B$1:$B$28&amp;Decision!$C$1:$C$28, 0))</f>
        <v>F</v>
      </c>
      <c r="I18" t="str" cm="1">
        <f t="array" ref="I18">INDEX(Decision!$E$1:$E$28, MATCH(E18&amp;F18&amp;G18, Decision!$A$1:$A$28&amp;Decision!$B$1:$B$28&amp;Decision!$C$1:$C$28, 0))</f>
        <v>low human DNA</v>
      </c>
    </row>
    <row r="19" spans="1:9">
      <c r="A19">
        <f>IF(AND('177T'!B19 = '18S2'!B19, '177T'!B19 = RNAseP!B19, '177T'!B19 &lt;&gt; ""), '177T'!B19, IF('177T'!B19 = "", "", "Mismatch"))</f>
        <v>417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28.1578164635925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0</v>
      </c>
      <c r="H19" s="3" t="str" cm="1">
        <f t="array" ref="H19">INDEX(Decision!$D$1:$D$28, MATCH(E19&amp;F19&amp;G19, Decision!$A$1:$A$28&amp;Decision!$B$1:$B$28&amp;Decision!$C$1:$C$28, 0))</f>
        <v>F</v>
      </c>
      <c r="I19" t="str" cm="1">
        <f t="array" ref="I19">INDEX(Decision!$E$1:$E$28, MATCH(E19&amp;F19&amp;G19, Decision!$A$1:$A$28&amp;Decision!$B$1:$B$28&amp;Decision!$C$1:$C$28, 0))</f>
        <v>low human DNA</v>
      </c>
    </row>
    <row r="20" spans="1:9">
      <c r="A20">
        <f>IF(AND('177T'!B20 = '18S2'!B20, '177T'!B20 = RNAseP!B20, '177T'!B20 &lt;&gt; ""), '177T'!B20, IF('177T'!B20 = "", "", "Mismatch"))</f>
        <v>417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28.170002852350201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0</v>
      </c>
      <c r="H20" s="3" t="str" cm="1">
        <f t="array" ref="H20">INDEX(Decision!$D$1:$D$28, MATCH(E20&amp;F20&amp;G20, Decision!$A$1:$A$28&amp;Decision!$B$1:$B$28&amp;Decision!$C$1:$C$28, 0))</f>
        <v>F</v>
      </c>
      <c r="I20" t="str" cm="1">
        <f t="array" ref="I20">INDEX(Decision!$E$1:$E$28, MATCH(E20&amp;F20&amp;G20, Decision!$A$1:$A$28&amp;Decision!$B$1:$B$28&amp;Decision!$C$1:$C$28, 0))</f>
        <v>low human DNA</v>
      </c>
    </row>
    <row r="21" spans="1:9">
      <c r="A21">
        <f>IF(AND('177T'!B21 = '18S2'!B21, '177T'!B21 = RNAseP!B21, '177T'!B21 &lt;&gt; ""), '177T'!B21, IF('177T'!B21 = "", "", "Mismatch"))</f>
        <v>417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28.266316470819401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0</v>
      </c>
      <c r="H21" s="3" t="str" cm="1">
        <f t="array" ref="H21">INDEX(Decision!$D$1:$D$28, MATCH(E21&amp;F21&amp;G21, Decision!$A$1:$A$28&amp;Decision!$B$1:$B$28&amp;Decision!$C$1:$C$28, 0))</f>
        <v>F</v>
      </c>
      <c r="I21" t="str" cm="1">
        <f t="array" ref="I21">INDEX(Decision!$E$1:$E$28, MATCH(E21&amp;F21&amp;G21, Decision!$A$1:$A$28&amp;Decision!$B$1:$B$28&amp;Decision!$C$1:$C$28, 0))</f>
        <v>low human DNA</v>
      </c>
    </row>
    <row r="22" spans="1:9">
      <c r="A22">
        <f>IF(AND('177T'!B22 = '18S2'!B22, '177T'!B22 = RNAseP!B22, '177T'!B22 &lt;&gt; ""), '177T'!B22, IF('177T'!B22 = "", "", "Mismatch"))</f>
        <v>418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23.513620043722501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418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23.215843838702099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418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23.278249835594998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418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23.479804977665701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419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26.159523291129801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419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26.159268768469499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419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26.0529307970472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419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26.123262653911301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420</v>
      </c>
      <c r="B30">
        <f>IF('177T'!C30="", "", '177T'!C30)</f>
        <v>34.341166210944998</v>
      </c>
      <c r="C30">
        <f>IF('18S2'!C30="", "", '18S2'!C30)</f>
        <v>-1</v>
      </c>
      <c r="D30">
        <f>IF(RNAseP!C30="", "", RNAseP!C30)</f>
        <v>22.9654308848162</v>
      </c>
      <c r="E30" s="3" t="str">
        <f>IF(B30=-1, "-1", IF(B30&lt;VLOOKUP("177T", Cutoff!$A$1:$B$4, 2, FALSE), "1", "0"))</f>
        <v>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P</v>
      </c>
      <c r="I30" t="str" cm="1">
        <f t="array" ref="I30">INDEX(Decision!$E$1:$E$28, MATCH(E30&amp;F30&amp;G30, Decision!$A$1:$A$28&amp;Decision!$B$1:$B$28&amp;Decision!$C$1:$C$28, 0))</f>
        <v>DNA case</v>
      </c>
    </row>
    <row r="31" spans="1:9">
      <c r="A31">
        <f>IF(AND('177T'!B31 = '18S2'!B31, '177T'!B31 = RNAseP!B31, '177T'!B31 &lt;&gt; ""), '177T'!B31, IF('177T'!B31 = "", "", "Mismatch"))</f>
        <v>420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22.929342054602898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420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22.886834056223201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420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22.8771438870053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421</v>
      </c>
      <c r="B34">
        <f>IF('177T'!C34="", "", '177T'!C34)</f>
        <v>34.309504389063598</v>
      </c>
      <c r="C34">
        <f>IF('18S2'!C34="", "", '18S2'!C34)</f>
        <v>-1</v>
      </c>
      <c r="D34">
        <f>IF(RNAseP!C34="", "", RNAseP!C34)</f>
        <v>23.750527493098499</v>
      </c>
      <c r="E34" s="3" t="str">
        <f>IF(B34=-1, "-1", IF(B34&lt;VLOOKUP("177T", Cutoff!$A$1:$B$4, 2, FALSE), "1", "0"))</f>
        <v>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P</v>
      </c>
      <c r="I34" t="str" cm="1">
        <f t="array" ref="I34">INDEX(Decision!$E$1:$E$28, MATCH(E34&amp;F34&amp;G34, Decision!$A$1:$A$28&amp;Decision!$B$1:$B$28&amp;Decision!$C$1:$C$28, 0))</f>
        <v>DNA case</v>
      </c>
    </row>
    <row r="35" spans="1:9">
      <c r="A35">
        <f>IF(AND('177T'!B35 = '18S2'!B35, '177T'!B35 = RNAseP!B35, '177T'!B35 &lt;&gt; ""), '177T'!B35, IF('177T'!B35 = "", "", "Mismatch"))</f>
        <v>421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23.751841030232601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421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23.8253332586049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421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23.7898238319058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422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21.426967490298999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422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21.3710648285766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422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21.404195350910399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422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21.3150629039344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22.209727534301699</v>
      </c>
      <c r="C42">
        <f>IF('18S2'!C42="", "", '18S2'!C42)</f>
        <v>20.3287045450401</v>
      </c>
      <c r="D42">
        <f>IF(RNAseP!C42="", "", RNAseP!C42)</f>
        <v>33.731432566002098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23.271265396613</v>
      </c>
      <c r="C43">
        <f>IF('18S2'!C43="", "", '18S2'!C43)</f>
        <v>20.605575035830299</v>
      </c>
      <c r="D43">
        <f>IF(RNAseP!C43="", "", RNAseP!C43)</f>
        <v>34.922000544851201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23.975059188054001</v>
      </c>
      <c r="C44">
        <f>IF('18S2'!C44="", "", '18S2'!C44)</f>
        <v>20.724802435511801</v>
      </c>
      <c r="D44">
        <f>IF(RNAseP!C44="", "", RNAseP!C44)</f>
        <v>35.105735034696998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23.7728402853317</v>
      </c>
      <c r="C45">
        <f>IF('18S2'!C45="", "", '18S2'!C45)</f>
        <v>20.660467315801</v>
      </c>
      <c r="D45">
        <f>IF(RNAseP!C45="", "", RNAseP!C45)</f>
        <v>34.5473896550833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38.204457236012303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G27" sqref="G27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45968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413</v>
      </c>
      <c r="B16" s="11">
        <v>2501995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25,3 +/- 0,1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414</v>
      </c>
      <c r="B17" s="11">
        <v>2501914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21,9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415</v>
      </c>
      <c r="B18" s="11">
        <v>2501223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27,1 +/- 0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416</v>
      </c>
      <c r="B19" s="11">
        <v>2500145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P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>28,5 +/- 0,1</v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 +/- 0,6</v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22,2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417</v>
      </c>
      <c r="B20" s="11">
        <v>2500074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F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28,3 +/- 0,2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418</v>
      </c>
      <c r="B21" s="11">
        <v>2501219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23,4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419</v>
      </c>
      <c r="B22" s="11">
        <v>2501217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26,1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420</v>
      </c>
      <c r="B23" s="11">
        <v>2501218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34,3</v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22,9 +/- 0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421</v>
      </c>
      <c r="B24" s="11">
        <v>2501894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34,3</v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23,8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422</v>
      </c>
      <c r="B25" s="11">
        <v>2500099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+/- 0,8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20,6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34,6 +/- 0,6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38,2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413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25,3 +/- 0,1</v>
      </c>
    </row>
    <row r="3" spans="1:11">
      <c r="A3" s="3">
        <f>Report!A17</f>
        <v>414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21,9 +/- 0,1</v>
      </c>
    </row>
    <row r="4" spans="1:11">
      <c r="A4" s="3">
        <f>Report!A18</f>
        <v>415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27,1 +/- 0</v>
      </c>
    </row>
    <row r="5" spans="1:11">
      <c r="A5" s="3">
        <f>Report!A19</f>
        <v>416</v>
      </c>
      <c r="B5" s="3" t="str" cm="1">
        <f t="array" ref="B5">_xlfn.TEXTJOIN(", ", TRUE, IF(Analysis!$A$2:$A$82=A5, Analysis!$H$2:$H$82, ""))</f>
        <v>P, P, P, P</v>
      </c>
      <c r="C5" s="3" t="str" cm="1">
        <f t="array" ref="C5">_xlfn.TEXTJOIN(", ", TRUE, IF(Analysis!$A$2:$A$82=A5, Analysis!$I$2:$I$82, ""))</f>
        <v>DNA case &amp; RNA suspect, DNA case &amp; RNA suspect, DNA case &amp; RNA suspect, DNA case &amp; RNA suspect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P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>28,5 +/- 0,1</v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37 +/- 0,6</v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22,2 +/- 0,1</v>
      </c>
    </row>
    <row r="6" spans="1:11">
      <c r="A6" s="3">
        <f>Report!A20</f>
        <v>417</v>
      </c>
      <c r="B6" s="3" t="str" cm="1">
        <f t="array" ref="B6">_xlfn.TEXTJOIN(", ", TRUE, IF(Analysis!$A$2:$A$82=A6, Analysis!$H$2:$H$82, ""))</f>
        <v>F, F, F, F</v>
      </c>
      <c r="C6" s="3" t="str" cm="1">
        <f t="array" ref="C6">_xlfn.TEXTJOIN(", ", TRUE, IF(Analysis!$A$2:$A$82=A6, Analysis!$I$2:$I$82, ""))</f>
        <v>low human DNA, low human DNA, low human DNA, low human DNA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F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28,3 +/- 0,2</v>
      </c>
    </row>
    <row r="7" spans="1:11">
      <c r="A7" s="3">
        <f>Report!A21</f>
        <v>418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23,4 +/- 0,1</v>
      </c>
      <c r="K7" s="4"/>
    </row>
    <row r="8" spans="1:11">
      <c r="A8" s="3">
        <f>Report!A22</f>
        <v>419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26,1 +/- 0,1</v>
      </c>
    </row>
    <row r="9" spans="1:11">
      <c r="A9" s="3">
        <f>Report!A23</f>
        <v>420</v>
      </c>
      <c r="B9" s="3" t="str" cm="1">
        <f t="array" ref="B9">_xlfn.TEXTJOIN(", ", TRUE, IF(Analysis!$A$2:$A$82=A9, Analysis!$H$2:$H$82, ""))</f>
        <v>P, N, N, N</v>
      </c>
      <c r="C9" s="3" t="str" cm="1">
        <f t="array" ref="C9">_xlfn.TEXTJOIN(", ", TRUE, IF(Analysis!$A$2:$A$82=A9, Analysis!$I$2:$I$82, ""))</f>
        <v>DNA case,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>34,3</v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22,9 +/- 0</v>
      </c>
    </row>
    <row r="10" spans="1:11">
      <c r="A10" s="3">
        <f>Report!A24</f>
        <v>421</v>
      </c>
      <c r="B10" s="3" t="str" cm="1">
        <f t="array" ref="B10">_xlfn.TEXTJOIN(", ", TRUE, IF(Analysis!$A$2:$A$82=A10, Analysis!$H$2:$H$82, ""))</f>
        <v>P, N, N, N</v>
      </c>
      <c r="C10" s="3" t="str" cm="1">
        <f t="array" ref="C10">_xlfn.TEXTJOIN(", ", TRUE, IF(Analysis!$A$2:$A$82=A10, Analysis!$I$2:$I$82, ""))</f>
        <v>DNA case,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34,3</v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23,8 +/- 0</v>
      </c>
    </row>
    <row r="11" spans="1:11">
      <c r="A11" s="3">
        <f>Report!A25</f>
        <v>422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+/- 0,8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20,6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34,6 +/- 0,6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F, OK, OK</v>
      </c>
      <c r="C13" s="3" t="str" cm="1">
        <f t="array" ref="C13">_xlfn.TEXTJOIN(", ", TRUE, IF(Analysis!$A$2:$A$82=A13, Analysis!$I$2:$I$82, ""))</f>
        <v>clean, RNAseP,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38,2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2025-11-07T15:01:21+00:00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C9A1B3-C8F0-426E-BE13-9662662DF7EB}"/>
</file>

<file path=customXml/itemProps2.xml><?xml version="1.0" encoding="utf-8"?>
<ds:datastoreItem xmlns:ds="http://schemas.openxmlformats.org/officeDocument/2006/customXml" ds:itemID="{3F6FF577-EA9B-4BFB-B8D7-38F1D9B0CE38}"/>
</file>

<file path=customXml/itemProps3.xml><?xml version="1.0" encoding="utf-8"?>
<ds:datastoreItem xmlns:ds="http://schemas.openxmlformats.org/officeDocument/2006/customXml" ds:itemID="{4A96DEEC-20CF-4489-88E8-419567345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2025-11-09T09:08:26Z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