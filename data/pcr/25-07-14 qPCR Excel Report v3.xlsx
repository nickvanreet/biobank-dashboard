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7E4E9CFB-FFF9-456A-A170-6C02AFF3CF69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2165" yWindow="0" windowWidth="21600" windowHeight="1063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<sst xmlns="http://schemas.openxmlformats.org/spreadsheetml/2006/main" count="430" uniqueCount="75">
  <si>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</si>
  <si>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</si>
  <si>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</si>
  <si>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</si>
  <si>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</si>
  <si>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</si>
  <si>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</si>
  <si>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</si>
  <si>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</si>
  <si>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</si>
  <si>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</si>
  <si>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</si>
  <si>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</si>
  <si>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</si>
  <si>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</si>
  <si>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</si>
  <si>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</si>
  <si>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</si>
  <si>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</si>
  <si>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</si>
  <si>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</si>
  <si>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</si>
  <si>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</si>
  <si>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</si>
  <si>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</si>
  <si>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</si>
  <si>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</si>
  <si>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</si>
  <si>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</si>
  <si>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</si>
  <si>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</si>
  <si>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</si>
  <si>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</si>
  <si>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</si>
  <si>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</si>
  <si>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</si>
  <si>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</si>
  <si>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</si>
  <si>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</si>
  <si>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</si>
  <si>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</si>
  <si>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</si>
  <si>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</si>
  <si>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</si>
  <si>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</si>
  <si>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2025-07-14 13.30.18 Run.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</si>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</sst>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91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91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91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91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92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92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92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92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93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93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93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93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94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94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94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94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95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95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95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95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96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96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96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96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97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97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97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97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98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98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98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98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99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99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99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99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100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100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100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100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24.2458094116759</v>
      </c>
      <c r="D42" s="8">
        <v>0.82208145828695001</v>
      </c>
      <c r="E42" s="8">
        <v>0.99978999999999996</v>
      </c>
      <c r="F42" s="8"/>
    </row>
    <row r="43" spans="1:6">
      <c r="A43" s="8">
        <v>42</v>
      </c>
      <c r="B43" s="8" t="s">
        <v>7</v>
      </c>
      <c r="C43" s="8">
        <v>23.499130527325299</v>
      </c>
      <c r="D43" s="8">
        <v>0.81896916408559906</v>
      </c>
      <c r="E43" s="8">
        <v>0.99992999999999999</v>
      </c>
      <c r="F43" s="8"/>
    </row>
    <row r="44" spans="1:6">
      <c r="A44" s="8">
        <v>43</v>
      </c>
      <c r="B44" s="8" t="s">
        <v>7</v>
      </c>
      <c r="C44" s="8">
        <v>24.275310081394299</v>
      </c>
      <c r="D44" s="8">
        <v>0.82782564425948102</v>
      </c>
      <c r="E44" s="8">
        <v>0.99946000000000002</v>
      </c>
      <c r="F44" s="8"/>
    </row>
    <row r="45" spans="1:6">
      <c r="A45" s="8">
        <v>44</v>
      </c>
      <c r="B45" s="8" t="s">
        <v>7</v>
      </c>
      <c r="C45" s="8">
        <v>23.091753503576399</v>
      </c>
      <c r="D45" s="8">
        <v>0.90559990262878298</v>
      </c>
      <c r="E45" s="8">
        <v>0.99987000000000004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topLeftCell="A16"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91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91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91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91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92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92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92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92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93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93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93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93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94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94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94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94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95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95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95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95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96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96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96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96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97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97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97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97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98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98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98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98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99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99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99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99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100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100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100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100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21.546717399844599</v>
      </c>
      <c r="D42" s="9">
        <v>0.83835667710099904</v>
      </c>
      <c r="E42" s="9">
        <v>0.99855000000000005</v>
      </c>
      <c r="F42" s="9"/>
    </row>
    <row r="43" spans="1:6">
      <c r="A43" s="9">
        <v>42</v>
      </c>
      <c r="B43" s="9" t="s">
        <v>7</v>
      </c>
      <c r="C43" s="9">
        <v>21.142910831179101</v>
      </c>
      <c r="D43" s="9">
        <v>0.81465120687574799</v>
      </c>
      <c r="E43" s="9">
        <v>0.99812000000000001</v>
      </c>
      <c r="F43" s="9"/>
    </row>
    <row r="44" spans="1:6">
      <c r="A44" s="9">
        <v>43</v>
      </c>
      <c r="B44" s="9" t="s">
        <v>7</v>
      </c>
      <c r="C44" s="9">
        <v>21.2188410942478</v>
      </c>
      <c r="D44" s="9">
        <v>0.823533074625446</v>
      </c>
      <c r="E44" s="9">
        <v>0.99846000000000001</v>
      </c>
      <c r="F44" s="9"/>
    </row>
    <row r="45" spans="1:6">
      <c r="A45" s="9">
        <v>44</v>
      </c>
      <c r="B45" s="9" t="s">
        <v>7</v>
      </c>
      <c r="C45" s="9">
        <v>21.116129342343299</v>
      </c>
      <c r="D45" s="9">
        <v>0.81737854125218401</v>
      </c>
      <c r="E45" s="9">
        <v>0.99805999999999995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topLeftCell="A19"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91</v>
      </c>
      <c r="C2" s="10">
        <v>21.415878869152099</v>
      </c>
      <c r="D2" s="10">
        <v>1.00080114733977</v>
      </c>
      <c r="E2" s="10">
        <v>0.99953999999999998</v>
      </c>
      <c r="F2" s="10"/>
    </row>
    <row r="3" spans="1:6">
      <c r="A3" s="10">
        <v>2</v>
      </c>
      <c r="B3" s="10">
        <v>91</v>
      </c>
      <c r="C3" s="10">
        <v>21.289210966341699</v>
      </c>
      <c r="D3" s="10">
        <v>0.99366341247425305</v>
      </c>
      <c r="E3" s="10">
        <v>0.99895999999999996</v>
      </c>
      <c r="F3" s="10"/>
    </row>
    <row r="4" spans="1:6">
      <c r="A4" s="10">
        <v>3</v>
      </c>
      <c r="B4" s="10">
        <v>91</v>
      </c>
      <c r="C4" s="10">
        <v>21.2862062386201</v>
      </c>
      <c r="D4" s="10">
        <v>0.94117728395248601</v>
      </c>
      <c r="E4" s="10">
        <v>0.99958999999999998</v>
      </c>
      <c r="F4" s="10"/>
    </row>
    <row r="5" spans="1:6">
      <c r="A5" s="10">
        <v>4</v>
      </c>
      <c r="B5" s="10">
        <v>91</v>
      </c>
      <c r="C5" s="10">
        <v>21.297727316449301</v>
      </c>
      <c r="D5" s="10">
        <v>0.73595284844454001</v>
      </c>
      <c r="E5" s="10">
        <v>0.99997999999999998</v>
      </c>
      <c r="F5" s="10"/>
    </row>
    <row r="6" spans="1:6">
      <c r="A6" s="10">
        <v>5</v>
      </c>
      <c r="B6" s="10">
        <v>92</v>
      </c>
      <c r="C6" s="10">
        <v>21.913429180776301</v>
      </c>
      <c r="D6" s="10">
        <v>1.0469836000823001</v>
      </c>
      <c r="E6" s="10">
        <v>0.99858999999999998</v>
      </c>
      <c r="F6" s="10"/>
    </row>
    <row r="7" spans="1:6">
      <c r="A7" s="10">
        <v>6</v>
      </c>
      <c r="B7" s="10">
        <v>92</v>
      </c>
      <c r="C7" s="10">
        <v>21.8437034591322</v>
      </c>
      <c r="D7" s="10">
        <v>1.03232865334114</v>
      </c>
      <c r="E7" s="10">
        <v>0.99870999999999999</v>
      </c>
      <c r="F7" s="10"/>
    </row>
    <row r="8" spans="1:6">
      <c r="A8" s="10">
        <v>7</v>
      </c>
      <c r="B8" s="10">
        <v>92</v>
      </c>
      <c r="C8" s="10">
        <v>21.8295167064271</v>
      </c>
      <c r="D8" s="10">
        <v>1.0283637165983801</v>
      </c>
      <c r="E8" s="10">
        <v>0.99860000000000004</v>
      </c>
      <c r="F8" s="10"/>
    </row>
    <row r="9" spans="1:6">
      <c r="A9" s="10">
        <v>8</v>
      </c>
      <c r="B9" s="10">
        <v>92</v>
      </c>
      <c r="C9" s="10">
        <v>21.623587237400301</v>
      </c>
      <c r="D9" s="10">
        <v>1.00033598890929</v>
      </c>
      <c r="E9" s="10">
        <v>0.99912999999999996</v>
      </c>
      <c r="F9" s="10"/>
    </row>
    <row r="10" spans="1:6">
      <c r="A10" s="10">
        <v>9</v>
      </c>
      <c r="B10" s="10">
        <v>93</v>
      </c>
      <c r="C10" s="10">
        <v>23.955515647108999</v>
      </c>
      <c r="D10" s="10">
        <v>1.02089229286775</v>
      </c>
      <c r="E10" s="10">
        <v>0.99887000000000004</v>
      </c>
      <c r="F10" s="10"/>
    </row>
    <row r="11" spans="1:6">
      <c r="A11" s="10">
        <v>10</v>
      </c>
      <c r="B11" s="10">
        <v>93</v>
      </c>
      <c r="C11" s="10">
        <v>23.987776690034099</v>
      </c>
      <c r="D11" s="10">
        <v>1.0245457496063</v>
      </c>
      <c r="E11" s="10">
        <v>0.99870000000000003</v>
      </c>
      <c r="F11" s="10"/>
    </row>
    <row r="12" spans="1:6">
      <c r="A12" s="10">
        <v>11</v>
      </c>
      <c r="B12" s="10">
        <v>93</v>
      </c>
      <c r="C12" s="10">
        <v>23.908809951466999</v>
      </c>
      <c r="D12" s="10">
        <v>1.0181231484086299</v>
      </c>
      <c r="E12" s="10">
        <v>0.99888999999999994</v>
      </c>
      <c r="F12" s="10"/>
    </row>
    <row r="13" spans="1:6">
      <c r="A13" s="10">
        <v>12</v>
      </c>
      <c r="B13" s="10">
        <v>93</v>
      </c>
      <c r="C13" s="10">
        <v>35.2580932489237</v>
      </c>
      <c r="D13" s="10">
        <v>0.85398376580201296</v>
      </c>
      <c r="E13" s="10">
        <v>0.99917999999999996</v>
      </c>
      <c r="F13" s="10"/>
    </row>
    <row r="14" spans="1:6">
      <c r="A14" s="10">
        <v>13</v>
      </c>
      <c r="B14" s="10">
        <v>94</v>
      </c>
      <c r="C14" s="10">
        <v>20.263121263663699</v>
      </c>
      <c r="D14" s="10">
        <v>1.0106872795308799</v>
      </c>
      <c r="E14" s="10">
        <v>0.99909999999999999</v>
      </c>
      <c r="F14" s="10"/>
    </row>
    <row r="15" spans="1:6">
      <c r="A15" s="10">
        <v>14</v>
      </c>
      <c r="B15" s="10">
        <v>94</v>
      </c>
      <c r="C15" s="10">
        <v>20.228238604070199</v>
      </c>
      <c r="D15" s="10">
        <v>1.01064431560082</v>
      </c>
      <c r="E15" s="10">
        <v>0.999</v>
      </c>
      <c r="F15" s="10"/>
    </row>
    <row r="16" spans="1:6">
      <c r="A16" s="10">
        <v>15</v>
      </c>
      <c r="B16" s="10">
        <v>94</v>
      </c>
      <c r="C16" s="10">
        <v>20.1821370314</v>
      </c>
      <c r="D16" s="10">
        <v>0.98612221459810701</v>
      </c>
      <c r="E16" s="10">
        <v>0.99914999999999998</v>
      </c>
      <c r="F16" s="10"/>
    </row>
    <row r="17" spans="1:6">
      <c r="A17" s="10">
        <v>16</v>
      </c>
      <c r="B17" s="10">
        <v>94</v>
      </c>
      <c r="C17" s="10">
        <v>20.249427257416102</v>
      </c>
      <c r="D17" s="10">
        <v>1.0185183197933501</v>
      </c>
      <c r="E17" s="10">
        <v>0.99904000000000004</v>
      </c>
      <c r="F17" s="10"/>
    </row>
    <row r="18" spans="1:6">
      <c r="A18" s="10">
        <v>17</v>
      </c>
      <c r="B18" s="10">
        <v>95</v>
      </c>
      <c r="C18" s="10">
        <v>-1</v>
      </c>
      <c r="D18" s="10">
        <v>-1</v>
      </c>
      <c r="E18" s="10"/>
      <c r="F18" s="10" t="s">
        <v>6</v>
      </c>
    </row>
    <row r="19" spans="1:6">
      <c r="A19" s="10">
        <v>18</v>
      </c>
      <c r="B19" s="10">
        <v>95</v>
      </c>
      <c r="C19" s="10">
        <v>20.213609125035401</v>
      </c>
      <c r="D19" s="10">
        <v>0.95532183188548703</v>
      </c>
      <c r="E19" s="10">
        <v>0.99933000000000005</v>
      </c>
      <c r="F19" s="10"/>
    </row>
    <row r="20" spans="1:6">
      <c r="A20" s="10">
        <v>19</v>
      </c>
      <c r="B20" s="10">
        <v>95</v>
      </c>
      <c r="C20" s="10">
        <v>20.1227651484426</v>
      </c>
      <c r="D20" s="10">
        <v>0.93654363691051801</v>
      </c>
      <c r="E20" s="10">
        <v>0.99941000000000002</v>
      </c>
      <c r="F20" s="10"/>
    </row>
    <row r="21" spans="1:6">
      <c r="A21" s="10">
        <v>20</v>
      </c>
      <c r="B21" s="10">
        <v>95</v>
      </c>
      <c r="C21" s="10">
        <v>20.026613524377201</v>
      </c>
      <c r="D21" s="10">
        <v>1.0138732223904601</v>
      </c>
      <c r="E21" s="10">
        <v>0.99890000000000001</v>
      </c>
      <c r="F21" s="10"/>
    </row>
    <row r="22" spans="1:6">
      <c r="A22" s="10">
        <v>21</v>
      </c>
      <c r="B22" s="10">
        <v>96</v>
      </c>
      <c r="C22" s="10">
        <v>22.137350764428302</v>
      </c>
      <c r="D22" s="10">
        <v>0.99969869463253203</v>
      </c>
      <c r="E22" s="10">
        <v>0.99899000000000004</v>
      </c>
      <c r="F22" s="10"/>
    </row>
    <row r="23" spans="1:6">
      <c r="A23" s="10">
        <v>22</v>
      </c>
      <c r="B23" s="10">
        <v>96</v>
      </c>
      <c r="C23" s="10">
        <v>21.844361297120798</v>
      </c>
      <c r="D23" s="10">
        <v>1.0068632421720001</v>
      </c>
      <c r="E23" s="10">
        <v>0.99890999999999996</v>
      </c>
      <c r="F23" s="10"/>
    </row>
    <row r="24" spans="1:6">
      <c r="A24" s="10">
        <v>23</v>
      </c>
      <c r="B24" s="10">
        <v>96</v>
      </c>
      <c r="C24" s="10">
        <v>21.9635546666204</v>
      </c>
      <c r="D24" s="10">
        <v>1.00236639803803</v>
      </c>
      <c r="E24" s="10">
        <v>0.99885999999999997</v>
      </c>
      <c r="F24" s="10"/>
    </row>
    <row r="25" spans="1:6">
      <c r="A25" s="10">
        <v>24</v>
      </c>
      <c r="B25" s="10">
        <v>96</v>
      </c>
      <c r="C25" s="10">
        <v>21.980345871481202</v>
      </c>
      <c r="D25" s="10">
        <v>1.04135412143606</v>
      </c>
      <c r="E25" s="10">
        <v>0.99860000000000004</v>
      </c>
      <c r="F25" s="10"/>
    </row>
    <row r="26" spans="1:6">
      <c r="A26" s="10">
        <v>25</v>
      </c>
      <c r="B26" s="10">
        <v>97</v>
      </c>
      <c r="C26" s="10">
        <v>19.2507827613288</v>
      </c>
      <c r="D26" s="10">
        <v>0.89987040048297695</v>
      </c>
      <c r="E26" s="10">
        <v>0.99951999999999996</v>
      </c>
      <c r="F26" s="10"/>
    </row>
    <row r="27" spans="1:6">
      <c r="A27" s="10">
        <v>26</v>
      </c>
      <c r="B27" s="10">
        <v>97</v>
      </c>
      <c r="C27" s="10">
        <v>19.400751132298598</v>
      </c>
      <c r="D27" s="10">
        <v>0.92818189448793897</v>
      </c>
      <c r="E27" s="10">
        <v>0.99968999999999997</v>
      </c>
      <c r="F27" s="10"/>
    </row>
    <row r="28" spans="1:6">
      <c r="A28" s="10">
        <v>27</v>
      </c>
      <c r="B28" s="10">
        <v>97</v>
      </c>
      <c r="C28" s="10">
        <v>19.289670645666</v>
      </c>
      <c r="D28" s="10">
        <v>0.89231746472395901</v>
      </c>
      <c r="E28" s="10">
        <v>0.99975000000000003</v>
      </c>
      <c r="F28" s="10"/>
    </row>
    <row r="29" spans="1:6">
      <c r="A29" s="10">
        <v>28</v>
      </c>
      <c r="B29" s="10">
        <v>97</v>
      </c>
      <c r="C29" s="10">
        <v>19.2877422358691</v>
      </c>
      <c r="D29" s="10">
        <v>0.97683383297472703</v>
      </c>
      <c r="E29" s="10">
        <v>0.99936999999999998</v>
      </c>
      <c r="F29" s="10"/>
    </row>
    <row r="30" spans="1:6">
      <c r="A30" s="10">
        <v>29</v>
      </c>
      <c r="B30" s="10">
        <v>98</v>
      </c>
      <c r="C30" s="10">
        <v>35.081737789504601</v>
      </c>
      <c r="D30" s="10">
        <v>0.84278326129001202</v>
      </c>
      <c r="E30" s="10">
        <v>0.99922999999999995</v>
      </c>
      <c r="F30" s="10"/>
    </row>
    <row r="31" spans="1:6">
      <c r="A31" s="10">
        <v>30</v>
      </c>
      <c r="B31" s="10">
        <v>98</v>
      </c>
      <c r="C31" s="10">
        <v>-1</v>
      </c>
      <c r="D31" s="10">
        <v>-1</v>
      </c>
      <c r="E31" s="10"/>
      <c r="F31" s="10" t="s">
        <v>6</v>
      </c>
    </row>
    <row r="32" spans="1:6">
      <c r="A32" s="10">
        <v>31</v>
      </c>
      <c r="B32" s="10">
        <v>98</v>
      </c>
      <c r="C32" s="10">
        <v>-1</v>
      </c>
      <c r="D32" s="10">
        <v>-1</v>
      </c>
      <c r="E32" s="10"/>
      <c r="F32" s="10" t="s">
        <v>6</v>
      </c>
    </row>
    <row r="33" spans="1:6">
      <c r="A33" s="10">
        <v>32</v>
      </c>
      <c r="B33" s="10">
        <v>98</v>
      </c>
      <c r="C33" s="10">
        <v>-1</v>
      </c>
      <c r="D33" s="10">
        <v>-1</v>
      </c>
      <c r="E33" s="10"/>
      <c r="F33" s="10" t="s">
        <v>6</v>
      </c>
    </row>
    <row r="34" spans="1:6">
      <c r="A34" s="10">
        <v>33</v>
      </c>
      <c r="B34" s="10">
        <v>99</v>
      </c>
      <c r="C34" s="10">
        <v>-1</v>
      </c>
      <c r="D34" s="10">
        <v>-1</v>
      </c>
      <c r="E34" s="10"/>
      <c r="F34" s="10" t="s">
        <v>6</v>
      </c>
    </row>
    <row r="35" spans="1:6">
      <c r="A35" s="10">
        <v>34</v>
      </c>
      <c r="B35" s="10">
        <v>99</v>
      </c>
      <c r="C35" s="10">
        <v>-1</v>
      </c>
      <c r="D35" s="10">
        <v>-1</v>
      </c>
      <c r="E35" s="10"/>
      <c r="F35" s="10" t="s">
        <v>6</v>
      </c>
    </row>
    <row r="36" spans="1:6">
      <c r="A36" s="10">
        <v>35</v>
      </c>
      <c r="B36" s="10">
        <v>99</v>
      </c>
      <c r="C36" s="10">
        <v>36.0994335145515</v>
      </c>
      <c r="D36" s="10">
        <v>0.64111397035497797</v>
      </c>
      <c r="E36" s="10">
        <v>0.99131000000000002</v>
      </c>
      <c r="F36" s="10"/>
    </row>
    <row r="37" spans="1:6">
      <c r="A37" s="10">
        <v>36</v>
      </c>
      <c r="B37" s="10">
        <v>99</v>
      </c>
      <c r="C37" s="10">
        <v>36.964775709019598</v>
      </c>
      <c r="D37" s="10">
        <v>0.468810179714724</v>
      </c>
      <c r="E37" s="10">
        <v>0.97126999999999997</v>
      </c>
      <c r="F37" s="10"/>
    </row>
    <row r="38" spans="1:6">
      <c r="A38" s="10">
        <v>37</v>
      </c>
      <c r="B38" s="10">
        <v>100</v>
      </c>
      <c r="C38" s="10">
        <v>-1</v>
      </c>
      <c r="D38" s="10">
        <v>-1</v>
      </c>
      <c r="E38" s="10"/>
      <c r="F38" s="10" t="s">
        <v>6</v>
      </c>
    </row>
    <row r="39" spans="1:6">
      <c r="A39" s="10">
        <v>38</v>
      </c>
      <c r="B39" s="10">
        <v>100</v>
      </c>
      <c r="C39" s="10">
        <v>-1</v>
      </c>
      <c r="D39" s="10">
        <v>-1</v>
      </c>
      <c r="E39" s="10"/>
      <c r="F39" s="10" t="s">
        <v>6</v>
      </c>
    </row>
    <row r="40" spans="1:6">
      <c r="A40" s="10">
        <v>39</v>
      </c>
      <c r="B40" s="10">
        <v>100</v>
      </c>
      <c r="C40" s="10">
        <v>-1</v>
      </c>
      <c r="D40" s="10">
        <v>-1</v>
      </c>
      <c r="E40" s="10"/>
      <c r="F40" s="10" t="s">
        <v>6</v>
      </c>
    </row>
    <row r="41" spans="1:6">
      <c r="A41" s="10">
        <v>40</v>
      </c>
      <c r="B41" s="10">
        <v>100</v>
      </c>
      <c r="C41" s="10">
        <v>-1</v>
      </c>
      <c r="D41" s="10">
        <v>-1</v>
      </c>
      <c r="E41" s="10"/>
      <c r="F41" s="10" t="s">
        <v>6</v>
      </c>
    </row>
    <row r="42" spans="1:6">
      <c r="A42" s="10">
        <v>41</v>
      </c>
      <c r="B42" s="10" t="s">
        <v>7</v>
      </c>
      <c r="C42" s="10">
        <v>35.258376450636099</v>
      </c>
      <c r="D42" s="10">
        <v>0.611528375108219</v>
      </c>
      <c r="E42" s="10">
        <v>0.99953000000000003</v>
      </c>
      <c r="F42" s="10"/>
    </row>
    <row r="43" spans="1:6">
      <c r="A43" s="10">
        <v>42</v>
      </c>
      <c r="B43" s="10" t="s">
        <v>7</v>
      </c>
      <c r="C43" s="10">
        <v>33.980559579663399</v>
      </c>
      <c r="D43" s="10">
        <v>0.659657623209014</v>
      </c>
      <c r="E43" s="10">
        <v>0.99968000000000001</v>
      </c>
      <c r="F43" s="10"/>
    </row>
    <row r="44" spans="1:6">
      <c r="A44" s="10">
        <v>43</v>
      </c>
      <c r="B44" s="10" t="s">
        <v>7</v>
      </c>
      <c r="C44" s="10">
        <v>34.019499125457401</v>
      </c>
      <c r="D44" s="10">
        <v>0.67421327747972504</v>
      </c>
      <c r="E44" s="10">
        <v>0.99983999999999995</v>
      </c>
      <c r="F44" s="10"/>
    </row>
    <row r="45" spans="1:6">
      <c r="A45" s="10">
        <v>44</v>
      </c>
      <c r="B45" s="10" t="s">
        <v>7</v>
      </c>
      <c r="C45" s="10">
        <v>35.864115286593602</v>
      </c>
      <c r="D45" s="10">
        <v>0.53701629370005199</v>
      </c>
      <c r="E45" s="10">
        <v>0.99883</v>
      </c>
      <c r="F45" s="10"/>
    </row>
    <row r="46" spans="1:6">
      <c r="A46" s="10">
        <v>45</v>
      </c>
      <c r="B46" s="10" t="s">
        <v>8</v>
      </c>
      <c r="C46" s="10">
        <v>36.108151918236103</v>
      </c>
      <c r="D46" s="10">
        <v>0.73862800790878802</v>
      </c>
      <c r="E46" s="10">
        <v>0.99592999999999998</v>
      </c>
      <c r="F46" s="10"/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91</v>
      </c>
      <c r="B2">
        <f>IF('177T'!C2="", "", '177T'!C2)</f>
        <v>-1</v>
      </c>
      <c r="C2">
        <f>IF('18S2'!C2="", "", '18S2'!C2)</f>
        <v>-1</v>
      </c>
      <c r="D2">
        <f>IF(RNAseP!C2="", "", RNAseP!C2)</f>
        <v>21.415878869152099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91</v>
      </c>
      <c r="B3">
        <f>IF('177T'!C3="", "", '177T'!C3)</f>
        <v>-1</v>
      </c>
      <c r="C3">
        <f>IF('18S2'!C3="", "", '18S2'!C3)</f>
        <v>-1</v>
      </c>
      <c r="D3">
        <f>IF(RNAseP!C3="", "", RNAseP!C3)</f>
        <v>21.289210966341699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91</v>
      </c>
      <c r="B4">
        <f>IF('177T'!C4="", "", '177T'!C4)</f>
        <v>-1</v>
      </c>
      <c r="C4">
        <f>IF('18S2'!C4="", "", '18S2'!C4)</f>
        <v>-1</v>
      </c>
      <c r="D4">
        <f>IF(RNAseP!C4="", "", RNAseP!C4)</f>
        <v>21.2862062386201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91</v>
      </c>
      <c r="B5">
        <f>IF('177T'!C5="", "", '177T'!C5)</f>
        <v>-1</v>
      </c>
      <c r="C5">
        <f>IF('18S2'!C5="", "", '18S2'!C5)</f>
        <v>-1</v>
      </c>
      <c r="D5">
        <f>IF(RNAseP!C5="", "", RNAseP!C5)</f>
        <v>21.297727316449301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92</v>
      </c>
      <c r="B6">
        <f>IF('177T'!C6="", "", '177T'!C6)</f>
        <v>-1</v>
      </c>
      <c r="C6">
        <f>IF('18S2'!C6="", "", '18S2'!C6)</f>
        <v>-1</v>
      </c>
      <c r="D6">
        <f>IF(RNAseP!C6="", "", RNAseP!C6)</f>
        <v>21.913429180776301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92</v>
      </c>
      <c r="B7">
        <f>IF('177T'!C7="", "", '177T'!C7)</f>
        <v>-1</v>
      </c>
      <c r="C7">
        <f>IF('18S2'!C7="", "", '18S2'!C7)</f>
        <v>-1</v>
      </c>
      <c r="D7">
        <f>IF(RNAseP!C7="", "", RNAseP!C7)</f>
        <v>21.8437034591322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92</v>
      </c>
      <c r="B8">
        <f>IF('177T'!C8="", "", '177T'!C8)</f>
        <v>-1</v>
      </c>
      <c r="C8">
        <f>IF('18S2'!C8="", "", '18S2'!C8)</f>
        <v>-1</v>
      </c>
      <c r="D8">
        <f>IF(RNAseP!C8="", "", RNAseP!C8)</f>
        <v>21.8295167064271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92</v>
      </c>
      <c r="B9">
        <f>IF('177T'!C9="", "", '177T'!C9)</f>
        <v>-1</v>
      </c>
      <c r="C9">
        <f>IF('18S2'!C9="", "", '18S2'!C9)</f>
        <v>-1</v>
      </c>
      <c r="D9">
        <f>IF(RNAseP!C9="", "", RNAseP!C9)</f>
        <v>21.623587237400301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93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23.955515647108999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93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23.987776690034099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93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23.908809951466999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93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35.2580932489237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0</v>
      </c>
      <c r="H13" s="3" t="str" cm="1">
        <f t="array" ref="H13">INDEX(Decision!$D$1:$D$28, MATCH(E13&amp;F13&amp;G13, Decision!$A$1:$A$28&amp;Decision!$B$1:$B$28&amp;Decision!$C$1:$C$28, 0))</f>
        <v>F</v>
      </c>
      <c r="I13" t="str" cm="1">
        <f t="array" ref="I13">INDEX(Decision!$E$1:$E$28, MATCH(E13&amp;F13&amp;G13, Decision!$A$1:$A$28&amp;Decision!$B$1:$B$28&amp;Decision!$C$1:$C$28, 0))</f>
        <v>low human DNA</v>
      </c>
    </row>
    <row r="14" spans="1:9">
      <c r="A14">
        <f>IF(AND('177T'!B14 = '18S2'!B14, '177T'!B14 = RNAseP!B14, '177T'!B14 &lt;&gt; ""), '177T'!B14, IF('177T'!B14 = "", "", "Mismatch"))</f>
        <v>94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20.263121263663699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94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20.228238604070199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94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20.1821370314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94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20.249427257416102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95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-1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-1</v>
      </c>
      <c r="H18" s="3" t="str" cm="1">
        <f t="array" ref="H18">INDEX(Decision!$D$1:$D$28, MATCH(E18&amp;F18&amp;G18, Decision!$A$1:$A$28&amp;Decision!$B$1:$B$28&amp;Decision!$C$1:$C$28, 0))</f>
        <v>F</v>
      </c>
      <c r="I18" t="str" cm="1">
        <f t="array" ref="I18">INDEX(Decision!$E$1:$E$28, MATCH(E18&amp;F18&amp;G18, Decision!$A$1:$A$28&amp;Decision!$B$1:$B$28&amp;Decision!$C$1:$C$28, 0))</f>
        <v>extraction fail</v>
      </c>
    </row>
    <row r="19" spans="1:9">
      <c r="A19">
        <f>IF(AND('177T'!B19 = '18S2'!B19, '177T'!B19 = RNAseP!B19, '177T'!B19 &lt;&gt; ""), '177T'!B19, IF('177T'!B19 = "", "", "Mismatch"))</f>
        <v>95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20.213609125035401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95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20.1227651484426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95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20.026613524377201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96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22.137350764428302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96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21.844361297120798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96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21.9635546666204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96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21.980345871481202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97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19.2507827613288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97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19.400751132298598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97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19.289670645666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97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19.2877422358691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98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35.081737789504601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0</v>
      </c>
      <c r="H30" s="3" t="str" cm="1">
        <f t="array" ref="H30">INDEX(Decision!$D$1:$D$28, MATCH(E30&amp;F30&amp;G30, Decision!$A$1:$A$28&amp;Decision!$B$1:$B$28&amp;Decision!$C$1:$C$28, 0))</f>
        <v>F</v>
      </c>
      <c r="I30" t="str" cm="1">
        <f t="array" ref="I30">INDEX(Decision!$E$1:$E$28, MATCH(E30&amp;F30&amp;G30, Decision!$A$1:$A$28&amp;Decision!$B$1:$B$28&amp;Decision!$C$1:$C$28, 0))</f>
        <v>low human DNA</v>
      </c>
    </row>
    <row r="31" spans="1:9">
      <c r="A31">
        <f>IF(AND('177T'!B31 = '18S2'!B31, '177T'!B31 = RNAseP!B31, '177T'!B31 &lt;&gt; ""), '177T'!B31, IF('177T'!B31 = "", "", "Mismatch"))</f>
        <v>98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-1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-1</v>
      </c>
      <c r="H31" s="3" t="str" cm="1">
        <f t="array" ref="H31">INDEX(Decision!$D$1:$D$28, MATCH(E31&amp;F31&amp;G31, Decision!$A$1:$A$28&amp;Decision!$B$1:$B$28&amp;Decision!$C$1:$C$28, 0))</f>
        <v>F</v>
      </c>
      <c r="I31" t="str" cm="1">
        <f t="array" ref="I31">INDEX(Decision!$E$1:$E$28, MATCH(E31&amp;F31&amp;G31, Decision!$A$1:$A$28&amp;Decision!$B$1:$B$28&amp;Decision!$C$1:$C$28, 0))</f>
        <v>extraction fail</v>
      </c>
    </row>
    <row r="32" spans="1:9">
      <c r="A32">
        <f>IF(AND('177T'!B32 = '18S2'!B32, '177T'!B32 = RNAseP!B32, '177T'!B32 &lt;&gt; ""), '177T'!B32, IF('177T'!B32 = "", "", "Mismatch"))</f>
        <v>98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-1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-1</v>
      </c>
      <c r="H32" s="3" t="str" cm="1">
        <f t="array" ref="H32">INDEX(Decision!$D$1:$D$28, MATCH(E32&amp;F32&amp;G32, Decision!$A$1:$A$28&amp;Decision!$B$1:$B$28&amp;Decision!$C$1:$C$28, 0))</f>
        <v>F</v>
      </c>
      <c r="I32" t="str" cm="1">
        <f t="array" ref="I32">INDEX(Decision!$E$1:$E$28, MATCH(E32&amp;F32&amp;G32, Decision!$A$1:$A$28&amp;Decision!$B$1:$B$28&amp;Decision!$C$1:$C$28, 0))</f>
        <v>extraction fail</v>
      </c>
    </row>
    <row r="33" spans="1:9">
      <c r="A33">
        <f>IF(AND('177T'!B33 = '18S2'!B33, '177T'!B33 = RNAseP!B33, '177T'!B33 &lt;&gt; ""), '177T'!B33, IF('177T'!B33 = "", "", "Mismatch"))</f>
        <v>98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-1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-1</v>
      </c>
      <c r="H33" s="3" t="str" cm="1">
        <f t="array" ref="H33">INDEX(Decision!$D$1:$D$28, MATCH(E33&amp;F33&amp;G33, Decision!$A$1:$A$28&amp;Decision!$B$1:$B$28&amp;Decision!$C$1:$C$28, 0))</f>
        <v>F</v>
      </c>
      <c r="I33" t="str" cm="1">
        <f t="array" ref="I33">INDEX(Decision!$E$1:$E$28, MATCH(E33&amp;F33&amp;G33, Decision!$A$1:$A$28&amp;Decision!$B$1:$B$28&amp;Decision!$C$1:$C$28, 0))</f>
        <v>extraction fail</v>
      </c>
    </row>
    <row r="34" spans="1:9">
      <c r="A34">
        <f>IF(AND('177T'!B34 = '18S2'!B34, '177T'!B34 = RNAseP!B34, '177T'!B34 &lt;&gt; ""), '177T'!B34, IF('177T'!B34 = "", "", "Mismatch"))</f>
        <v>99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-1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-1</v>
      </c>
      <c r="H34" s="3" t="str" cm="1">
        <f t="array" ref="H34">INDEX(Decision!$D$1:$D$28, MATCH(E34&amp;F34&amp;G34, Decision!$A$1:$A$28&amp;Decision!$B$1:$B$28&amp;Decision!$C$1:$C$28, 0))</f>
        <v>F</v>
      </c>
      <c r="I34" t="str" cm="1">
        <f t="array" ref="I34">INDEX(Decision!$E$1:$E$28, MATCH(E34&amp;F34&amp;G34, Decision!$A$1:$A$28&amp;Decision!$B$1:$B$28&amp;Decision!$C$1:$C$28, 0))</f>
        <v>extraction fail</v>
      </c>
    </row>
    <row r="35" spans="1:9">
      <c r="A35">
        <f>IF(AND('177T'!B35 = '18S2'!B35, '177T'!B35 = RNAseP!B35, '177T'!B35 &lt;&gt; ""), '177T'!B35, IF('177T'!B35 = "", "", "Mismatch"))</f>
        <v>99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-1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-1</v>
      </c>
      <c r="H35" s="3" t="str" cm="1">
        <f t="array" ref="H35">INDEX(Decision!$D$1:$D$28, MATCH(E35&amp;F35&amp;G35, Decision!$A$1:$A$28&amp;Decision!$B$1:$B$28&amp;Decision!$C$1:$C$28, 0))</f>
        <v>F</v>
      </c>
      <c r="I35" t="str" cm="1">
        <f t="array" ref="I35">INDEX(Decision!$E$1:$E$28, MATCH(E35&amp;F35&amp;G35, Decision!$A$1:$A$28&amp;Decision!$B$1:$B$28&amp;Decision!$C$1:$C$28, 0))</f>
        <v>extraction fail</v>
      </c>
    </row>
    <row r="36" spans="1:9">
      <c r="A36">
        <f>IF(AND('177T'!B36 = '18S2'!B36, '177T'!B36 = RNAseP!B36, '177T'!B36 &lt;&gt; ""), '177T'!B36, IF('177T'!B36 = "", "", "Mismatch"))</f>
        <v>99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36.0994335145515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0</v>
      </c>
      <c r="H36" s="3" t="str" cm="1">
        <f t="array" ref="H36">INDEX(Decision!$D$1:$D$28, MATCH(E36&amp;F36&amp;G36, Decision!$A$1:$A$28&amp;Decision!$B$1:$B$28&amp;Decision!$C$1:$C$28, 0))</f>
        <v>F</v>
      </c>
      <c r="I36" t="str" cm="1">
        <f t="array" ref="I36">INDEX(Decision!$E$1:$E$28, MATCH(E36&amp;F36&amp;G36, Decision!$A$1:$A$28&amp;Decision!$B$1:$B$28&amp;Decision!$C$1:$C$28, 0))</f>
        <v>low human DNA</v>
      </c>
    </row>
    <row r="37" spans="1:9">
      <c r="A37">
        <f>IF(AND('177T'!B37 = '18S2'!B37, '177T'!B37 = RNAseP!B37, '177T'!B37 &lt;&gt; ""), '177T'!B37, IF('177T'!B37 = "", "", "Mismatch"))</f>
        <v>99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36.964775709019598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0</v>
      </c>
      <c r="H37" s="3" t="str" cm="1">
        <f t="array" ref="H37">INDEX(Decision!$D$1:$D$28, MATCH(E37&amp;F37&amp;G37, Decision!$A$1:$A$28&amp;Decision!$B$1:$B$28&amp;Decision!$C$1:$C$28, 0))</f>
        <v>F</v>
      </c>
      <c r="I37" t="str" cm="1">
        <f t="array" ref="I37">INDEX(Decision!$E$1:$E$28, MATCH(E37&amp;F37&amp;G37, Decision!$A$1:$A$28&amp;Decision!$B$1:$B$28&amp;Decision!$C$1:$C$28, 0))</f>
        <v>low human DNA</v>
      </c>
    </row>
    <row r="38" spans="1:9">
      <c r="A38">
        <f>IF(AND('177T'!B38 = '18S2'!B38, '177T'!B38 = RNAseP!B38, '177T'!B38 &lt;&gt; ""), '177T'!B38, IF('177T'!B38 = "", "", "Mismatch"))</f>
        <v>100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-1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-1</v>
      </c>
      <c r="H38" s="3" t="str" cm="1">
        <f t="array" ref="H38">INDEX(Decision!$D$1:$D$28, MATCH(E38&amp;F38&amp;G38, Decision!$A$1:$A$28&amp;Decision!$B$1:$B$28&amp;Decision!$C$1:$C$28, 0))</f>
        <v>F</v>
      </c>
      <c r="I38" t="str" cm="1">
        <f t="array" ref="I38">INDEX(Decision!$E$1:$E$28, MATCH(E38&amp;F38&amp;G38, Decision!$A$1:$A$28&amp;Decision!$B$1:$B$28&amp;Decision!$C$1:$C$28, 0))</f>
        <v>extraction fail</v>
      </c>
    </row>
    <row r="39" spans="1:9">
      <c r="A39">
        <f>IF(AND('177T'!B39 = '18S2'!B39, '177T'!B39 = RNAseP!B39, '177T'!B39 &lt;&gt; ""), '177T'!B39, IF('177T'!B39 = "", "", "Mismatch"))</f>
        <v>100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-1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-1</v>
      </c>
      <c r="H39" s="3" t="str" cm="1">
        <f t="array" ref="H39">INDEX(Decision!$D$1:$D$28, MATCH(E39&amp;F39&amp;G39, Decision!$A$1:$A$28&amp;Decision!$B$1:$B$28&amp;Decision!$C$1:$C$28, 0))</f>
        <v>F</v>
      </c>
      <c r="I39" t="str" cm="1">
        <f t="array" ref="I39">INDEX(Decision!$E$1:$E$28, MATCH(E39&amp;F39&amp;G39, Decision!$A$1:$A$28&amp;Decision!$B$1:$B$28&amp;Decision!$C$1:$C$28, 0))</f>
        <v>extraction fail</v>
      </c>
    </row>
    <row r="40" spans="1:9">
      <c r="A40">
        <f>IF(AND('177T'!B40 = '18S2'!B40, '177T'!B40 = RNAseP!B40, '177T'!B40 &lt;&gt; ""), '177T'!B40, IF('177T'!B40 = "", "", "Mismatch"))</f>
        <v>100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-1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-1</v>
      </c>
      <c r="H40" s="3" t="str" cm="1">
        <f t="array" ref="H40">INDEX(Decision!$D$1:$D$28, MATCH(E40&amp;F40&amp;G40, Decision!$A$1:$A$28&amp;Decision!$B$1:$B$28&amp;Decision!$C$1:$C$28, 0))</f>
        <v>F</v>
      </c>
      <c r="I40" t="str" cm="1">
        <f t="array" ref="I40">INDEX(Decision!$E$1:$E$28, MATCH(E40&amp;F40&amp;G40, Decision!$A$1:$A$28&amp;Decision!$B$1:$B$28&amp;Decision!$C$1:$C$28, 0))</f>
        <v>extraction fail</v>
      </c>
    </row>
    <row r="41" spans="1:9">
      <c r="A41">
        <f>IF(AND('177T'!B41 = '18S2'!B41, '177T'!B41 = RNAseP!B41, '177T'!B41 &lt;&gt; ""), '177T'!B41, IF('177T'!B41 = "", "", "Mismatch"))</f>
        <v>100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-1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-1</v>
      </c>
      <c r="H41" s="3" t="str" cm="1">
        <f t="array" ref="H41">INDEX(Decision!$D$1:$D$28, MATCH(E41&amp;F41&amp;G41, Decision!$A$1:$A$28&amp;Decision!$B$1:$B$28&amp;Decision!$C$1:$C$28, 0))</f>
        <v>F</v>
      </c>
      <c r="I41" t="str" cm="1">
        <f t="array" ref="I41">INDEX(Decision!$E$1:$E$28, MATCH(E41&amp;F41&amp;G41, Decision!$A$1:$A$28&amp;Decision!$B$1:$B$28&amp;Decision!$C$1:$C$28, 0))</f>
        <v>extraction fail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24.2458094116759</v>
      </c>
      <c r="C42">
        <f>IF('18S2'!C42="", "", '18S2'!C42)</f>
        <v>21.546717399844599</v>
      </c>
      <c r="D42">
        <f>IF(RNAseP!C42="", "", RNAseP!C42)</f>
        <v>35.258376450636099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23.499130527325299</v>
      </c>
      <c r="C43">
        <f>IF('18S2'!C43="", "", '18S2'!C43)</f>
        <v>21.142910831179101</v>
      </c>
      <c r="D43">
        <f>IF(RNAseP!C43="", "", RNAseP!C43)</f>
        <v>33.980559579663399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24.275310081394299</v>
      </c>
      <c r="C44">
        <f>IF('18S2'!C44="", "", '18S2'!C44)</f>
        <v>21.2188410942478</v>
      </c>
      <c r="D44">
        <f>IF(RNAseP!C44="", "", RNAseP!C44)</f>
        <v>34.019499125457401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23.091753503576399</v>
      </c>
      <c r="C45">
        <f>IF('18S2'!C45="", "", '18S2'!C45)</f>
        <v>21.116129342343299</v>
      </c>
      <c r="D45">
        <f>IF(RNAseP!C45="", "", RNAseP!C45)</f>
        <v>35.864115286593602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36.108151918236103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G13" sqref="G13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45852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7">
        <v>66262118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91</v>
      </c>
      <c r="B16" s="11">
        <v>2500112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21,3 +/- 0,1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92</v>
      </c>
      <c r="B17" s="11">
        <v>2500075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21,8 +/- 0,1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93</v>
      </c>
      <c r="B18" s="11">
        <v>2402965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26,8 +/- 5,7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94</v>
      </c>
      <c r="B19" s="11">
        <v>2400785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20,2 +/- 0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95</v>
      </c>
      <c r="B20" s="11">
        <v>2402579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20,1 +/- 0,1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96</v>
      </c>
      <c r="B21" s="11">
        <v>2500033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 +/- 0,1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97</v>
      </c>
      <c r="B22" s="11">
        <v>2402783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19,3 +/- 0,1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98</v>
      </c>
      <c r="B23" s="11"/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F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35,1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99</v>
      </c>
      <c r="B24" s="11"/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F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36,5 +/- 0,6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100</v>
      </c>
      <c r="B25" s="11"/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F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/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23,8 +/- 0,6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21,3 +/- 0,2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34,8 +/- 0,9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36,1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31" t="s">
        <v>58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30" t="s">
        <v>61</v>
      </c>
      <c r="D30" s="30"/>
      <c r="E30" s="20"/>
    </row>
    <row r="31" spans="1:12">
      <c r="A31" s="18" t="s">
        <v>20</v>
      </c>
      <c r="B31" s="18" t="s">
        <v>21</v>
      </c>
      <c r="C31" s="30" t="s">
        <v>62</v>
      </c>
      <c r="D31" s="30"/>
      <c r="E31" s="20"/>
    </row>
    <row r="32" spans="1:12">
      <c r="A32" s="18" t="s">
        <v>22</v>
      </c>
      <c r="B32" s="18" t="s">
        <v>63</v>
      </c>
      <c r="C32" s="30" t="s">
        <v>64</v>
      </c>
      <c r="D32" s="30"/>
      <c r="E32" s="20"/>
    </row>
    <row r="33" spans="1:5">
      <c r="A33" s="18" t="s">
        <v>65</v>
      </c>
      <c r="B33" s="18" t="s">
        <v>66</v>
      </c>
      <c r="C33" s="30" t="s">
        <v>67</v>
      </c>
      <c r="D33" s="30"/>
      <c r="E33" s="20"/>
    </row>
    <row r="34" spans="1:5">
      <c r="A34" s="18" t="s">
        <v>17</v>
      </c>
      <c r="B34" s="18" t="s">
        <v>68</v>
      </c>
      <c r="C34" s="30" t="s">
        <v>69</v>
      </c>
      <c r="D34" s="30"/>
      <c r="E34" s="20"/>
    </row>
    <row r="35" spans="1:5">
      <c r="A35" s="18" t="s">
        <v>70</v>
      </c>
      <c r="B35" s="18" t="s">
        <v>71</v>
      </c>
      <c r="C35" s="30" t="s">
        <v>72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91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21,3 +/- 0,1</v>
      </c>
    </row>
    <row r="3" spans="1:11">
      <c r="A3" s="3">
        <f>Report!A17</f>
        <v>92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21,8 +/- 0,1</v>
      </c>
    </row>
    <row r="4" spans="1:11">
      <c r="A4" s="3">
        <f>Report!A18</f>
        <v>93</v>
      </c>
      <c r="B4" s="3" t="str" cm="1">
        <f t="array" ref="B4">_xlfn.TEXTJOIN(", ", TRUE, IF(Analysis!$A$2:$A$82=A4, Analysis!$H$2:$H$82, ""))</f>
        <v>N, N, N, F</v>
      </c>
      <c r="C4" s="3" t="str" cm="1">
        <f t="array" ref="C4">_xlfn.TEXTJOIN(", ", TRUE, IF(Analysis!$A$2:$A$82=A4, Analysis!$I$2:$I$82, ""))</f>
        <v>negative, negative, negative, low human DNA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26,8 +/- 5,7</v>
      </c>
    </row>
    <row r="5" spans="1:11">
      <c r="A5" s="3">
        <f>Report!A19</f>
        <v>94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20,2 +/- 0</v>
      </c>
    </row>
    <row r="6" spans="1:11">
      <c r="A6" s="3">
        <f>Report!A20</f>
        <v>95</v>
      </c>
      <c r="B6" s="3" t="str" cm="1">
        <f t="array" ref="B6">_xlfn.TEXTJOIN(", ", TRUE, IF(Analysis!$A$2:$A$82=A6, Analysis!$H$2:$H$82, ""))</f>
        <v>F, N, N, N</v>
      </c>
      <c r="C6" s="3" t="str" cm="1">
        <f t="array" ref="C6">_xlfn.TEXTJOIN(", ", TRUE, IF(Analysis!$A$2:$A$82=A6, Analysis!$I$2:$I$82, ""))</f>
        <v>extraction fail,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20,1 +/- 0,1</v>
      </c>
    </row>
    <row r="7" spans="1:11">
      <c r="A7" s="3">
        <f>Report!A21</f>
        <v>96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 +/- 0,1</v>
      </c>
      <c r="K7" s="4"/>
    </row>
    <row r="8" spans="1:11">
      <c r="A8" s="3">
        <f>Report!A22</f>
        <v>97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19,3 +/- 0,1</v>
      </c>
    </row>
    <row r="9" spans="1:11">
      <c r="A9" s="3">
        <f>Report!A23</f>
        <v>98</v>
      </c>
      <c r="B9" s="3" t="str" cm="1">
        <f t="array" ref="B9">_xlfn.TEXTJOIN(", ", TRUE, IF(Analysis!$A$2:$A$82=A9, Analysis!$H$2:$H$82, ""))</f>
        <v>F, F, F, F</v>
      </c>
      <c r="C9" s="3" t="str" cm="1">
        <f t="array" ref="C9">_xlfn.TEXTJOIN(", ", TRUE, IF(Analysis!$A$2:$A$82=A9, Analysis!$I$2:$I$82, ""))</f>
        <v>low human DNA, extraction fail, extraction fail, extraction fail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F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35,1</v>
      </c>
    </row>
    <row r="10" spans="1:11">
      <c r="A10" s="3">
        <f>Report!A24</f>
        <v>99</v>
      </c>
      <c r="B10" s="3" t="str" cm="1">
        <f t="array" ref="B10">_xlfn.TEXTJOIN(", ", TRUE, IF(Analysis!$A$2:$A$82=A10, Analysis!$H$2:$H$82, ""))</f>
        <v>F, F, F, F</v>
      </c>
      <c r="C10" s="3" t="str" cm="1">
        <f t="array" ref="C10">_xlfn.TEXTJOIN(", ", TRUE, IF(Analysis!$A$2:$A$82=A10, Analysis!$I$2:$I$82, ""))</f>
        <v>extraction fail, extraction fail, low human DNA, low human DNA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F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36,5 +/- 0,6</v>
      </c>
    </row>
    <row r="11" spans="1:11">
      <c r="A11" s="3">
        <f>Report!A25</f>
        <v>100</v>
      </c>
      <c r="B11" s="3" t="str" cm="1">
        <f t="array" ref="B11">_xlfn.TEXTJOIN(", ", TRUE, IF(Analysis!$A$2:$A$82=A11, Analysis!$H$2:$H$82, ""))</f>
        <v>F, F, F, F</v>
      </c>
      <c r="C11" s="3" t="str" cm="1">
        <f t="array" ref="C11">_xlfn.TEXTJOIN(", ", TRUE, IF(Analysis!$A$2:$A$82=A11, Analysis!$I$2:$I$82, ""))</f>
        <v>extraction fail, extraction fail, extraction fail, extraction fail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F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/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23,8 +/- 0,6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21,3 +/- 0,2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34,8 +/- 0,9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OK, OK, OK</v>
      </c>
      <c r="C13" s="3" t="str" cm="1">
        <f t="array" ref="C13">_xlfn.TEXTJOIN(", ", TRUE, IF(Analysis!$A$2:$A$82=A13, Analysis!$I$2:$I$82, ""))</f>
        <v>RNAseP,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36,1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2025-07-18T10:29:25+00:00</Uploaded>
  </documentManagement>
</p:properties>
</file>

<file path=customXml/itemProps1.xml><?xml version="1.0" encoding="utf-8"?>
<ds:datastoreItem xmlns:ds="http://schemas.openxmlformats.org/officeDocument/2006/customXml" ds:itemID="{71BD5EAF-F009-4C26-A5C5-AAC8F902D253}"/>
</file>

<file path=customXml/itemProps2.xml><?xml version="1.0" encoding="utf-8"?>
<ds:datastoreItem xmlns:ds="http://schemas.openxmlformats.org/officeDocument/2006/customXml" ds:itemID="{89E30F45-665A-4345-A1E1-A4ED2F9ECAD8}"/>
</file>

<file path=customXml/itemProps3.xml><?xml version="1.0" encoding="utf-8"?>
<ds:datastoreItem xmlns:ds="http://schemas.openxmlformats.org/officeDocument/2006/customXml" ds:itemID="{96F6E69B-4F00-4A87-8F90-917DC4CD5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2025-07-18T13:58:34Z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