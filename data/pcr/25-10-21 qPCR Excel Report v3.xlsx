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EA1A2F86-8A5F-403B-89ED-35FB3A3063DC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4295" yWindow="0" windowWidth="14610" windowHeight="1558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<sst xmlns="http://schemas.openxmlformats.org/spreadsheetml/2006/main" count="418" uniqueCount="75">
  <si>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</si>
  <si>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</si>
  <si>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</si>
  <si>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</si>
  <si>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</si>
  <si>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</si>
  <si>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</si>
  <si>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</si>
  <si>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</si>
  <si>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</si>
  <si>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</si>
  <si>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</si>
  <si>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</si>
  <si>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</si>
  <si>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</si>
  <si>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</si>
  <si>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</si>
  <si>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</si>
  <si>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</si>
  <si>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</si>
  <si>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</si>
  <si>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</si>
  <si>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</si>
  <si>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</si>
  <si>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</si>
  <si>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</si>
  <si>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</si>
  <si>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</si>
  <si>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</si>
  <si>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</si>
  <si>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</si>
  <si>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</si>
  <si>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</si>
  <si>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</si>
  <si>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</si>
  <si>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</si>
  <si>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</si>
  <si>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</si>
  <si>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</si>
  <si>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</si>
  <si>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</si>
  <si>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</si>
  <si>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</si>
  <si>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LOUIS</t>
  </si>
  <si>
    <t>Qrun file name</t>
  </si>
  <si>
    <t>2025-10-21 09.27.26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</si>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</sst>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211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211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211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211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287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287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287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287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296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296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296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296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297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297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297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297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298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298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298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298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299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299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299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299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300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300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300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300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301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301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301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301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302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302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302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302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303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303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303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303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22.712150168824301</v>
      </c>
      <c r="D42" s="8">
        <v>0.89648415176250795</v>
      </c>
      <c r="E42" s="8">
        <v>0.99951000000000001</v>
      </c>
      <c r="F42" s="8"/>
    </row>
    <row r="43" spans="1:6">
      <c r="A43" s="8">
        <v>42</v>
      </c>
      <c r="B43" s="8" t="s">
        <v>7</v>
      </c>
      <c r="C43" s="8">
        <v>22.2020666928676</v>
      </c>
      <c r="D43" s="8">
        <v>0.94519979651907005</v>
      </c>
      <c r="E43" s="8">
        <v>0.99924999999999997</v>
      </c>
      <c r="F43" s="8"/>
    </row>
    <row r="44" spans="1:6">
      <c r="A44" s="8">
        <v>43</v>
      </c>
      <c r="B44" s="8" t="s">
        <v>7</v>
      </c>
      <c r="C44" s="8">
        <v>21.523366488890598</v>
      </c>
      <c r="D44" s="8">
        <v>0.87983857333898396</v>
      </c>
      <c r="E44" s="8">
        <v>0.99977000000000005</v>
      </c>
      <c r="F44" s="8"/>
    </row>
    <row r="45" spans="1:6">
      <c r="A45" s="8">
        <v>44</v>
      </c>
      <c r="B45" s="8" t="s">
        <v>7</v>
      </c>
      <c r="C45" s="8">
        <v>22.6493383325857</v>
      </c>
      <c r="D45" s="8">
        <v>0.83462650055792198</v>
      </c>
      <c r="E45" s="8">
        <v>0.99990999999999997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211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211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211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211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287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287</v>
      </c>
      <c r="C7" s="9">
        <v>37.722166730909599</v>
      </c>
      <c r="D7" s="9">
        <v>0.40774296240104602</v>
      </c>
      <c r="E7" s="9">
        <v>0.99165000000000003</v>
      </c>
      <c r="F7" s="9"/>
    </row>
    <row r="8" spans="1:6">
      <c r="A8" s="9">
        <v>7</v>
      </c>
      <c r="B8" s="9">
        <v>287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287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296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296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296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296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297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297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297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297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298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298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298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298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299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299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299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299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300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300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300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300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301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301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301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301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302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302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302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302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303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303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303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303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18.574238844208601</v>
      </c>
      <c r="D42" s="9">
        <v>1.0525852032504599</v>
      </c>
      <c r="E42" s="9">
        <v>0.99843000000000004</v>
      </c>
      <c r="F42" s="9"/>
    </row>
    <row r="43" spans="1:6">
      <c r="A43" s="9">
        <v>42</v>
      </c>
      <c r="B43" s="9" t="s">
        <v>7</v>
      </c>
      <c r="C43" s="9">
        <v>18.416557808383001</v>
      </c>
      <c r="D43" s="9">
        <v>1.06625975641835</v>
      </c>
      <c r="E43" s="9">
        <v>0.99805999999999995</v>
      </c>
      <c r="F43" s="9"/>
    </row>
    <row r="44" spans="1:6">
      <c r="A44" s="9">
        <v>43</v>
      </c>
      <c r="B44" s="9" t="s">
        <v>7</v>
      </c>
      <c r="C44" s="9">
        <v>18.320628665967501</v>
      </c>
      <c r="D44" s="9">
        <v>1.0719172489001501</v>
      </c>
      <c r="E44" s="9">
        <v>0.99799000000000004</v>
      </c>
      <c r="F44" s="9"/>
    </row>
    <row r="45" spans="1:6">
      <c r="A45" s="9">
        <v>44</v>
      </c>
      <c r="B45" s="9" t="s">
        <v>7</v>
      </c>
      <c r="C45" s="9">
        <v>18.3679379877162</v>
      </c>
      <c r="D45" s="9">
        <v>1.0644190530194899</v>
      </c>
      <c r="E45" s="9">
        <v>0.99814999999999998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211</v>
      </c>
      <c r="C2" s="10">
        <v>24.231931335176402</v>
      </c>
      <c r="D2" s="10">
        <v>0.91035576735698698</v>
      </c>
      <c r="E2" s="10">
        <v>0.99924999999999997</v>
      </c>
      <c r="F2" s="10"/>
    </row>
    <row r="3" spans="1:6">
      <c r="A3" s="10">
        <v>2</v>
      </c>
      <c r="B3" s="10">
        <v>211</v>
      </c>
      <c r="C3" s="10">
        <v>24.1079999032942</v>
      </c>
      <c r="D3" s="10">
        <v>0.91465436236173103</v>
      </c>
      <c r="E3" s="10">
        <v>0.99917999999999996</v>
      </c>
      <c r="F3" s="10"/>
    </row>
    <row r="4" spans="1:6">
      <c r="A4" s="10">
        <v>3</v>
      </c>
      <c r="B4" s="10">
        <v>211</v>
      </c>
      <c r="C4" s="10">
        <v>24.269459367370899</v>
      </c>
      <c r="D4" s="10">
        <v>0.91120525333986302</v>
      </c>
      <c r="E4" s="10">
        <v>0.99922999999999995</v>
      </c>
      <c r="F4" s="10"/>
    </row>
    <row r="5" spans="1:6">
      <c r="A5" s="10">
        <v>4</v>
      </c>
      <c r="B5" s="10">
        <v>211</v>
      </c>
      <c r="C5" s="10">
        <v>24.147304242190501</v>
      </c>
      <c r="D5" s="10">
        <v>0.91681151622191104</v>
      </c>
      <c r="E5" s="10">
        <v>0.99916000000000005</v>
      </c>
      <c r="F5" s="10"/>
    </row>
    <row r="6" spans="1:6">
      <c r="A6" s="10">
        <v>5</v>
      </c>
      <c r="B6" s="10">
        <v>287</v>
      </c>
      <c r="C6" s="10">
        <v>25.199789152757301</v>
      </c>
      <c r="D6" s="10">
        <v>0.90108032421735595</v>
      </c>
      <c r="E6" s="10">
        <v>0.99922999999999995</v>
      </c>
      <c r="F6" s="10"/>
    </row>
    <row r="7" spans="1:6">
      <c r="A7" s="10">
        <v>6</v>
      </c>
      <c r="B7" s="10">
        <v>287</v>
      </c>
      <c r="C7" s="10">
        <v>25.1584838120638</v>
      </c>
      <c r="D7" s="10">
        <v>0.89340780431740296</v>
      </c>
      <c r="E7" s="10">
        <v>0.99929999999999997</v>
      </c>
      <c r="F7" s="10"/>
    </row>
    <row r="8" spans="1:6">
      <c r="A8" s="10">
        <v>7</v>
      </c>
      <c r="B8" s="10">
        <v>287</v>
      </c>
      <c r="C8" s="10">
        <v>25.211759435114899</v>
      </c>
      <c r="D8" s="10">
        <v>0.89658346746615103</v>
      </c>
      <c r="E8" s="10">
        <v>0.99929999999999997</v>
      </c>
      <c r="F8" s="10"/>
    </row>
    <row r="9" spans="1:6">
      <c r="A9" s="10">
        <v>8</v>
      </c>
      <c r="B9" s="10">
        <v>287</v>
      </c>
      <c r="C9" s="10">
        <v>25.097182343669001</v>
      </c>
      <c r="D9" s="10">
        <v>0.90222976113066</v>
      </c>
      <c r="E9" s="10">
        <v>0.99926999999999999</v>
      </c>
      <c r="F9" s="10"/>
    </row>
    <row r="10" spans="1:6">
      <c r="A10" s="10">
        <v>9</v>
      </c>
      <c r="B10" s="10">
        <v>296</v>
      </c>
      <c r="C10" s="10">
        <v>22.893233166401</v>
      </c>
      <c r="D10" s="10">
        <v>0.93029434662462496</v>
      </c>
      <c r="E10" s="10">
        <v>0.99897999999999998</v>
      </c>
      <c r="F10" s="10"/>
    </row>
    <row r="11" spans="1:6">
      <c r="A11" s="10">
        <v>10</v>
      </c>
      <c r="B11" s="10">
        <v>296</v>
      </c>
      <c r="C11" s="10">
        <v>22.7493778174718</v>
      </c>
      <c r="D11" s="10">
        <v>0.93975343042805404</v>
      </c>
      <c r="E11" s="10">
        <v>0.99890999999999996</v>
      </c>
      <c r="F11" s="10"/>
    </row>
    <row r="12" spans="1:6">
      <c r="A12" s="10">
        <v>11</v>
      </c>
      <c r="B12" s="10">
        <v>296</v>
      </c>
      <c r="C12" s="10">
        <v>22.9991504823574</v>
      </c>
      <c r="D12" s="10">
        <v>0.90642371697338897</v>
      </c>
      <c r="E12" s="10">
        <v>0.99907999999999997</v>
      </c>
      <c r="F12" s="10"/>
    </row>
    <row r="13" spans="1:6">
      <c r="A13" s="10">
        <v>12</v>
      </c>
      <c r="B13" s="10">
        <v>296</v>
      </c>
      <c r="C13" s="10">
        <v>22.8792444420423</v>
      </c>
      <c r="D13" s="10">
        <v>0.91444954767989395</v>
      </c>
      <c r="E13" s="10">
        <v>0.99905999999999995</v>
      </c>
      <c r="F13" s="10"/>
    </row>
    <row r="14" spans="1:6">
      <c r="A14" s="10">
        <v>13</v>
      </c>
      <c r="B14" s="10">
        <v>297</v>
      </c>
      <c r="C14" s="10">
        <v>21.779259913745602</v>
      </c>
      <c r="D14" s="10">
        <v>0.89337353588147295</v>
      </c>
      <c r="E14" s="10">
        <v>0.99922999999999995</v>
      </c>
      <c r="F14" s="10"/>
    </row>
    <row r="15" spans="1:6">
      <c r="A15" s="10">
        <v>14</v>
      </c>
      <c r="B15" s="10">
        <v>297</v>
      </c>
      <c r="C15" s="10">
        <v>21.746781749486999</v>
      </c>
      <c r="D15" s="10">
        <v>0.912589490605894</v>
      </c>
      <c r="E15" s="10">
        <v>0.99911000000000005</v>
      </c>
      <c r="F15" s="10"/>
    </row>
    <row r="16" spans="1:6">
      <c r="A16" s="10">
        <v>15</v>
      </c>
      <c r="B16" s="10">
        <v>297</v>
      </c>
      <c r="C16" s="10">
        <v>21.775985510738199</v>
      </c>
      <c r="D16" s="10">
        <v>0.916760692362107</v>
      </c>
      <c r="E16" s="10">
        <v>0.99904000000000004</v>
      </c>
      <c r="F16" s="10"/>
    </row>
    <row r="17" spans="1:6">
      <c r="A17" s="10">
        <v>16</v>
      </c>
      <c r="B17" s="10">
        <v>297</v>
      </c>
      <c r="C17" s="10">
        <v>21.820282822617202</v>
      </c>
      <c r="D17" s="10">
        <v>0.92021006257179905</v>
      </c>
      <c r="E17" s="10">
        <v>0.99890000000000001</v>
      </c>
      <c r="F17" s="10"/>
    </row>
    <row r="18" spans="1:6">
      <c r="A18" s="10">
        <v>17</v>
      </c>
      <c r="B18" s="10">
        <v>298</v>
      </c>
      <c r="C18" s="10">
        <v>21.7592314795356</v>
      </c>
      <c r="D18" s="10">
        <v>0.927884907649005</v>
      </c>
      <c r="E18" s="10">
        <v>0.99892999999999998</v>
      </c>
      <c r="F18" s="10"/>
    </row>
    <row r="19" spans="1:6">
      <c r="A19" s="10">
        <v>18</v>
      </c>
      <c r="B19" s="10">
        <v>298</v>
      </c>
      <c r="C19" s="10">
        <v>21.707547522908101</v>
      </c>
      <c r="D19" s="10">
        <v>0.93334699512686603</v>
      </c>
      <c r="E19" s="10">
        <v>0.99892999999999998</v>
      </c>
      <c r="F19" s="10"/>
    </row>
    <row r="20" spans="1:6">
      <c r="A20" s="10">
        <v>19</v>
      </c>
      <c r="B20" s="10">
        <v>298</v>
      </c>
      <c r="C20" s="10">
        <v>21.716387644147101</v>
      </c>
      <c r="D20" s="10">
        <v>0.93964541888081898</v>
      </c>
      <c r="E20" s="10">
        <v>0.99880000000000002</v>
      </c>
      <c r="F20" s="10"/>
    </row>
    <row r="21" spans="1:6">
      <c r="A21" s="10">
        <v>20</v>
      </c>
      <c r="B21" s="10">
        <v>298</v>
      </c>
      <c r="C21" s="10">
        <v>21.6127142523953</v>
      </c>
      <c r="D21" s="10">
        <v>0.94856492248371804</v>
      </c>
      <c r="E21" s="10">
        <v>0.99887000000000004</v>
      </c>
      <c r="F21" s="10"/>
    </row>
    <row r="22" spans="1:6">
      <c r="A22" s="10">
        <v>21</v>
      </c>
      <c r="B22" s="10">
        <v>299</v>
      </c>
      <c r="C22" s="10">
        <v>21.817439457060299</v>
      </c>
      <c r="D22" s="10">
        <v>0.91598271894972405</v>
      </c>
      <c r="E22" s="10">
        <v>0.99902000000000002</v>
      </c>
      <c r="F22" s="10"/>
    </row>
    <row r="23" spans="1:6">
      <c r="A23" s="10">
        <v>22</v>
      </c>
      <c r="B23" s="10">
        <v>299</v>
      </c>
      <c r="C23" s="10">
        <v>21.6441285011087</v>
      </c>
      <c r="D23" s="10">
        <v>0.89481545371108495</v>
      </c>
      <c r="E23" s="10">
        <v>0.99956</v>
      </c>
      <c r="F23" s="10"/>
    </row>
    <row r="24" spans="1:6">
      <c r="A24" s="10">
        <v>23</v>
      </c>
      <c r="B24" s="10">
        <v>299</v>
      </c>
      <c r="C24" s="10">
        <v>21.820311269931</v>
      </c>
      <c r="D24" s="10">
        <v>0.92926659968315795</v>
      </c>
      <c r="E24" s="10">
        <v>0.99873000000000001</v>
      </c>
      <c r="F24" s="10"/>
    </row>
    <row r="25" spans="1:6">
      <c r="A25" s="10">
        <v>24</v>
      </c>
      <c r="B25" s="10">
        <v>299</v>
      </c>
      <c r="C25" s="10">
        <v>21.7063120527976</v>
      </c>
      <c r="D25" s="10">
        <v>0.92771285691593797</v>
      </c>
      <c r="E25" s="10">
        <v>0.999</v>
      </c>
      <c r="F25" s="10"/>
    </row>
    <row r="26" spans="1:6">
      <c r="A26" s="10">
        <v>25</v>
      </c>
      <c r="B26" s="10">
        <v>300</v>
      </c>
      <c r="C26" s="10">
        <v>22.074706322183701</v>
      </c>
      <c r="D26" s="10">
        <v>0.92125300115840103</v>
      </c>
      <c r="E26" s="10">
        <v>0.99892999999999998</v>
      </c>
      <c r="F26" s="10"/>
    </row>
    <row r="27" spans="1:6">
      <c r="A27" s="10">
        <v>26</v>
      </c>
      <c r="B27" s="10">
        <v>300</v>
      </c>
      <c r="C27" s="10">
        <v>22.063222552117701</v>
      </c>
      <c r="D27" s="10">
        <v>0.91221775886009404</v>
      </c>
      <c r="E27" s="10">
        <v>0.99892999999999998</v>
      </c>
      <c r="F27" s="10"/>
    </row>
    <row r="28" spans="1:6">
      <c r="A28" s="10">
        <v>27</v>
      </c>
      <c r="B28" s="10">
        <v>300</v>
      </c>
      <c r="C28" s="10">
        <v>22.059901778212801</v>
      </c>
      <c r="D28" s="10">
        <v>0.91755280418196405</v>
      </c>
      <c r="E28" s="10">
        <v>0.99890999999999996</v>
      </c>
      <c r="F28" s="10"/>
    </row>
    <row r="29" spans="1:6">
      <c r="A29" s="10">
        <v>28</v>
      </c>
      <c r="B29" s="10">
        <v>300</v>
      </c>
      <c r="C29" s="10">
        <v>21.996510888003499</v>
      </c>
      <c r="D29" s="10">
        <v>0.91612913505114602</v>
      </c>
      <c r="E29" s="10">
        <v>0.99909000000000003</v>
      </c>
      <c r="F29" s="10"/>
    </row>
    <row r="30" spans="1:6">
      <c r="A30" s="10">
        <v>29</v>
      </c>
      <c r="B30" s="10">
        <v>301</v>
      </c>
      <c r="C30" s="10">
        <v>24.187068597572001</v>
      </c>
      <c r="D30" s="10">
        <v>0.88248709280818305</v>
      </c>
      <c r="E30" s="10">
        <v>0.99939</v>
      </c>
      <c r="F30" s="10"/>
    </row>
    <row r="31" spans="1:6">
      <c r="A31" s="10">
        <v>30</v>
      </c>
      <c r="B31" s="10">
        <v>301</v>
      </c>
      <c r="C31" s="10">
        <v>24.1008458858288</v>
      </c>
      <c r="D31" s="10">
        <v>0.90535095984593805</v>
      </c>
      <c r="E31" s="10">
        <v>0.99921000000000004</v>
      </c>
      <c r="F31" s="10"/>
    </row>
    <row r="32" spans="1:6">
      <c r="A32" s="10">
        <v>31</v>
      </c>
      <c r="B32" s="10">
        <v>301</v>
      </c>
      <c r="C32" s="10">
        <v>24.070251190700802</v>
      </c>
      <c r="D32" s="10">
        <v>0.90367002698398002</v>
      </c>
      <c r="E32" s="10">
        <v>0.99917999999999996</v>
      </c>
      <c r="F32" s="10"/>
    </row>
    <row r="33" spans="1:6">
      <c r="A33" s="10">
        <v>32</v>
      </c>
      <c r="B33" s="10">
        <v>301</v>
      </c>
      <c r="C33" s="10">
        <v>24.073453782956101</v>
      </c>
      <c r="D33" s="10">
        <v>0.910770281371859</v>
      </c>
      <c r="E33" s="10">
        <v>0.99905999999999995</v>
      </c>
      <c r="F33" s="10"/>
    </row>
    <row r="34" spans="1:6">
      <c r="A34" s="10">
        <v>33</v>
      </c>
      <c r="B34" s="10">
        <v>302</v>
      </c>
      <c r="C34" s="10">
        <v>22.556733972066301</v>
      </c>
      <c r="D34" s="10">
        <v>0.95160846966383394</v>
      </c>
      <c r="E34" s="10">
        <v>0.99919999999999998</v>
      </c>
      <c r="F34" s="10"/>
    </row>
    <row r="35" spans="1:6">
      <c r="A35" s="10">
        <v>34</v>
      </c>
      <c r="B35" s="10">
        <v>302</v>
      </c>
      <c r="C35" s="10">
        <v>22.481412993582701</v>
      </c>
      <c r="D35" s="10">
        <v>0.88228445873592498</v>
      </c>
      <c r="E35" s="10">
        <v>0.99956999999999996</v>
      </c>
      <c r="F35" s="10"/>
    </row>
    <row r="36" spans="1:6">
      <c r="A36" s="10">
        <v>35</v>
      </c>
      <c r="B36" s="10">
        <v>302</v>
      </c>
      <c r="C36" s="10">
        <v>23.094770939478</v>
      </c>
      <c r="D36" s="10">
        <v>0.92012954558339799</v>
      </c>
      <c r="E36" s="10">
        <v>0.99897000000000002</v>
      </c>
      <c r="F36" s="10"/>
    </row>
    <row r="37" spans="1:6">
      <c r="A37" s="10">
        <v>36</v>
      </c>
      <c r="B37" s="10">
        <v>302</v>
      </c>
      <c r="C37" s="10">
        <v>22.409954505828502</v>
      </c>
      <c r="D37" s="10">
        <v>0.89504350248570896</v>
      </c>
      <c r="E37" s="10">
        <v>0.99955000000000005</v>
      </c>
      <c r="F37" s="10"/>
    </row>
    <row r="38" spans="1:6">
      <c r="A38" s="10">
        <v>37</v>
      </c>
      <c r="B38" s="10">
        <v>303</v>
      </c>
      <c r="C38" s="10">
        <v>24.186400296800102</v>
      </c>
      <c r="D38" s="10">
        <v>0.90143854104546495</v>
      </c>
      <c r="E38" s="10">
        <v>0.99926000000000004</v>
      </c>
      <c r="F38" s="10"/>
    </row>
    <row r="39" spans="1:6">
      <c r="A39" s="10">
        <v>38</v>
      </c>
      <c r="B39" s="10">
        <v>303</v>
      </c>
      <c r="C39" s="10">
        <v>24.162806573541399</v>
      </c>
      <c r="D39" s="10">
        <v>0.89069249050641797</v>
      </c>
      <c r="E39" s="10">
        <v>0.99934000000000001</v>
      </c>
      <c r="F39" s="10"/>
    </row>
    <row r="40" spans="1:6">
      <c r="A40" s="10">
        <v>39</v>
      </c>
      <c r="B40" s="10">
        <v>303</v>
      </c>
      <c r="C40" s="10">
        <v>24.207767647875201</v>
      </c>
      <c r="D40" s="10">
        <v>0.89614449895008397</v>
      </c>
      <c r="E40" s="10">
        <v>0.99922999999999995</v>
      </c>
      <c r="F40" s="10"/>
    </row>
    <row r="41" spans="1:6">
      <c r="A41" s="10">
        <v>40</v>
      </c>
      <c r="B41" s="10">
        <v>303</v>
      </c>
      <c r="C41" s="10">
        <v>24.163274539584499</v>
      </c>
      <c r="D41" s="10">
        <v>0.88788102390395796</v>
      </c>
      <c r="E41" s="10">
        <v>0.99926000000000004</v>
      </c>
      <c r="F41" s="10"/>
    </row>
    <row r="42" spans="1:6">
      <c r="A42" s="10">
        <v>41</v>
      </c>
      <c r="B42" s="10" t="s">
        <v>7</v>
      </c>
      <c r="C42" s="10">
        <v>36.041975388003998</v>
      </c>
      <c r="D42" s="10">
        <v>0.56957777156890399</v>
      </c>
      <c r="E42" s="10">
        <v>0.99819000000000002</v>
      </c>
      <c r="F42" s="10"/>
    </row>
    <row r="43" spans="1:6">
      <c r="A43" s="10">
        <v>42</v>
      </c>
      <c r="B43" s="10" t="s">
        <v>7</v>
      </c>
      <c r="C43" s="10">
        <v>34.649573527497402</v>
      </c>
      <c r="D43" s="10">
        <v>0.63038120297631195</v>
      </c>
      <c r="E43" s="10">
        <v>0.99900999999999995</v>
      </c>
      <c r="F43" s="10"/>
    </row>
    <row r="44" spans="1:6">
      <c r="A44" s="10">
        <v>43</v>
      </c>
      <c r="B44" s="10" t="s">
        <v>7</v>
      </c>
      <c r="C44" s="10">
        <v>33.815552702914999</v>
      </c>
      <c r="D44" s="10">
        <v>0.66371555026394302</v>
      </c>
      <c r="E44" s="10">
        <v>0.99914999999999998</v>
      </c>
      <c r="F44" s="10"/>
    </row>
    <row r="45" spans="1:6">
      <c r="A45" s="10">
        <v>44</v>
      </c>
      <c r="B45" s="10" t="s">
        <v>7</v>
      </c>
      <c r="C45" s="10">
        <v>34.884443345451302</v>
      </c>
      <c r="D45" s="10">
        <v>0.63295306153305697</v>
      </c>
      <c r="E45" s="10">
        <v>0.99912999999999996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37.947617785991497</v>
      </c>
      <c r="D48" s="10">
        <v>0.52192778926407801</v>
      </c>
      <c r="E48" s="10">
        <v>0.97823000000000004</v>
      </c>
      <c r="F48" s="10"/>
    </row>
    <row r="49" spans="1:6">
      <c r="A49" s="10">
        <v>48</v>
      </c>
      <c r="B49" s="10" t="s">
        <v>8</v>
      </c>
      <c r="C49" s="10">
        <v>37.532612498008</v>
      </c>
      <c r="D49" s="10">
        <v>0.53903364968349998</v>
      </c>
      <c r="E49" s="10">
        <v>0.97736999999999996</v>
      </c>
      <c r="F49" s="10"/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211</v>
      </c>
      <c r="B2">
        <f>IF('177T'!C2="", "", '177T'!C2)</f>
        <v>-1</v>
      </c>
      <c r="C2">
        <f>IF('18S2'!C2="", "", '18S2'!C2)</f>
        <v>-1</v>
      </c>
      <c r="D2">
        <f>IF(RNAseP!C2="", "", RNAseP!C2)</f>
        <v>24.231931335176402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211</v>
      </c>
      <c r="B3">
        <f>IF('177T'!C3="", "", '177T'!C3)</f>
        <v>-1</v>
      </c>
      <c r="C3">
        <f>IF('18S2'!C3="", "", '18S2'!C3)</f>
        <v>-1</v>
      </c>
      <c r="D3">
        <f>IF(RNAseP!C3="", "", RNAseP!C3)</f>
        <v>24.1079999032942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211</v>
      </c>
      <c r="B4">
        <f>IF('177T'!C4="", "", '177T'!C4)</f>
        <v>-1</v>
      </c>
      <c r="C4">
        <f>IF('18S2'!C4="", "", '18S2'!C4)</f>
        <v>-1</v>
      </c>
      <c r="D4">
        <f>IF(RNAseP!C4="", "", RNAseP!C4)</f>
        <v>24.269459367370899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211</v>
      </c>
      <c r="B5">
        <f>IF('177T'!C5="", "", '177T'!C5)</f>
        <v>-1</v>
      </c>
      <c r="C5">
        <f>IF('18S2'!C5="", "", '18S2'!C5)</f>
        <v>-1</v>
      </c>
      <c r="D5">
        <f>IF(RNAseP!C5="", "", RNAseP!C5)</f>
        <v>24.147304242190501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287</v>
      </c>
      <c r="B6">
        <f>IF('177T'!C6="", "", '177T'!C6)</f>
        <v>-1</v>
      </c>
      <c r="C6">
        <f>IF('18S2'!C6="", "", '18S2'!C6)</f>
        <v>-1</v>
      </c>
      <c r="D6">
        <f>IF(RNAseP!C6="", "", RNAseP!C6)</f>
        <v>25.199789152757301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287</v>
      </c>
      <c r="B7">
        <f>IF('177T'!C7="", "", '177T'!C7)</f>
        <v>-1</v>
      </c>
      <c r="C7">
        <f>IF('18S2'!C7="", "", '18S2'!C7)</f>
        <v>37.722166730909599</v>
      </c>
      <c r="D7">
        <f>IF(RNAseP!C7="", "", RNAseP!C7)</f>
        <v>25.1584838120638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0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S</v>
      </c>
      <c r="I7" t="str" cm="1">
        <f t="array" ref="I7">INDEX(Decision!$E$1:$E$28, MATCH(E7&amp;F7&amp;G7, Decision!$A$1:$A$28&amp;Decision!$B$1:$B$28&amp;Decision!$C$1:$C$28, 0))</f>
        <v>RNA suspect</v>
      </c>
    </row>
    <row r="8" spans="1:9">
      <c r="A8">
        <f>IF(AND('177T'!B8 = '18S2'!B8, '177T'!B8 = RNAseP!B8, '177T'!B8 &lt;&gt; ""), '177T'!B8, IF('177T'!B8 = "", "", "Mismatch"))</f>
        <v>287</v>
      </c>
      <c r="B8">
        <f>IF('177T'!C8="", "", '177T'!C8)</f>
        <v>-1</v>
      </c>
      <c r="C8">
        <f>IF('18S2'!C8="", "", '18S2'!C8)</f>
        <v>-1</v>
      </c>
      <c r="D8">
        <f>IF(RNAseP!C8="", "", RNAseP!C8)</f>
        <v>25.211759435114899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287</v>
      </c>
      <c r="B9">
        <f>IF('177T'!C9="", "", '177T'!C9)</f>
        <v>-1</v>
      </c>
      <c r="C9">
        <f>IF('18S2'!C9="", "", '18S2'!C9)</f>
        <v>-1</v>
      </c>
      <c r="D9">
        <f>IF(RNAseP!C9="", "", RNAseP!C9)</f>
        <v>25.097182343669001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296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22.893233166401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296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22.7493778174718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296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22.9991504823574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296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22.8792444420423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297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21.779259913745602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297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21.746781749486999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297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21.775985510738199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297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21.820282822617202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298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21.7592314795356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298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21.707547522908101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298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21.716387644147101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298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21.6127142523953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299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21.817439457060299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299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21.6441285011087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299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21.820311269931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299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21.7063120527976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300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22.074706322183701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300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22.063222552117701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300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22.059901778212801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300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21.996510888003499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301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24.187068597572001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301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24.1008458858288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301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24.070251190700802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301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24.073453782956101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302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22.556733972066301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302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22.481412993582701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302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23.094770939478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302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22.409954505828502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303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24.186400296800102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303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24.162806573541399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303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24.207767647875201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303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24.163274539584499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22.712150168824301</v>
      </c>
      <c r="C42">
        <f>IF('18S2'!C42="", "", '18S2'!C42)</f>
        <v>18.574238844208601</v>
      </c>
      <c r="D42">
        <f>IF(RNAseP!C42="", "", RNAseP!C42)</f>
        <v>36.041975388003998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22.2020666928676</v>
      </c>
      <c r="C43">
        <f>IF('18S2'!C43="", "", '18S2'!C43)</f>
        <v>18.416557808383001</v>
      </c>
      <c r="D43">
        <f>IF(RNAseP!C43="", "", RNAseP!C43)</f>
        <v>34.649573527497402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21.523366488890598</v>
      </c>
      <c r="C44">
        <f>IF('18S2'!C44="", "", '18S2'!C44)</f>
        <v>18.320628665967501</v>
      </c>
      <c r="D44">
        <f>IF(RNAseP!C44="", "", RNAseP!C44)</f>
        <v>33.815552702914999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22.6493383325857</v>
      </c>
      <c r="C45">
        <f>IF('18S2'!C45="", "", '18S2'!C45)</f>
        <v>18.3679379877162</v>
      </c>
      <c r="D45">
        <f>IF(RNAseP!C45="", "", RNAseP!C45)</f>
        <v>34.884443345451302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37.947617785991497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37.532612498008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0</v>
      </c>
      <c r="H49" s="3" t="str" cm="1">
        <f t="array" ref="H49">INDEX(DecisionC!$E$1:$E$56, MATCH(A49&amp;E49&amp;F49&amp;G49, DecisionC!$A$1:$A$56&amp;DecisionC!$B$1:$B$56&amp;DecisionC!$C$1:$C$56&amp;DecisionC!$D$1:$D$56, 0))</f>
        <v>F</v>
      </c>
      <c r="I49" s="3" t="str" cm="1">
        <f t="array" ref="I49">INDEX(DecisionC!$F$1:$F$56, MATCH(A49&amp;E49&amp;F49&amp;G49, DecisionC!$A$1:$A$56&amp;DecisionC!$B$1:$B$56&amp;DecisionC!$C$1:$C$56&amp;DecisionC!$D$1:$D$56, 0))</f>
        <v>RNAseP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C5" sqref="C5:G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45951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0">
        <v>45771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211</v>
      </c>
      <c r="B16" s="11">
        <v>2501304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24,2 +/- 0,1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287</v>
      </c>
      <c r="B17" s="11">
        <v>2501293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>37,7</v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25,2 +/- 0,1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296</v>
      </c>
      <c r="B18" s="11">
        <v>2501215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22,9 +/- 0,1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297</v>
      </c>
      <c r="B19" s="11">
        <v>2501211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21,8 +/- 0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298</v>
      </c>
      <c r="B20" s="11">
        <v>2501962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21,7 +/- 0,1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299</v>
      </c>
      <c r="B21" s="11">
        <v>2501343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21,7 +/- 0,1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300</v>
      </c>
      <c r="B22" s="11">
        <v>2400826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 +/- 0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301</v>
      </c>
      <c r="B23" s="11">
        <v>2402299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24,1 +/- 0,1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302</v>
      </c>
      <c r="B24" s="11">
        <v>2400769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22,6 +/- 0,3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303</v>
      </c>
      <c r="B25" s="11">
        <v>2500058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24,2 +/- 0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22,3 +/- 0,5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18,4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34,8 +/- 0,9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I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37,7 +/- 0,3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25" t="s">
        <v>58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24" t="s">
        <v>61</v>
      </c>
      <c r="D30" s="24"/>
      <c r="E30" s="20"/>
    </row>
    <row r="31" spans="1:12">
      <c r="A31" s="18" t="s">
        <v>20</v>
      </c>
      <c r="B31" s="18" t="s">
        <v>21</v>
      </c>
      <c r="C31" s="24" t="s">
        <v>62</v>
      </c>
      <c r="D31" s="24"/>
      <c r="E31" s="20"/>
    </row>
    <row r="32" spans="1:12">
      <c r="A32" s="18" t="s">
        <v>22</v>
      </c>
      <c r="B32" s="18" t="s">
        <v>63</v>
      </c>
      <c r="C32" s="24" t="s">
        <v>64</v>
      </c>
      <c r="D32" s="24"/>
      <c r="E32" s="20"/>
    </row>
    <row r="33" spans="1:5">
      <c r="A33" s="18" t="s">
        <v>65</v>
      </c>
      <c r="B33" s="18" t="s">
        <v>66</v>
      </c>
      <c r="C33" s="24" t="s">
        <v>67</v>
      </c>
      <c r="D33" s="24"/>
      <c r="E33" s="20"/>
    </row>
    <row r="34" spans="1:5">
      <c r="A34" s="18" t="s">
        <v>17</v>
      </c>
      <c r="B34" s="18" t="s">
        <v>68</v>
      </c>
      <c r="C34" s="24" t="s">
        <v>69</v>
      </c>
      <c r="D34" s="24"/>
      <c r="E34" s="20"/>
    </row>
    <row r="35" spans="1:5">
      <c r="A35" s="18" t="s">
        <v>70</v>
      </c>
      <c r="B35" s="18" t="s">
        <v>71</v>
      </c>
      <c r="C35" s="24" t="s">
        <v>72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211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24,2 +/- 0,1</v>
      </c>
    </row>
    <row r="3" spans="1:11">
      <c r="A3" s="3">
        <f>Report!A17</f>
        <v>287</v>
      </c>
      <c r="B3" s="3" t="str" cm="1">
        <f t="array" ref="B3">_xlfn.TEXTJOIN(", ", TRUE, IF(Analysis!$A$2:$A$82=A3, Analysis!$H$2:$H$82, ""))</f>
        <v>N, S, N, N</v>
      </c>
      <c r="C3" s="3" t="str" cm="1">
        <f t="array" ref="C3">_xlfn.TEXTJOIN(", ", TRUE, IF(Analysis!$A$2:$A$82=A3, Analysis!$I$2:$I$82, ""))</f>
        <v>negative, RNA suspect,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>37,7</v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25,2 +/- 0,1</v>
      </c>
    </row>
    <row r="4" spans="1:11">
      <c r="A4" s="3">
        <f>Report!A18</f>
        <v>296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22,9 +/- 0,1</v>
      </c>
    </row>
    <row r="5" spans="1:11">
      <c r="A5" s="3">
        <f>Report!A19</f>
        <v>297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21,8 +/- 0</v>
      </c>
    </row>
    <row r="6" spans="1:11">
      <c r="A6" s="3">
        <f>Report!A20</f>
        <v>298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21,7 +/- 0,1</v>
      </c>
    </row>
    <row r="7" spans="1:11">
      <c r="A7" s="3">
        <f>Report!A21</f>
        <v>299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21,7 +/- 0,1</v>
      </c>
      <c r="K7" s="4"/>
    </row>
    <row r="8" spans="1:11">
      <c r="A8" s="3">
        <f>Report!A22</f>
        <v>300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 +/- 0</v>
      </c>
    </row>
    <row r="9" spans="1:11">
      <c r="A9" s="3">
        <f>Report!A23</f>
        <v>301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24,1 +/- 0,1</v>
      </c>
    </row>
    <row r="10" spans="1:11">
      <c r="A10" s="3">
        <f>Report!A24</f>
        <v>302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22,6 +/- 0,3</v>
      </c>
    </row>
    <row r="11" spans="1:11">
      <c r="A11" s="3">
        <f>Report!A25</f>
        <v>303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24,2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22,3 +/- 0,5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18,4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34,8 +/- 0,9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F, F</v>
      </c>
      <c r="C13" s="3" t="str" cm="1">
        <f t="array" ref="C13">_xlfn.TEXTJOIN(", ", TRUE, IF(Analysis!$A$2:$A$82=A13, Analysis!$I$2:$I$82, ""))</f>
        <v>clean, clean, RNAseP, RNAseP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Tie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37,7 +/- 0,3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2025-10-23T12:46:15+00:00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38E121-44FC-4251-BFE1-FB5332C311FA}"/>
</file>

<file path=customXml/itemProps2.xml><?xml version="1.0" encoding="utf-8"?>
<ds:datastoreItem xmlns:ds="http://schemas.openxmlformats.org/officeDocument/2006/customXml" ds:itemID="{076EBC9D-FDBE-4F91-9E9C-E350B58C2ADD}"/>
</file>

<file path=customXml/itemProps3.xml><?xml version="1.0" encoding="utf-8"?>
<ds:datastoreItem xmlns:ds="http://schemas.openxmlformats.org/officeDocument/2006/customXml" ds:itemID="{1B9831EF-5ABF-4F95-AE38-ACEFEEDB8E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Stijn Roge</cp:lastModifiedBy>
  <cp:revision/>
  <dcterms:created xsi:type="dcterms:W3CDTF">2024-04-13T12:12:20Z</dcterms:created>
  <dcterms:modified xsi:type="dcterms:W3CDTF">2025-10-24T15:49:39Z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