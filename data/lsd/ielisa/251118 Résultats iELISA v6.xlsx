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6 - iELISA\0602 - Résults iELISA\"/>
    </mc:Choice>
  </mc:AlternateContent>
  <xr:revisionPtr revIDLastSave="0" documentId="13_ncr:1_{AAF78D1B-1BCD-4B9A-A513-332FAE0A00E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CHANTILLONS" sheetId="6" r:id="rId1"/>
    <sheet name="450-600 nm" sheetId="1" r:id="rId2"/>
    <sheet name="Résultats" sheetId="2" r:id="rId3"/>
  </sheets>
  <definedNames>
    <definedName name="_xlnm.Print_Area" localSheetId="1">'450-600 nm'!$A$1:$M$35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  <c r="G5" i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14" i="2"/>
  <c r="C14" i="2"/>
  <c r="H5" i="1"/>
  <c r="C8" i="1"/>
  <c r="C7" i="1"/>
  <c r="C6" i="1"/>
  <c r="C5" i="1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B24" i="1" l="1"/>
  <c r="E31" i="1" s="1"/>
  <c r="D24" i="1"/>
  <c r="H24" i="1"/>
  <c r="J24" i="1"/>
  <c r="H34" i="1" l="1"/>
  <c r="F52" i="2" s="1"/>
  <c r="G52" i="2" s="1"/>
  <c r="M27" i="1"/>
  <c r="F15" i="2" s="1"/>
  <c r="G15" i="2" s="1"/>
  <c r="L27" i="1"/>
  <c r="F14" i="2" s="1"/>
  <c r="G14" i="2" s="1"/>
  <c r="F24" i="1"/>
  <c r="B33" i="1"/>
  <c r="D46" i="2" s="1"/>
  <c r="E46" i="2" s="1"/>
  <c r="B34" i="1"/>
  <c r="D52" i="2" s="1"/>
  <c r="E52" i="2" s="1"/>
  <c r="F29" i="1"/>
  <c r="D26" i="2" s="1"/>
  <c r="E26" i="2" s="1"/>
  <c r="F31" i="1"/>
  <c r="D38" i="2" s="1"/>
  <c r="E38" i="2" s="1"/>
  <c r="H38" i="2" s="1"/>
  <c r="C30" i="1"/>
  <c r="D29" i="2" s="1"/>
  <c r="E29" i="2" s="1"/>
  <c r="C31" i="1"/>
  <c r="D35" i="2" s="1"/>
  <c r="E35" i="2" s="1"/>
  <c r="G28" i="1"/>
  <c r="D21" i="2" s="1"/>
  <c r="E21" i="2" s="1"/>
  <c r="D28" i="1"/>
  <c r="D18" i="2" s="1"/>
  <c r="E18" i="2" s="1"/>
  <c r="G31" i="1"/>
  <c r="D39" i="2" s="1"/>
  <c r="E39" i="2" s="1"/>
  <c r="G29" i="1"/>
  <c r="D27" i="2" s="1"/>
  <c r="E27" i="2" s="1"/>
  <c r="F27" i="1"/>
  <c r="D14" i="2" s="1"/>
  <c r="E14" i="2" s="1"/>
  <c r="H14" i="2" s="1"/>
  <c r="D33" i="1"/>
  <c r="D48" i="2" s="1"/>
  <c r="E48" i="2" s="1"/>
  <c r="H48" i="2" s="1"/>
  <c r="C34" i="1"/>
  <c r="D53" i="2" s="1"/>
  <c r="E53" i="2" s="1"/>
  <c r="C33" i="1"/>
  <c r="D47" i="2" s="1"/>
  <c r="E47" i="2" s="1"/>
  <c r="F32" i="1"/>
  <c r="D44" i="2" s="1"/>
  <c r="E44" i="2" s="1"/>
  <c r="F34" i="1"/>
  <c r="D56" i="2" s="1"/>
  <c r="E56" i="2" s="1"/>
  <c r="D31" i="1"/>
  <c r="D36" i="2" s="1"/>
  <c r="E36" i="2" s="1"/>
  <c r="C29" i="1"/>
  <c r="D23" i="2" s="1"/>
  <c r="E23" i="2" s="1"/>
  <c r="F33" i="1"/>
  <c r="D50" i="2" s="1"/>
  <c r="E50" i="2" s="1"/>
  <c r="G30" i="1"/>
  <c r="D33" i="2" s="1"/>
  <c r="E33" i="2" s="1"/>
  <c r="H33" i="2" s="1"/>
  <c r="K33" i="1"/>
  <c r="F49" i="2" s="1"/>
  <c r="G49" i="2" s="1"/>
  <c r="E34" i="1"/>
  <c r="D55" i="2" s="1"/>
  <c r="E55" i="2" s="1"/>
  <c r="G33" i="1"/>
  <c r="D51" i="2" s="1"/>
  <c r="E51" i="2" s="1"/>
  <c r="B30" i="1"/>
  <c r="D28" i="2" s="1"/>
  <c r="E28" i="2" s="1"/>
  <c r="D30" i="1"/>
  <c r="D30" i="2" s="1"/>
  <c r="E30" i="2" s="1"/>
  <c r="B32" i="1"/>
  <c r="D40" i="2" s="1"/>
  <c r="E40" i="2" s="1"/>
  <c r="G34" i="1"/>
  <c r="D57" i="2" s="1"/>
  <c r="E57" i="2" s="1"/>
  <c r="K30" i="1"/>
  <c r="F31" i="2" s="1"/>
  <c r="G31" i="2" s="1"/>
  <c r="M31" i="1"/>
  <c r="F39" i="2" s="1"/>
  <c r="G39" i="2" s="1"/>
  <c r="E28" i="1"/>
  <c r="D19" i="2" s="1"/>
  <c r="E19" i="2" s="1"/>
  <c r="D34" i="1"/>
  <c r="D54" i="2" s="1"/>
  <c r="E54" i="2" s="1"/>
  <c r="B28" i="1"/>
  <c r="D16" i="2" s="1"/>
  <c r="E16" i="2" s="1"/>
  <c r="L31" i="1"/>
  <c r="F38" i="2" s="1"/>
  <c r="G38" i="2" s="1"/>
  <c r="E29" i="1"/>
  <c r="D25" i="2" s="1"/>
  <c r="E25" i="2" s="1"/>
  <c r="G27" i="1"/>
  <c r="D15" i="2" s="1"/>
  <c r="E15" i="2" s="1"/>
  <c r="C28" i="1"/>
  <c r="D17" i="2" s="1"/>
  <c r="E17" i="2" s="1"/>
  <c r="H17" i="2" s="1"/>
  <c r="I28" i="1"/>
  <c r="F17" i="2" s="1"/>
  <c r="G17" i="2" s="1"/>
  <c r="H33" i="1"/>
  <c r="F46" i="2" s="1"/>
  <c r="G46" i="2" s="1"/>
  <c r="L29" i="1"/>
  <c r="F26" i="2" s="1"/>
  <c r="G26" i="2" s="1"/>
  <c r="M33" i="1"/>
  <c r="F51" i="2" s="1"/>
  <c r="G51" i="2" s="1"/>
  <c r="J29" i="1"/>
  <c r="F24" i="2" s="1"/>
  <c r="G24" i="2" s="1"/>
  <c r="H31" i="1"/>
  <c r="F34" i="2" s="1"/>
  <c r="G34" i="2" s="1"/>
  <c r="D29" i="1"/>
  <c r="D24" i="2" s="1"/>
  <c r="E24" i="2" s="1"/>
  <c r="H24" i="2" s="1"/>
  <c r="B31" i="1"/>
  <c r="D34" i="2" s="1"/>
  <c r="E34" i="2" s="1"/>
  <c r="H34" i="2" s="1"/>
  <c r="C32" i="1"/>
  <c r="D41" i="2" s="1"/>
  <c r="E41" i="2" s="1"/>
  <c r="E32" i="1"/>
  <c r="D43" i="2" s="1"/>
  <c r="E43" i="2" s="1"/>
  <c r="F28" i="1"/>
  <c r="D20" i="2" s="1"/>
  <c r="E20" i="2" s="1"/>
  <c r="L30" i="1"/>
  <c r="F32" i="2" s="1"/>
  <c r="G32" i="2" s="1"/>
  <c r="B29" i="1"/>
  <c r="D22" i="2" s="1"/>
  <c r="E22" i="2" s="1"/>
  <c r="E30" i="1"/>
  <c r="D31" i="2" s="1"/>
  <c r="E31" i="2" s="1"/>
  <c r="F30" i="1"/>
  <c r="D32" i="2" s="1"/>
  <c r="E32" i="2" s="1"/>
  <c r="H32" i="2" s="1"/>
  <c r="D32" i="1"/>
  <c r="D42" i="2" s="1"/>
  <c r="E42" i="2" s="1"/>
  <c r="G32" i="1"/>
  <c r="D45" i="2" s="1"/>
  <c r="E45" i="2" s="1"/>
  <c r="E33" i="1"/>
  <c r="D49" i="2" s="1"/>
  <c r="E49" i="2" s="1"/>
  <c r="H49" i="2" s="1"/>
  <c r="I34" i="1"/>
  <c r="F53" i="2" s="1"/>
  <c r="G53" i="2" s="1"/>
  <c r="M34" i="1"/>
  <c r="F57" i="2" s="1"/>
  <c r="G57" i="2" s="1"/>
  <c r="I33" i="1"/>
  <c r="F47" i="2" s="1"/>
  <c r="G47" i="2" s="1"/>
  <c r="L28" i="1"/>
  <c r="F20" i="2" s="1"/>
  <c r="G20" i="2" s="1"/>
  <c r="M30" i="1"/>
  <c r="F33" i="2" s="1"/>
  <c r="G33" i="2" s="1"/>
  <c r="K34" i="1"/>
  <c r="F55" i="2" s="1"/>
  <c r="G55" i="2" s="1"/>
  <c r="J31" i="1"/>
  <c r="F36" i="2" s="1"/>
  <c r="G36" i="2" s="1"/>
  <c r="K28" i="1"/>
  <c r="F19" i="2" s="1"/>
  <c r="G19" i="2" s="1"/>
  <c r="K29" i="1"/>
  <c r="F25" i="2" s="1"/>
  <c r="G25" i="2" s="1"/>
  <c r="M32" i="1"/>
  <c r="F45" i="2" s="1"/>
  <c r="G45" i="2" s="1"/>
  <c r="I32" i="1"/>
  <c r="F41" i="2" s="1"/>
  <c r="G41" i="2" s="1"/>
  <c r="M29" i="1"/>
  <c r="F27" i="2" s="1"/>
  <c r="G27" i="2" s="1"/>
  <c r="L32" i="1"/>
  <c r="F44" i="2" s="1"/>
  <c r="G44" i="2" s="1"/>
  <c r="K31" i="1"/>
  <c r="F37" i="2" s="1"/>
  <c r="G37" i="2" s="1"/>
  <c r="H32" i="1"/>
  <c r="F40" i="2" s="1"/>
  <c r="G40" i="2" s="1"/>
  <c r="J32" i="1"/>
  <c r="F42" i="2" s="1"/>
  <c r="G42" i="2" s="1"/>
  <c r="L34" i="1"/>
  <c r="F56" i="2" s="1"/>
  <c r="G56" i="2" s="1"/>
  <c r="J28" i="1"/>
  <c r="F18" i="2" s="1"/>
  <c r="G18" i="2" s="1"/>
  <c r="J33" i="1"/>
  <c r="F48" i="2" s="1"/>
  <c r="G48" i="2" s="1"/>
  <c r="L33" i="1"/>
  <c r="F50" i="2" s="1"/>
  <c r="G50" i="2" s="1"/>
  <c r="H30" i="1"/>
  <c r="F28" i="2" s="1"/>
  <c r="G28" i="2" s="1"/>
  <c r="H28" i="1"/>
  <c r="F16" i="2" s="1"/>
  <c r="G16" i="2" s="1"/>
  <c r="I31" i="1"/>
  <c r="F35" i="2" s="1"/>
  <c r="G35" i="2" s="1"/>
  <c r="M28" i="1"/>
  <c r="F21" i="2" s="1"/>
  <c r="G21" i="2" s="1"/>
  <c r="H29" i="1"/>
  <c r="F22" i="2" s="1"/>
  <c r="G22" i="2" s="1"/>
  <c r="L24" i="1"/>
  <c r="J34" i="1"/>
  <c r="F54" i="2" s="1"/>
  <c r="G54" i="2" s="1"/>
  <c r="K32" i="1"/>
  <c r="F43" i="2" s="1"/>
  <c r="G43" i="2" s="1"/>
  <c r="I30" i="1"/>
  <c r="F29" i="2" s="1"/>
  <c r="G29" i="2" s="1"/>
  <c r="J30" i="1"/>
  <c r="F30" i="2" s="1"/>
  <c r="G30" i="2" s="1"/>
  <c r="I29" i="1"/>
  <c r="F23" i="2" s="1"/>
  <c r="G23" i="2" s="1"/>
  <c r="D37" i="2"/>
  <c r="E37" i="2" s="1"/>
  <c r="H37" i="2" l="1"/>
  <c r="H43" i="2"/>
  <c r="H55" i="2"/>
  <c r="H47" i="2"/>
  <c r="H35" i="2"/>
  <c r="H15" i="2"/>
  <c r="H57" i="2"/>
  <c r="H50" i="2"/>
  <c r="H26" i="2"/>
  <c r="H42" i="2"/>
  <c r="H25" i="2"/>
  <c r="H40" i="2"/>
  <c r="H23" i="2"/>
  <c r="H27" i="2"/>
  <c r="H52" i="2"/>
  <c r="H31" i="2"/>
  <c r="H22" i="2"/>
  <c r="H30" i="2"/>
  <c r="H36" i="2"/>
  <c r="H39" i="2"/>
  <c r="H46" i="2"/>
  <c r="H16" i="2"/>
  <c r="H28" i="2"/>
  <c r="H56" i="2"/>
  <c r="H18" i="2"/>
  <c r="H19" i="2"/>
  <c r="H20" i="2"/>
  <c r="H54" i="2"/>
  <c r="H51" i="2"/>
  <c r="H44" i="2"/>
  <c r="H21" i="2"/>
  <c r="H45" i="2"/>
  <c r="H41" i="2"/>
  <c r="H53" i="2"/>
  <c r="H29" i="2"/>
</calcChain>
</file>

<file path=xl/sharedStrings.xml><?xml version="1.0" encoding="utf-8"?>
<sst xmlns="http://schemas.openxmlformats.org/spreadsheetml/2006/main" count="197" uniqueCount="92">
  <si>
    <t>A</t>
  </si>
  <si>
    <t>B</t>
  </si>
  <si>
    <t>C</t>
  </si>
  <si>
    <t>D</t>
  </si>
  <si>
    <t>E</t>
  </si>
  <si>
    <t>F</t>
  </si>
  <si>
    <t>G</t>
  </si>
  <si>
    <t>H</t>
  </si>
  <si>
    <t>LiTat 1.3</t>
  </si>
  <si>
    <t>LiTat 1.5</t>
  </si>
  <si>
    <t>Formulaire d'identification des échantillons</t>
  </si>
  <si>
    <t>Opérateur</t>
  </si>
  <si>
    <t>N° du Lot</t>
  </si>
  <si>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iELISA (apDIA)</t>
    </r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</si>
  <si>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</si>
  <si>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</si>
  <si>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</si>
  <si>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</si>
  <si>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</si>
  <si>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</si>
  <si>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</si>
  <si>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</si>
  <si>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</si>
  <si>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</si>
  <si>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</si>
  <si>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</si>
  <si>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</si>
  <si>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</si>
  <si>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</si>
  <si>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</si>
  <si>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</si>
  <si>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</si>
  <si>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</si>
  <si>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</si>
  <si>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</si>
  <si>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</si>
  <si>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</si>
  <si>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</si>
  <si>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</si>
  <si>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</si>
  <si>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</si>
  <si>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</si>
  <si>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</si>
  <si>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</si>
  <si>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</si>
  <si>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</si>
  <si>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</si>
  <si>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</si>
  <si>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</si>
  <si>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</si>
  <si>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</si>
  <si>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</si>
  <si>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</si>
  <si>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</si>
  <si>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</si>
  <si>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</si>
  <si>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</si>
  <si>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</si>
  <si>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N° de la plaque</t>
  </si>
  <si>
    <t xml:space="preserve">Date </t>
  </si>
  <si>
    <t>Résultats brutes</t>
  </si>
  <si>
    <t>Formulaire des résultats</t>
  </si>
  <si>
    <t>Cut off</t>
  </si>
  <si>
    <t>Filtre (nm)</t>
  </si>
  <si>
    <t>Etude</t>
  </si>
  <si>
    <t>Date de preparation</t>
  </si>
  <si>
    <t>Operateur</t>
  </si>
  <si>
    <t>N de seriés d'échantillons</t>
  </si>
  <si>
    <t>Étude/origin</t>
  </si>
  <si>
    <t>N° échantillon dans la microplaque</t>
  </si>
  <si>
    <t>Commentaire (en cas de problème ou irregularité)</t>
  </si>
  <si>
    <t>Date de préparation</t>
  </si>
  <si>
    <t>Etude/origine</t>
  </si>
  <si>
    <t>N° du lot du kit</t>
  </si>
  <si>
    <t>Numéro du lot iELISA</t>
  </si>
  <si>
    <r>
      <rPr>
        <b/>
        <i/>
        <u/>
        <sz val="14"/>
        <color theme="1"/>
        <rFont val="Arial"/>
        <family val="2"/>
      </rPr>
      <t>Trypanosoma brucei gambiense</t>
    </r>
    <r>
      <rPr>
        <b/>
        <u/>
        <sz val="14"/>
        <color theme="1"/>
        <rFont val="Arial"/>
        <family val="2"/>
      </rPr>
      <t xml:space="preserve"> inhibition ELISA (iELISA)</t>
    </r>
  </si>
  <si>
    <t>Commentaire (en cas de problème ou irrégularité)</t>
  </si>
  <si>
    <t>450-600 nm</t>
  </si>
  <si>
    <t>Résultat</t>
  </si>
  <si>
    <t>Moyenne contrôle nég LiTat 1.3</t>
  </si>
  <si>
    <t>Moyenne contrôle pos LiTat 1.3</t>
  </si>
  <si>
    <t>Moyenne contrôle pos LiTat 1.5</t>
  </si>
  <si>
    <t>Moyenne contrôle nég LiTat 1.5</t>
  </si>
  <si>
    <t>PI CP LiTat 1.3</t>
  </si>
  <si>
    <t>PI C pos LiTat 1.5</t>
  </si>
  <si>
    <t>Numéro labo</t>
  </si>
  <si>
    <t>Code-barres KPS</t>
  </si>
  <si>
    <t>Pourcentage d'inhibition</t>
  </si>
  <si>
    <t>Résultat final</t>
  </si>
  <si>
    <t>Validation (Echec/Valide)</t>
  </si>
  <si>
    <t>HM</t>
  </si>
  <si>
    <t>DP ET 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</si>
</sst>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u/>
      <sz val="14"/>
      <color theme="1"/>
      <name val="Arial"/>
      <family val="2"/>
    </font>
    <font>
      <b/>
      <i/>
      <u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darkGray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0" fontId="0" fillId="0" borderId="0" xfId="0" quotePrefix="1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1" fillId="0" borderId="1" xfId="0" applyFont="1" applyBorder="1"/>
    <xf numFmtId="164" fontId="0" fillId="3" borderId="1" xfId="0" applyNumberFormat="1" applyFill="1" applyBorder="1"/>
    <xf numFmtId="0" fontId="0" fillId="6" borderId="1" xfId="0" applyFill="1" applyBorder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7" fillId="0" borderId="0" xfId="0" applyFont="1"/>
    <xf numFmtId="14" fontId="5" fillId="7" borderId="1" xfId="0" applyNumberFormat="1" applyFont="1" applyFill="1" applyBorder="1" applyAlignment="1" applyProtection="1">
      <alignment horizontal="center" vertical="center"/>
      <protection locked="0"/>
    </xf>
    <xf numFmtId="165" fontId="0" fillId="8" borderId="0" xfId="0" applyNumberFormat="1" applyFill="1" applyProtection="1">
      <protection locked="0"/>
    </xf>
    <xf numFmtId="0" fontId="5" fillId="7" borderId="1" xfId="0" applyFont="1" applyFill="1" applyBorder="1" applyAlignment="1" applyProtection="1">
      <alignment horizontal="center" vertical="center"/>
      <protection locked="0"/>
    </xf>
    <xf numFmtId="0" fontId="7" fillId="7" borderId="1" xfId="0" applyFont="1" applyFill="1" applyBorder="1" applyAlignment="1" applyProtection="1">
      <alignment horizontal="center" vertical="center" wrapText="1"/>
      <protection locked="0"/>
    </xf>
    <xf numFmtId="1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5" xfId="0" applyFont="1" applyBorder="1"/>
    <xf numFmtId="0" fontId="4" fillId="8" borderId="4" xfId="0" applyFont="1" applyFill="1" applyBorder="1"/>
    <xf numFmtId="0" fontId="2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4" fillId="8" borderId="2" xfId="0" applyFont="1" applyFill="1" applyBorder="1" applyAlignment="1">
      <alignment horizontal="left" vertical="center"/>
    </xf>
    <xf numFmtId="0" fontId="4" fillId="8" borderId="3" xfId="0" applyFont="1" applyFill="1" applyBorder="1"/>
    <xf numFmtId="0" fontId="4" fillId="0" borderId="9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10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4" fillId="8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/>
    <xf numFmtId="0" fontId="4" fillId="3" borderId="7" xfId="0" applyFont="1" applyFill="1" applyBorder="1" applyAlignment="1">
      <alignment horizontal="left"/>
    </xf>
    <xf numFmtId="164" fontId="11" fillId="3" borderId="7" xfId="0" applyNumberFormat="1" applyFont="1" applyFill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horizontal="left"/>
    </xf>
    <xf numFmtId="164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9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164" fontId="1" fillId="5" borderId="2" xfId="0" applyNumberFormat="1" applyFont="1" applyFill="1" applyBorder="1" applyAlignment="1">
      <alignment horizontal="center" vertical="center"/>
    </xf>
    <xf numFmtId="164" fontId="1" fillId="5" borderId="4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5" fontId="1" fillId="5" borderId="2" xfId="0" applyNumberFormat="1" applyFont="1" applyFill="1" applyBorder="1" applyAlignment="1">
      <alignment horizontal="center" vertical="center"/>
    </xf>
    <xf numFmtId="165" fontId="1" fillId="5" borderId="4" xfId="0" applyNumberFormat="1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opLeftCell="A12" zoomScaleNormal="100" workbookViewId="0">
      <selection activeCell="J29" sqref="J29"/>
    </sheetView>
  </sheetViews>
  <sheetFormatPr baseColWidth="10" defaultColWidth="9.140625" defaultRowHeight="15" x14ac:dyDescent="0.25"/>
  <cols>
    <col min="1" max="1" width="20.28515625" style="11" customWidth="1"/>
    <col min="2" max="2" width="13.85546875" style="11" customWidth="1"/>
    <col min="3" max="3" width="22.85546875" style="11" customWidth="1"/>
    <col min="4" max="4" width="54.5703125" style="11" customWidth="1"/>
    <col min="5" max="5" width="8.7109375" style="11"/>
  </cols>
  <sheetData>
    <row r="1" spans="1:5" ht="18.75" x14ac:dyDescent="0.3">
      <c r="A1" s="56" t="s">
        <v>75</v>
      </c>
      <c r="B1" s="56"/>
      <c r="C1" s="56"/>
      <c r="D1" s="56"/>
    </row>
    <row r="3" spans="1:5" ht="18" x14ac:dyDescent="0.25">
      <c r="A3" s="12" t="s">
        <v>10</v>
      </c>
      <c r="B3" s="12"/>
    </row>
    <row r="6" spans="1:5" x14ac:dyDescent="0.25">
      <c r="A6" s="16" t="s">
        <v>65</v>
      </c>
      <c r="B6" s="16"/>
      <c r="C6" s="17"/>
    </row>
    <row r="7" spans="1:5" x14ac:dyDescent="0.25">
      <c r="A7" s="16" t="s">
        <v>66</v>
      </c>
      <c r="B7" s="16"/>
      <c r="C7" s="19"/>
    </row>
    <row r="8" spans="1:5" x14ac:dyDescent="0.25">
      <c r="A8" s="16" t="s">
        <v>74</v>
      </c>
      <c r="B8" s="16"/>
      <c r="C8" s="19">
        <v>3915223</v>
      </c>
    </row>
    <row r="9" spans="1:5" x14ac:dyDescent="0.25">
      <c r="A9" s="16" t="s">
        <v>67</v>
      </c>
      <c r="B9" s="16"/>
      <c r="C9" s="19"/>
    </row>
    <row r="10" spans="1:5" x14ac:dyDescent="0.25">
      <c r="A10" s="16" t="s">
        <v>68</v>
      </c>
      <c r="B10" s="16"/>
      <c r="C10" s="19"/>
    </row>
    <row r="11" spans="1:5" x14ac:dyDescent="0.25">
      <c r="A11" s="16"/>
      <c r="B11" s="16"/>
    </row>
    <row r="14" spans="1:5" ht="27.95" customHeight="1" x14ac:dyDescent="0.25">
      <c r="A14" s="13" t="s">
        <v>69</v>
      </c>
      <c r="B14" s="13" t="s">
        <v>85</v>
      </c>
      <c r="C14" s="13" t="s">
        <v>86</v>
      </c>
      <c r="D14" s="13" t="s">
        <v>70</v>
      </c>
      <c r="E14" s="14"/>
    </row>
    <row r="15" spans="1:5" ht="20.45" customHeight="1" x14ac:dyDescent="0.25">
      <c r="A15" s="15" t="s">
        <v>14</v>
      </c>
      <c r="B15" s="19">
        <v>398</v>
      </c>
      <c r="C15" s="19">
        <v>2500107</v>
      </c>
      <c r="D15" s="20"/>
      <c r="E15" s="14"/>
    </row>
    <row r="16" spans="1:5" ht="20.100000000000001" customHeight="1" x14ac:dyDescent="0.25">
      <c r="A16" s="15" t="s">
        <v>15</v>
      </c>
      <c r="B16" s="19">
        <v>399</v>
      </c>
      <c r="C16" s="19">
        <v>2500015</v>
      </c>
      <c r="D16" s="20"/>
      <c r="E16" s="14"/>
    </row>
    <row r="17" spans="1:5" ht="20.45" customHeight="1" x14ac:dyDescent="0.25">
      <c r="A17" s="15" t="s">
        <v>16</v>
      </c>
      <c r="B17" s="19">
        <v>400</v>
      </c>
      <c r="C17" s="19">
        <v>2500592</v>
      </c>
      <c r="D17" s="20"/>
      <c r="E17" s="14"/>
    </row>
    <row r="18" spans="1:5" ht="20.45" customHeight="1" x14ac:dyDescent="0.25">
      <c r="A18" s="15" t="s">
        <v>17</v>
      </c>
      <c r="B18" s="19">
        <v>401</v>
      </c>
      <c r="C18" s="19">
        <v>2500737</v>
      </c>
      <c r="D18" s="20"/>
      <c r="E18" s="14"/>
    </row>
    <row r="19" spans="1:5" ht="20.45" customHeight="1" x14ac:dyDescent="0.25">
      <c r="A19" s="15" t="s">
        <v>18</v>
      </c>
      <c r="B19" s="19">
        <v>402</v>
      </c>
      <c r="C19" s="19">
        <v>2500735</v>
      </c>
      <c r="D19" s="20"/>
      <c r="E19" s="14"/>
    </row>
    <row r="20" spans="1:5" ht="20.45" customHeight="1" x14ac:dyDescent="0.25">
      <c r="A20" s="15" t="s">
        <v>19</v>
      </c>
      <c r="B20" s="19">
        <v>403</v>
      </c>
      <c r="C20" s="19">
        <v>2500739</v>
      </c>
      <c r="D20" s="20"/>
      <c r="E20" s="14"/>
    </row>
    <row r="21" spans="1:5" ht="20.45" customHeight="1" x14ac:dyDescent="0.25">
      <c r="A21" s="15" t="s">
        <v>20</v>
      </c>
      <c r="B21" s="19">
        <v>404</v>
      </c>
      <c r="C21" s="19">
        <v>2500155</v>
      </c>
      <c r="D21" s="20"/>
      <c r="E21" s="14"/>
    </row>
    <row r="22" spans="1:5" ht="20.45" customHeight="1" x14ac:dyDescent="0.25">
      <c r="A22" s="15" t="s">
        <v>21</v>
      </c>
      <c r="B22" s="19">
        <v>405</v>
      </c>
      <c r="C22" s="19">
        <v>2500899</v>
      </c>
      <c r="D22" s="20"/>
      <c r="E22" s="14"/>
    </row>
    <row r="23" spans="1:5" ht="23.1" customHeight="1" x14ac:dyDescent="0.25">
      <c r="A23" s="15" t="s">
        <v>22</v>
      </c>
      <c r="B23" s="19">
        <v>406</v>
      </c>
      <c r="C23" s="19">
        <v>2500835</v>
      </c>
      <c r="D23" s="20"/>
      <c r="E23" s="14"/>
    </row>
    <row r="24" spans="1:5" ht="20.45" customHeight="1" x14ac:dyDescent="0.25">
      <c r="A24" s="15" t="s">
        <v>23</v>
      </c>
      <c r="B24" s="19">
        <v>407</v>
      </c>
      <c r="C24" s="19">
        <v>2500830</v>
      </c>
      <c r="D24" s="20"/>
      <c r="E24" s="14"/>
    </row>
    <row r="25" spans="1:5" ht="20.45" customHeight="1" x14ac:dyDescent="0.25">
      <c r="A25" s="15" t="s">
        <v>24</v>
      </c>
      <c r="B25" s="19">
        <v>408</v>
      </c>
      <c r="C25" s="19">
        <v>2500808</v>
      </c>
      <c r="D25" s="20"/>
      <c r="E25" s="14"/>
    </row>
    <row r="26" spans="1:5" ht="20.45" customHeight="1" x14ac:dyDescent="0.25">
      <c r="A26" s="15" t="s">
        <v>25</v>
      </c>
      <c r="B26" s="19">
        <v>409</v>
      </c>
      <c r="C26" s="19">
        <v>2500996</v>
      </c>
      <c r="D26" s="20"/>
      <c r="E26" s="14"/>
    </row>
    <row r="27" spans="1:5" ht="20.45" customHeight="1" x14ac:dyDescent="0.25">
      <c r="A27" s="15" t="s">
        <v>26</v>
      </c>
      <c r="B27" s="19">
        <v>410</v>
      </c>
      <c r="C27" s="19">
        <v>2500804</v>
      </c>
      <c r="D27" s="20"/>
      <c r="E27" s="14"/>
    </row>
    <row r="28" spans="1:5" ht="20.45" customHeight="1" x14ac:dyDescent="0.25">
      <c r="A28" s="15" t="s">
        <v>27</v>
      </c>
      <c r="B28" s="19">
        <v>411</v>
      </c>
      <c r="C28" s="19">
        <v>2500923</v>
      </c>
      <c r="D28" s="20"/>
      <c r="E28" s="14"/>
    </row>
    <row r="29" spans="1:5" ht="20.45" customHeight="1" x14ac:dyDescent="0.25">
      <c r="A29" s="15" t="s">
        <v>28</v>
      </c>
      <c r="B29" s="19">
        <v>412</v>
      </c>
      <c r="C29" s="19">
        <v>2402981</v>
      </c>
      <c r="D29" s="20"/>
      <c r="E29" s="14"/>
    </row>
    <row r="30" spans="1:5" ht="20.45" customHeight="1" x14ac:dyDescent="0.25">
      <c r="A30" s="15" t="s">
        <v>29</v>
      </c>
      <c r="B30" s="19">
        <v>413</v>
      </c>
      <c r="C30" s="19">
        <v>2501995</v>
      </c>
      <c r="D30" s="20"/>
      <c r="E30" s="14"/>
    </row>
    <row r="31" spans="1:5" ht="20.100000000000001" customHeight="1" x14ac:dyDescent="0.25">
      <c r="A31" s="15" t="s">
        <v>30</v>
      </c>
      <c r="B31" s="19">
        <v>414</v>
      </c>
      <c r="C31" s="19">
        <v>2501914</v>
      </c>
      <c r="D31" s="20"/>
      <c r="E31" s="14"/>
    </row>
    <row r="32" spans="1:5" ht="20.45" customHeight="1" x14ac:dyDescent="0.25">
      <c r="A32" s="15" t="s">
        <v>31</v>
      </c>
      <c r="B32" s="19">
        <v>415</v>
      </c>
      <c r="C32" s="19">
        <v>2501223</v>
      </c>
      <c r="D32" s="20"/>
      <c r="E32" s="14"/>
    </row>
    <row r="33" spans="1:5" ht="20.45" customHeight="1" x14ac:dyDescent="0.25">
      <c r="A33" s="15" t="s">
        <v>32</v>
      </c>
      <c r="B33" s="19">
        <v>416</v>
      </c>
      <c r="C33" s="19">
        <v>2500145</v>
      </c>
      <c r="D33" s="20"/>
      <c r="E33" s="14"/>
    </row>
    <row r="34" spans="1:5" ht="20.45" customHeight="1" x14ac:dyDescent="0.25">
      <c r="A34" s="15" t="s">
        <v>33</v>
      </c>
      <c r="B34" s="19">
        <v>417</v>
      </c>
      <c r="C34" s="19">
        <v>2500074</v>
      </c>
      <c r="D34" s="20"/>
      <c r="E34" s="14"/>
    </row>
    <row r="35" spans="1:5" ht="20.45" customHeight="1" x14ac:dyDescent="0.25">
      <c r="A35" s="15" t="s">
        <v>34</v>
      </c>
      <c r="B35" s="19">
        <v>418</v>
      </c>
      <c r="C35" s="19">
        <v>2501219</v>
      </c>
      <c r="D35" s="20"/>
      <c r="E35" s="14"/>
    </row>
    <row r="36" spans="1:5" ht="20.45" customHeight="1" x14ac:dyDescent="0.25">
      <c r="A36" s="15" t="s">
        <v>35</v>
      </c>
      <c r="B36" s="19">
        <v>419</v>
      </c>
      <c r="C36" s="19">
        <v>2501217</v>
      </c>
      <c r="D36" s="20"/>
      <c r="E36" s="14"/>
    </row>
    <row r="37" spans="1:5" ht="20.45" customHeight="1" x14ac:dyDescent="0.25">
      <c r="A37" s="15" t="s">
        <v>36</v>
      </c>
      <c r="B37" s="19">
        <v>420</v>
      </c>
      <c r="C37" s="19">
        <v>2501218</v>
      </c>
      <c r="D37" s="20"/>
      <c r="E37" s="14"/>
    </row>
    <row r="38" spans="1:5" ht="20.100000000000001" customHeight="1" x14ac:dyDescent="0.25">
      <c r="A38" s="15" t="s">
        <v>37</v>
      </c>
      <c r="B38" s="19">
        <v>421</v>
      </c>
      <c r="C38" s="19">
        <v>2501894</v>
      </c>
      <c r="D38" s="20"/>
      <c r="E38" s="14"/>
    </row>
    <row r="39" spans="1:5" ht="20.100000000000001" customHeight="1" x14ac:dyDescent="0.25">
      <c r="A39" s="15" t="s">
        <v>38</v>
      </c>
      <c r="B39" s="19">
        <v>422</v>
      </c>
      <c r="C39" s="19">
        <v>2500099</v>
      </c>
      <c r="D39" s="20"/>
      <c r="E39" s="14"/>
    </row>
    <row r="40" spans="1:5" ht="20.45" customHeight="1" x14ac:dyDescent="0.25">
      <c r="A40" s="15" t="s">
        <v>39</v>
      </c>
      <c r="B40" s="19">
        <v>423</v>
      </c>
      <c r="C40" s="19">
        <v>2500100</v>
      </c>
      <c r="D40" s="20"/>
      <c r="E40" s="14"/>
    </row>
    <row r="41" spans="1:5" ht="20.100000000000001" customHeight="1" x14ac:dyDescent="0.25">
      <c r="A41" s="15" t="s">
        <v>40</v>
      </c>
      <c r="B41" s="19">
        <v>424</v>
      </c>
      <c r="C41" s="19">
        <v>2500991</v>
      </c>
      <c r="D41" s="20"/>
      <c r="E41" s="14"/>
    </row>
    <row r="42" spans="1:5" ht="20.45" customHeight="1" x14ac:dyDescent="0.25">
      <c r="A42" s="15" t="s">
        <v>41</v>
      </c>
      <c r="B42" s="19">
        <v>425</v>
      </c>
      <c r="C42" s="19">
        <v>2500994</v>
      </c>
      <c r="D42" s="20"/>
      <c r="E42" s="14"/>
    </row>
    <row r="43" spans="1:5" ht="20.45" customHeight="1" x14ac:dyDescent="0.25">
      <c r="A43" s="15" t="s">
        <v>42</v>
      </c>
      <c r="B43" s="19">
        <v>426</v>
      </c>
      <c r="C43" s="19">
        <v>2501919</v>
      </c>
      <c r="D43" s="20"/>
      <c r="E43" s="14"/>
    </row>
    <row r="44" spans="1:5" ht="20.45" customHeight="1" x14ac:dyDescent="0.25">
      <c r="A44" s="15" t="s">
        <v>43</v>
      </c>
      <c r="B44" s="19">
        <v>427</v>
      </c>
      <c r="C44" s="19">
        <v>2500773</v>
      </c>
      <c r="D44" s="20"/>
      <c r="E44" s="14"/>
    </row>
    <row r="45" spans="1:5" ht="20.45" customHeight="1" x14ac:dyDescent="0.25">
      <c r="A45" s="15" t="s">
        <v>44</v>
      </c>
      <c r="B45" s="19">
        <v>428</v>
      </c>
      <c r="C45" s="19">
        <v>2500777</v>
      </c>
      <c r="D45" s="20"/>
      <c r="E45" s="14"/>
    </row>
    <row r="46" spans="1:5" ht="20.45" customHeight="1" x14ac:dyDescent="0.25">
      <c r="A46" s="15" t="s">
        <v>45</v>
      </c>
      <c r="B46" s="19">
        <v>429</v>
      </c>
      <c r="C46" s="19">
        <v>2500789</v>
      </c>
      <c r="D46" s="20"/>
      <c r="E46" s="14"/>
    </row>
    <row r="47" spans="1:5" ht="20.45" customHeight="1" x14ac:dyDescent="0.25">
      <c r="A47" s="15" t="s">
        <v>46</v>
      </c>
      <c r="B47" s="19">
        <v>430</v>
      </c>
      <c r="C47" s="19">
        <v>2500788</v>
      </c>
      <c r="D47" s="20"/>
      <c r="E47" s="14"/>
    </row>
    <row r="48" spans="1:5" ht="20.45" customHeight="1" x14ac:dyDescent="0.25">
      <c r="A48" s="15" t="s">
        <v>47</v>
      </c>
      <c r="B48" s="19">
        <v>431</v>
      </c>
      <c r="C48" s="19">
        <v>2500763</v>
      </c>
      <c r="D48" s="20"/>
      <c r="E48" s="14"/>
    </row>
    <row r="49" spans="1:5" ht="20.45" customHeight="1" x14ac:dyDescent="0.25">
      <c r="A49" s="15" t="s">
        <v>48</v>
      </c>
      <c r="B49" s="19">
        <v>432</v>
      </c>
      <c r="C49" s="19">
        <v>2501939</v>
      </c>
      <c r="D49" s="20"/>
      <c r="E49" s="14"/>
    </row>
    <row r="50" spans="1:5" ht="20.45" customHeight="1" x14ac:dyDescent="0.25">
      <c r="A50" s="15" t="s">
        <v>49</v>
      </c>
      <c r="B50" s="19">
        <v>433</v>
      </c>
      <c r="C50" s="19">
        <v>2501936</v>
      </c>
      <c r="D50" s="20"/>
      <c r="E50" s="14"/>
    </row>
    <row r="51" spans="1:5" ht="21.6" customHeight="1" x14ac:dyDescent="0.25">
      <c r="A51" s="15" t="s">
        <v>50</v>
      </c>
      <c r="B51" s="19">
        <v>434</v>
      </c>
      <c r="C51" s="19">
        <v>2500012</v>
      </c>
      <c r="D51" s="20"/>
      <c r="E51" s="14"/>
    </row>
    <row r="52" spans="1:5" ht="20.45" customHeight="1" x14ac:dyDescent="0.25">
      <c r="A52" s="15" t="s">
        <v>51</v>
      </c>
      <c r="B52" s="19">
        <v>435</v>
      </c>
      <c r="C52" s="19">
        <v>2500030</v>
      </c>
      <c r="D52" s="20"/>
      <c r="E52" s="14"/>
    </row>
    <row r="53" spans="1:5" ht="21.6" customHeight="1" x14ac:dyDescent="0.25">
      <c r="A53" s="15" t="s">
        <v>52</v>
      </c>
      <c r="B53" s="19">
        <v>436</v>
      </c>
      <c r="C53" s="19">
        <v>2500005</v>
      </c>
      <c r="D53" s="20"/>
      <c r="E53" s="14"/>
    </row>
    <row r="54" spans="1:5" ht="20.100000000000001" customHeight="1" x14ac:dyDescent="0.25">
      <c r="A54" s="15" t="s">
        <v>53</v>
      </c>
      <c r="B54" s="19">
        <v>437</v>
      </c>
      <c r="C54" s="19">
        <v>2501091</v>
      </c>
      <c r="D54" s="20"/>
      <c r="E54" s="14"/>
    </row>
    <row r="55" spans="1:5" ht="20.45" customHeight="1" x14ac:dyDescent="0.25">
      <c r="A55" s="15" t="s">
        <v>54</v>
      </c>
      <c r="B55" s="19">
        <v>438</v>
      </c>
      <c r="C55" s="19">
        <v>2501075</v>
      </c>
      <c r="D55" s="20"/>
      <c r="E55" s="14"/>
    </row>
    <row r="56" spans="1:5" ht="20.45" customHeight="1" x14ac:dyDescent="0.25">
      <c r="A56" s="15" t="s">
        <v>55</v>
      </c>
      <c r="B56" s="19">
        <v>439</v>
      </c>
      <c r="C56" s="19">
        <v>2501104</v>
      </c>
      <c r="D56" s="20"/>
      <c r="E56" s="14"/>
    </row>
    <row r="57" spans="1:5" ht="20.45" customHeight="1" x14ac:dyDescent="0.25">
      <c r="A57" s="15" t="s">
        <v>56</v>
      </c>
      <c r="B57" s="19">
        <v>440</v>
      </c>
      <c r="C57" s="19">
        <v>2501126</v>
      </c>
      <c r="D57" s="20"/>
      <c r="E57" s="14"/>
    </row>
    <row r="58" spans="1:5" ht="20.100000000000001" customHeight="1" x14ac:dyDescent="0.25">
      <c r="A58" s="15" t="s">
        <v>57</v>
      </c>
      <c r="B58" s="19">
        <v>441</v>
      </c>
      <c r="C58" s="19">
        <v>2501125</v>
      </c>
      <c r="D58" s="20"/>
      <c r="E58" s="14"/>
    </row>
  </sheetData>
  <sheetProtection algorithmName="SHA-512" hashValue="UWY3re5pP2/UYiqVwsTFA4Ss30u1wvEapwMmT/quWKy2/lITtoGuy7PTxOl7suxc2hdIcmlECfebAnD8BGrk4A==" saltValue="/qH/tA/zVY8Evg0zxiLdaA==" spinCount="100000" sheet="1" objects="1" scenarios="1"/>
  <mergeCells count="1">
    <mergeCell ref="A1:D1"/>
  </mergeCells>
  <pageMargins left="0.7" right="0.7" top="0.75" bottom="0.75" header="0.3" footer="0.3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topLeftCell="A3" zoomScale="90" zoomScaleNormal="90" workbookViewId="0">
      <selection activeCell="B13" sqref="B13:M20"/>
    </sheetView>
  </sheetViews>
  <sheetFormatPr baseColWidth="10" defaultColWidth="10.85546875" defaultRowHeight="15" x14ac:dyDescent="0.25"/>
  <cols>
    <col min="2" max="13" width="13.85546875" customWidth="1"/>
  </cols>
  <sheetData>
    <row r="1" spans="1:13" ht="18.75" x14ac:dyDescent="0.3">
      <c r="A1" s="1" t="s">
        <v>13</v>
      </c>
      <c r="B1" s="1"/>
      <c r="C1" s="1"/>
    </row>
    <row r="2" spans="1:13" ht="18.75" x14ac:dyDescent="0.3">
      <c r="A2" s="1"/>
      <c r="B2" s="1"/>
      <c r="C2" s="1"/>
    </row>
    <row r="3" spans="1:13" ht="18.75" x14ac:dyDescent="0.3">
      <c r="A3" s="1" t="s">
        <v>60</v>
      </c>
      <c r="B3" s="1"/>
      <c r="C3" s="1"/>
    </row>
    <row r="4" spans="1:13" ht="18.75" x14ac:dyDescent="0.3">
      <c r="A4" s="1"/>
      <c r="B4" s="1"/>
      <c r="C4" s="1"/>
    </row>
    <row r="5" spans="1:13" ht="15.95" customHeight="1" x14ac:dyDescent="0.25">
      <c r="A5" s="60" t="s">
        <v>59</v>
      </c>
      <c r="B5" s="60"/>
      <c r="C5" s="21" t="str">
        <f>IF(ECHANTILLONS!C6="","",ECHANTILLONS!C6)</f>
        <v/>
      </c>
      <c r="E5" s="24"/>
      <c r="F5" s="25" t="s">
        <v>64</v>
      </c>
      <c r="G5" s="64" t="str">
        <f>IF(ECHANTILLONS!C10="","",ECHANTILLONS!C10)</f>
        <v/>
      </c>
      <c r="H5" s="64" t="str">
        <f>IF(ECHANTILLONS!F6="","",ECHANTILLONS!F6)</f>
        <v/>
      </c>
    </row>
    <row r="6" spans="1:13" ht="15.95" customHeight="1" x14ac:dyDescent="0.25">
      <c r="A6" s="60" t="s">
        <v>11</v>
      </c>
      <c r="B6" s="60"/>
      <c r="C6" s="22" t="str">
        <f>IF(ECHANTILLONS!C7="","",ECHANTILLONS!C7)</f>
        <v/>
      </c>
    </row>
    <row r="7" spans="1:13" ht="15.95" customHeight="1" x14ac:dyDescent="0.25">
      <c r="A7" s="60" t="s">
        <v>12</v>
      </c>
      <c r="B7" s="60"/>
      <c r="C7" s="22">
        <f>IF(ECHANTILLONS!C8="","",ECHANTILLONS!C8)</f>
        <v>3915223</v>
      </c>
    </row>
    <row r="8" spans="1:13" ht="15.95" customHeight="1" x14ac:dyDescent="0.25">
      <c r="A8" s="60" t="s">
        <v>58</v>
      </c>
      <c r="B8" s="60"/>
      <c r="C8" s="22" t="str">
        <f>IF(ECHANTILLONS!C9="","",ECHANTILLONS!C9)</f>
        <v/>
      </c>
    </row>
    <row r="9" spans="1:13" ht="15.95" customHeight="1" x14ac:dyDescent="0.25">
      <c r="A9" s="60" t="s">
        <v>63</v>
      </c>
      <c r="B9" s="60"/>
      <c r="C9" s="23" t="s">
        <v>77</v>
      </c>
    </row>
    <row r="10" spans="1:13" x14ac:dyDescent="0.25">
      <c r="C10" s="2"/>
    </row>
    <row r="12" spans="1:13" x14ac:dyDescent="0.25">
      <c r="B12" s="6">
        <v>1</v>
      </c>
      <c r="C12" s="6">
        <v>2</v>
      </c>
      <c r="D12" s="6">
        <v>3</v>
      </c>
      <c r="E12" s="6">
        <v>4</v>
      </c>
      <c r="F12" s="6">
        <v>5</v>
      </c>
      <c r="G12" s="6">
        <v>6</v>
      </c>
      <c r="H12" s="6">
        <v>7</v>
      </c>
      <c r="I12" s="6">
        <v>8</v>
      </c>
      <c r="J12" s="6">
        <v>9</v>
      </c>
      <c r="K12" s="6">
        <v>10</v>
      </c>
      <c r="L12" s="6">
        <v>11</v>
      </c>
      <c r="M12" s="6">
        <v>12</v>
      </c>
    </row>
    <row r="13" spans="1:13" x14ac:dyDescent="0.25">
      <c r="A13" s="10" t="s">
        <v>0</v>
      </c>
      <c r="B13" s="18">
        <v>1.3129999999999999</v>
      </c>
      <c r="C13" s="18">
        <v>1.31</v>
      </c>
      <c r="D13" s="18">
        <v>0.47099999999999997</v>
      </c>
      <c r="E13" s="18">
        <v>0.505</v>
      </c>
      <c r="F13" s="18">
        <v>1.706</v>
      </c>
      <c r="G13" s="18">
        <v>1.681</v>
      </c>
      <c r="H13" s="18">
        <v>1.9159999999999999</v>
      </c>
      <c r="I13" s="18">
        <v>1.768</v>
      </c>
      <c r="J13" s="18">
        <v>0.76</v>
      </c>
      <c r="K13" s="18">
        <v>0.73199999999999998</v>
      </c>
      <c r="L13" s="18">
        <v>1.8149999999999999</v>
      </c>
      <c r="M13" s="18">
        <v>2.2559999999999998</v>
      </c>
    </row>
    <row r="14" spans="1:13" x14ac:dyDescent="0.25">
      <c r="A14" s="10" t="s">
        <v>1</v>
      </c>
      <c r="B14" s="18">
        <v>1.242</v>
      </c>
      <c r="C14" s="18">
        <v>1.083</v>
      </c>
      <c r="D14" s="18">
        <v>1.181</v>
      </c>
      <c r="E14" s="18">
        <v>1.3819999999999999</v>
      </c>
      <c r="F14" s="18">
        <v>1.456</v>
      </c>
      <c r="G14" s="18">
        <v>1.6759999999999999</v>
      </c>
      <c r="H14" s="18">
        <v>1.5960000000000001</v>
      </c>
      <c r="I14" s="18">
        <v>1.6619999999999999</v>
      </c>
      <c r="J14" s="18">
        <v>1.603</v>
      </c>
      <c r="K14" s="18">
        <v>1.619</v>
      </c>
      <c r="L14" s="18">
        <v>1.5680000000000001</v>
      </c>
      <c r="M14" s="18">
        <v>1.909</v>
      </c>
    </row>
    <row r="15" spans="1:13" x14ac:dyDescent="0.25">
      <c r="A15" s="10" t="s">
        <v>2</v>
      </c>
      <c r="B15" s="18">
        <v>1.2310000000000001</v>
      </c>
      <c r="C15" s="18">
        <v>1.262</v>
      </c>
      <c r="D15" s="18">
        <v>1.163</v>
      </c>
      <c r="E15" s="18">
        <v>1.4490000000000001</v>
      </c>
      <c r="F15" s="18">
        <v>1.633</v>
      </c>
      <c r="G15" s="18">
        <v>1.5780000000000001</v>
      </c>
      <c r="H15" s="18">
        <v>1.61</v>
      </c>
      <c r="I15" s="18">
        <v>1.728</v>
      </c>
      <c r="J15" s="18">
        <v>1.5409999999999999</v>
      </c>
      <c r="K15" s="18">
        <v>1.637</v>
      </c>
      <c r="L15" s="18">
        <v>1.425</v>
      </c>
      <c r="M15" s="18">
        <v>2.0489999999999999</v>
      </c>
    </row>
    <row r="16" spans="1:13" x14ac:dyDescent="0.25">
      <c r="A16" s="10" t="s">
        <v>3</v>
      </c>
      <c r="B16" s="18">
        <v>1.5740000000000001</v>
      </c>
      <c r="C16" s="18">
        <v>1.3049999999999999</v>
      </c>
      <c r="D16" s="18">
        <v>1.1870000000000001</v>
      </c>
      <c r="E16" s="18">
        <v>1.4770000000000001</v>
      </c>
      <c r="F16" s="18">
        <v>1.569</v>
      </c>
      <c r="G16" s="18">
        <v>1.452</v>
      </c>
      <c r="H16" s="18">
        <v>1.6739999999999999</v>
      </c>
      <c r="I16" s="18">
        <v>1.4219999999999999</v>
      </c>
      <c r="J16" s="18">
        <v>1.52</v>
      </c>
      <c r="K16" s="18">
        <v>1.859</v>
      </c>
      <c r="L16" s="18">
        <v>1.8640000000000001</v>
      </c>
      <c r="M16" s="18">
        <v>2.1</v>
      </c>
    </row>
    <row r="17" spans="1:13" x14ac:dyDescent="0.25">
      <c r="A17" s="10" t="s">
        <v>4</v>
      </c>
      <c r="B17" s="18">
        <v>1.476</v>
      </c>
      <c r="C17" s="18">
        <v>1.4279999999999999</v>
      </c>
      <c r="D17" s="18">
        <v>1.395</v>
      </c>
      <c r="E17" s="18">
        <v>1.3140000000000001</v>
      </c>
      <c r="F17" s="18">
        <v>1.421</v>
      </c>
      <c r="G17" s="18">
        <v>1.365</v>
      </c>
      <c r="H17" s="18">
        <v>1.5569999999999999</v>
      </c>
      <c r="I17" s="18">
        <v>1.6559999999999999</v>
      </c>
      <c r="J17" s="18">
        <v>1.7849999999999999</v>
      </c>
      <c r="K17" s="18">
        <v>1.7869999999999999</v>
      </c>
      <c r="L17" s="18">
        <v>1.5820000000000001</v>
      </c>
      <c r="M17" s="18">
        <v>2.09</v>
      </c>
    </row>
    <row r="18" spans="1:13" x14ac:dyDescent="0.25">
      <c r="A18" s="10" t="s">
        <v>5</v>
      </c>
      <c r="B18" s="18">
        <v>1.748</v>
      </c>
      <c r="C18" s="18">
        <v>1.7190000000000001</v>
      </c>
      <c r="D18" s="18">
        <v>1.79</v>
      </c>
      <c r="E18" s="18">
        <v>1.3720000000000001</v>
      </c>
      <c r="F18" s="18">
        <v>1.5549999999999999</v>
      </c>
      <c r="G18" s="18">
        <v>1.502</v>
      </c>
      <c r="H18" s="18">
        <v>1.9770000000000001</v>
      </c>
      <c r="I18" s="18">
        <v>2.2400000000000002</v>
      </c>
      <c r="J18" s="18">
        <v>1.6839999999999999</v>
      </c>
      <c r="K18" s="18">
        <v>1.772</v>
      </c>
      <c r="L18" s="18">
        <v>1.706</v>
      </c>
      <c r="M18" s="18">
        <v>2.1309999999999998</v>
      </c>
    </row>
    <row r="19" spans="1:13" x14ac:dyDescent="0.25">
      <c r="A19" s="10" t="s">
        <v>6</v>
      </c>
      <c r="B19" s="18">
        <v>1.631</v>
      </c>
      <c r="C19" s="18">
        <v>1.655</v>
      </c>
      <c r="D19" s="18">
        <v>1.68</v>
      </c>
      <c r="E19" s="18">
        <v>1.536</v>
      </c>
      <c r="F19" s="18">
        <v>1.82</v>
      </c>
      <c r="G19" s="18">
        <v>1.8440000000000001</v>
      </c>
      <c r="H19" s="18">
        <v>2.34</v>
      </c>
      <c r="I19" s="18">
        <v>2.387</v>
      </c>
      <c r="J19" s="18">
        <v>2.137</v>
      </c>
      <c r="K19" s="18">
        <v>2.1579999999999999</v>
      </c>
      <c r="L19" s="18">
        <v>1.702</v>
      </c>
      <c r="M19" s="18">
        <v>2.2440000000000002</v>
      </c>
    </row>
    <row r="20" spans="1:13" x14ac:dyDescent="0.25">
      <c r="A20" s="9" t="s">
        <v>7</v>
      </c>
      <c r="B20" s="18">
        <v>1.2470000000000001</v>
      </c>
      <c r="C20" s="18">
        <v>1.512</v>
      </c>
      <c r="D20" s="18">
        <v>1.65</v>
      </c>
      <c r="E20" s="18">
        <v>1.653</v>
      </c>
      <c r="F20" s="18">
        <v>1.784</v>
      </c>
      <c r="G20" s="18">
        <v>1.6759999999999999</v>
      </c>
      <c r="H20" s="18">
        <v>2.2320000000000002</v>
      </c>
      <c r="I20" s="18">
        <v>2.1259999999999999</v>
      </c>
      <c r="J20" s="18">
        <v>2.86</v>
      </c>
      <c r="K20" s="18">
        <v>2.4500000000000002</v>
      </c>
      <c r="L20" s="18">
        <v>2.6909999999999998</v>
      </c>
      <c r="M20" s="18">
        <v>2.649</v>
      </c>
    </row>
    <row r="21" spans="1:13" s="4" customFormat="1" x14ac:dyDescent="0.25">
      <c r="A21" s="5"/>
    </row>
    <row r="22" spans="1:13" x14ac:dyDescent="0.25">
      <c r="A22" s="5"/>
      <c r="B22" s="61" t="s">
        <v>8</v>
      </c>
      <c r="C22" s="62"/>
      <c r="D22" s="62"/>
      <c r="E22" s="62"/>
      <c r="F22" s="62"/>
      <c r="G22" s="63"/>
      <c r="H22" s="57" t="s">
        <v>9</v>
      </c>
      <c r="I22" s="58"/>
      <c r="J22" s="58"/>
      <c r="K22" s="58"/>
      <c r="L22" s="58"/>
      <c r="M22" s="59"/>
    </row>
    <row r="23" spans="1:13" x14ac:dyDescent="0.25">
      <c r="A23" s="3"/>
      <c r="B23" s="61" t="s">
        <v>79</v>
      </c>
      <c r="C23" s="63"/>
      <c r="D23" s="61" t="s">
        <v>80</v>
      </c>
      <c r="E23" s="63"/>
      <c r="F23" s="61" t="s">
        <v>83</v>
      </c>
      <c r="G23" s="63"/>
      <c r="H23" s="57" t="s">
        <v>82</v>
      </c>
      <c r="I23" s="59"/>
      <c r="J23" s="57" t="s">
        <v>81</v>
      </c>
      <c r="K23" s="59"/>
      <c r="L23" s="57" t="s">
        <v>84</v>
      </c>
      <c r="M23" s="59"/>
    </row>
    <row r="24" spans="1:13" x14ac:dyDescent="0.25">
      <c r="A24" s="3"/>
      <c r="B24" s="67">
        <f>(B13+C13)/2</f>
        <v>1.3115000000000001</v>
      </c>
      <c r="C24" s="68"/>
      <c r="D24" s="67">
        <f>(D13+E13)/2</f>
        <v>0.48799999999999999</v>
      </c>
      <c r="E24" s="68"/>
      <c r="F24" s="69">
        <f>100-(D24/B24*100)</f>
        <v>62.79069767441861</v>
      </c>
      <c r="G24" s="70"/>
      <c r="H24" s="71">
        <f>(H13+I13)/2</f>
        <v>1.8420000000000001</v>
      </c>
      <c r="I24" s="72"/>
      <c r="J24" s="71">
        <f>(J13+K13)/2</f>
        <v>0.746</v>
      </c>
      <c r="K24" s="72"/>
      <c r="L24" s="65">
        <f>100-(J24/H24*100)</f>
        <v>59.500542888165043</v>
      </c>
      <c r="M24" s="66"/>
    </row>
    <row r="25" spans="1:13" x14ac:dyDescent="0.25">
      <c r="A25" s="3"/>
    </row>
    <row r="26" spans="1:13" x14ac:dyDescent="0.25">
      <c r="A26" s="3"/>
      <c r="B26">
        <v>1</v>
      </c>
      <c r="C26">
        <v>2</v>
      </c>
      <c r="D26">
        <v>3</v>
      </c>
      <c r="E26">
        <v>4</v>
      </c>
      <c r="F26">
        <v>5</v>
      </c>
      <c r="G26">
        <v>6</v>
      </c>
      <c r="H26">
        <v>7</v>
      </c>
      <c r="I26">
        <v>8</v>
      </c>
      <c r="J26">
        <v>9</v>
      </c>
      <c r="K26">
        <v>10</v>
      </c>
      <c r="L26">
        <v>11</v>
      </c>
      <c r="M26">
        <v>12</v>
      </c>
    </row>
    <row r="27" spans="1:13" x14ac:dyDescent="0.25">
      <c r="A27" s="3" t="s">
        <v>0</v>
      </c>
      <c r="B27" s="8"/>
      <c r="C27" s="8"/>
      <c r="D27" s="8"/>
      <c r="E27" s="8"/>
      <c r="F27" s="7">
        <f>IF(F13="","",100-F13/$B$24*100)</f>
        <v>-30.080060998856254</v>
      </c>
      <c r="G27" s="7">
        <f>IF(G13="","",100-G13/$B$24*100)</f>
        <v>-28.173846740373619</v>
      </c>
      <c r="H27" s="8"/>
      <c r="I27" s="8"/>
      <c r="J27" s="8"/>
      <c r="K27" s="8"/>
      <c r="L27" s="7">
        <f>IF(L13="","",100-L13/$H$24*100)</f>
        <v>1.465798045602611</v>
      </c>
      <c r="M27" s="7">
        <f>IF(M13="","",100-M13/$H$24*100)</f>
        <v>-22.475570032573273</v>
      </c>
    </row>
    <row r="28" spans="1:13" x14ac:dyDescent="0.25">
      <c r="A28" s="3" t="s">
        <v>1</v>
      </c>
      <c r="B28" s="7">
        <f>IF(B14="","",100-B14/$B$24*100)</f>
        <v>5.2992756385817756</v>
      </c>
      <c r="C28" s="7">
        <f t="shared" ref="C28:G28" si="0">IF(C14="","",100-C14/$B$24*100)</f>
        <v>17.422798322531463</v>
      </c>
      <c r="D28" s="7">
        <f t="shared" si="0"/>
        <v>9.9504384292794441</v>
      </c>
      <c r="E28" s="7">
        <f t="shared" si="0"/>
        <v>-5.375524208921064</v>
      </c>
      <c r="F28" s="7">
        <f t="shared" si="0"/>
        <v>-11.017918414029722</v>
      </c>
      <c r="G28" s="7">
        <f t="shared" si="0"/>
        <v>-27.792603888677078</v>
      </c>
      <c r="H28" s="7">
        <f>IF(H14="","",100-H14/$H$24*100)</f>
        <v>13.355048859934854</v>
      </c>
      <c r="I28" s="7">
        <f t="shared" ref="I28:L28" si="1">IF(I14="","",100-I14/$H$24*100)</f>
        <v>9.7719869706840399</v>
      </c>
      <c r="J28" s="7">
        <f t="shared" si="1"/>
        <v>12.975027144408259</v>
      </c>
      <c r="K28" s="7">
        <f t="shared" si="1"/>
        <v>12.106406080347455</v>
      </c>
      <c r="L28" s="7">
        <f t="shared" si="1"/>
        <v>14.87513572204125</v>
      </c>
      <c r="M28" s="7">
        <f>IF(M14="","",100-M14/$H$24*100)</f>
        <v>-3.6373507057546135</v>
      </c>
    </row>
    <row r="29" spans="1:13" x14ac:dyDescent="0.25">
      <c r="A29" s="3" t="s">
        <v>2</v>
      </c>
      <c r="B29" s="7">
        <f t="shared" ref="B29:G29" si="2">IF(B15="","",100-B15/$B$24*100)</f>
        <v>6.1380099123141463</v>
      </c>
      <c r="C29" s="7">
        <f t="shared" si="2"/>
        <v>3.7743042317956679</v>
      </c>
      <c r="D29" s="7">
        <f t="shared" si="2"/>
        <v>11.322912695386961</v>
      </c>
      <c r="E29" s="7">
        <f t="shared" si="2"/>
        <v>-10.48417842165459</v>
      </c>
      <c r="F29" s="7">
        <f t="shared" si="2"/>
        <v>-24.513915364086913</v>
      </c>
      <c r="G29" s="7">
        <f t="shared" si="2"/>
        <v>-20.320243995425088</v>
      </c>
      <c r="H29" s="7">
        <f t="shared" ref="H29:M29" si="3">IF(H15="","",100-H15/$H$24*100)</f>
        <v>12.595005428881649</v>
      </c>
      <c r="I29" s="7">
        <f t="shared" si="3"/>
        <v>6.1889250814332257</v>
      </c>
      <c r="J29" s="7">
        <f t="shared" si="3"/>
        <v>16.340933767643875</v>
      </c>
      <c r="K29" s="7">
        <f t="shared" si="3"/>
        <v>11.129207383279052</v>
      </c>
      <c r="L29" s="7">
        <f t="shared" si="3"/>
        <v>22.638436482084686</v>
      </c>
      <c r="M29" s="7">
        <f t="shared" si="3"/>
        <v>-11.237785016286622</v>
      </c>
    </row>
    <row r="30" spans="1:13" x14ac:dyDescent="0.25">
      <c r="A30" s="3" t="s">
        <v>3</v>
      </c>
      <c r="B30" s="7">
        <f t="shared" ref="B30:G30" si="4">IF(B16="","",100-B16/$B$24*100)</f>
        <v>-20.015249714067849</v>
      </c>
      <c r="C30" s="7">
        <f t="shared" si="4"/>
        <v>0.49561570720550208</v>
      </c>
      <c r="D30" s="7">
        <f t="shared" si="4"/>
        <v>9.4929470072436146</v>
      </c>
      <c r="E30" s="7">
        <f t="shared" si="4"/>
        <v>-12.619138391155161</v>
      </c>
      <c r="F30" s="7">
        <f t="shared" si="4"/>
        <v>-19.634006862371308</v>
      </c>
      <c r="G30" s="7">
        <f t="shared" si="4"/>
        <v>-10.712924132672512</v>
      </c>
      <c r="H30" s="7">
        <f t="shared" ref="H30:M30" si="5">IF(H16="","",100-H16/$H$24*100)</f>
        <v>9.1205211726384334</v>
      </c>
      <c r="I30" s="7">
        <f t="shared" si="5"/>
        <v>22.801302931596098</v>
      </c>
      <c r="J30" s="7">
        <f t="shared" si="5"/>
        <v>17.480998914223676</v>
      </c>
      <c r="K30" s="7">
        <f t="shared" si="5"/>
        <v>-0.92290988056460321</v>
      </c>
      <c r="L30" s="7">
        <f t="shared" si="5"/>
        <v>-1.1943539630836</v>
      </c>
      <c r="M30" s="7">
        <f t="shared" si="5"/>
        <v>-14.00651465798046</v>
      </c>
    </row>
    <row r="31" spans="1:13" x14ac:dyDescent="0.25">
      <c r="A31" s="3" t="s">
        <v>4</v>
      </c>
      <c r="B31" s="7">
        <f t="shared" ref="B31:G31" si="6">IF(B17="","",100-B17/$B$24*100)</f>
        <v>-12.542889820815844</v>
      </c>
      <c r="C31" s="7">
        <f t="shared" si="6"/>
        <v>-8.8829584445291516</v>
      </c>
      <c r="D31" s="7">
        <f t="shared" si="6"/>
        <v>-6.3667556233320681</v>
      </c>
      <c r="E31" s="7">
        <f t="shared" si="6"/>
        <v>-0.19062142584826347</v>
      </c>
      <c r="F31" s="7">
        <f t="shared" si="6"/>
        <v>-8.3492184521540196</v>
      </c>
      <c r="G31" s="7">
        <f t="shared" si="6"/>
        <v>-4.0792985131528781</v>
      </c>
      <c r="H31" s="7">
        <f t="shared" ref="H31:M31" si="7">IF(H17="","",100-H17/$H$24*100)</f>
        <v>15.472312703583071</v>
      </c>
      <c r="I31" s="7">
        <f t="shared" si="7"/>
        <v>10.09771986970685</v>
      </c>
      <c r="J31" s="7">
        <f t="shared" si="7"/>
        <v>3.09446254071662</v>
      </c>
      <c r="K31" s="7">
        <f t="shared" si="7"/>
        <v>2.9858849077090213</v>
      </c>
      <c r="L31" s="7">
        <f t="shared" si="7"/>
        <v>14.115092290988045</v>
      </c>
      <c r="M31" s="7">
        <f t="shared" si="7"/>
        <v>-13.463626492942439</v>
      </c>
    </row>
    <row r="32" spans="1:13" x14ac:dyDescent="0.25">
      <c r="A32" s="3" t="s">
        <v>5</v>
      </c>
      <c r="B32" s="7">
        <f t="shared" ref="B32:G32" si="8">IF(B18="","",100-B18/$B$24*100)</f>
        <v>-33.282500953107132</v>
      </c>
      <c r="C32" s="7">
        <f t="shared" si="8"/>
        <v>-31.071292413267258</v>
      </c>
      <c r="D32" s="7">
        <f t="shared" si="8"/>
        <v>-36.484940907357981</v>
      </c>
      <c r="E32" s="7">
        <f t="shared" si="8"/>
        <v>-4.6130385055280101</v>
      </c>
      <c r="F32" s="7">
        <f t="shared" si="8"/>
        <v>-18.566526877621044</v>
      </c>
      <c r="G32" s="7">
        <f t="shared" si="8"/>
        <v>-14.52535264963781</v>
      </c>
      <c r="H32" s="7">
        <f t="shared" ref="H32:M32" si="9">IF(H18="","",100-H18/$H$24*100)</f>
        <v>-7.3289902280130264</v>
      </c>
      <c r="I32" s="7">
        <f t="shared" si="9"/>
        <v>-21.606948968512498</v>
      </c>
      <c r="J32" s="7">
        <f t="shared" si="9"/>
        <v>8.5776330076004399</v>
      </c>
      <c r="K32" s="7">
        <f t="shared" si="9"/>
        <v>3.8002171552660116</v>
      </c>
      <c r="L32" s="7">
        <f t="shared" si="9"/>
        <v>7.3832790445168257</v>
      </c>
      <c r="M32" s="7">
        <f t="shared" si="9"/>
        <v>-15.68946796959824</v>
      </c>
    </row>
    <row r="33" spans="1:13" x14ac:dyDescent="0.25">
      <c r="A33" s="3" t="s">
        <v>6</v>
      </c>
      <c r="B33" s="7">
        <f t="shared" ref="B33:G33" si="10">IF(B19="","",100-B19/$B$24*100)</f>
        <v>-24.361418223408293</v>
      </c>
      <c r="C33" s="7">
        <f t="shared" si="10"/>
        <v>-26.19138391155164</v>
      </c>
      <c r="D33" s="7">
        <f t="shared" si="10"/>
        <v>-28.097598170034303</v>
      </c>
      <c r="E33" s="7">
        <f t="shared" si="10"/>
        <v>-17.117804041174224</v>
      </c>
      <c r="F33" s="7">
        <f t="shared" si="10"/>
        <v>-38.772398017537171</v>
      </c>
      <c r="G33" s="7">
        <f t="shared" si="10"/>
        <v>-40.602363705680517</v>
      </c>
      <c r="H33" s="7">
        <f t="shared" ref="H33:M34" si="11">IF(H19="","",100-H19/$H$24*100)</f>
        <v>-27.035830618892504</v>
      </c>
      <c r="I33" s="7">
        <f t="shared" si="11"/>
        <v>-29.587404994571102</v>
      </c>
      <c r="J33" s="7">
        <f t="shared" si="11"/>
        <v>-16.015200868621051</v>
      </c>
      <c r="K33" s="7">
        <f t="shared" si="11"/>
        <v>-17.155266015200851</v>
      </c>
      <c r="L33" s="7">
        <f t="shared" si="11"/>
        <v>7.6004343105320373</v>
      </c>
      <c r="M33" s="7">
        <f t="shared" si="11"/>
        <v>-21.824104234527695</v>
      </c>
    </row>
    <row r="34" spans="1:13" x14ac:dyDescent="0.25">
      <c r="A34" s="3" t="s">
        <v>7</v>
      </c>
      <c r="B34" s="7">
        <f t="shared" ref="B34:G34" si="12">IF(B20="","",100-B20/$B$24*100)</f>
        <v>4.9180327868852345</v>
      </c>
      <c r="C34" s="7">
        <f t="shared" si="12"/>
        <v>-15.287838353030864</v>
      </c>
      <c r="D34" s="7">
        <f t="shared" si="12"/>
        <v>-25.810141059855113</v>
      </c>
      <c r="E34" s="7">
        <f t="shared" si="12"/>
        <v>-26.03888677087302</v>
      </c>
      <c r="F34" s="7">
        <f t="shared" si="12"/>
        <v>-36.027449485322137</v>
      </c>
      <c r="G34" s="7">
        <f t="shared" si="12"/>
        <v>-27.792603888677078</v>
      </c>
      <c r="H34" s="7">
        <f>IF(H20="","",100-H20/$H$24*100)</f>
        <v>-21.172638436482089</v>
      </c>
      <c r="I34" s="7">
        <f t="shared" si="11"/>
        <v>-15.418023887079244</v>
      </c>
      <c r="J34" s="7">
        <f t="shared" si="11"/>
        <v>-55.266015200868594</v>
      </c>
      <c r="K34" s="7">
        <f t="shared" si="11"/>
        <v>-33.007600434310547</v>
      </c>
      <c r="L34" s="7">
        <f t="shared" si="11"/>
        <v>-46.091205211726361</v>
      </c>
      <c r="M34" s="7">
        <f>IF(M20="","",100-M20/$H$24*100)</f>
        <v>-43.81107491856676</v>
      </c>
    </row>
  </sheetData>
  <sheetProtection algorithmName="SHA-512" hashValue="8NOx9RTaw0WzvklkzCvE9GMTIp6YKN+5e2eou2kPLDULzz7g4FIO8wHpzhh1lK77UZFDeM3DFf2jr9QluvX9sA==" saltValue="8BOmFNQ59uKkXHrsujhX1w==" spinCount="100000" sheet="1" selectLockedCells="1"/>
  <mergeCells count="20">
    <mergeCell ref="L24:M24"/>
    <mergeCell ref="B23:C23"/>
    <mergeCell ref="F23:G23"/>
    <mergeCell ref="D23:E23"/>
    <mergeCell ref="H23:I23"/>
    <mergeCell ref="L23:M23"/>
    <mergeCell ref="J23:K23"/>
    <mergeCell ref="B24:C24"/>
    <mergeCell ref="D24:E24"/>
    <mergeCell ref="F24:G24"/>
    <mergeCell ref="H24:I24"/>
    <mergeCell ref="J24:K24"/>
    <mergeCell ref="H22:M22"/>
    <mergeCell ref="A5:B5"/>
    <mergeCell ref="A6:B6"/>
    <mergeCell ref="A7:B7"/>
    <mergeCell ref="A8:B8"/>
    <mergeCell ref="B22:G22"/>
    <mergeCell ref="A9:B9"/>
    <mergeCell ref="G5:H5"/>
  </mergeCells>
  <conditionalFormatting sqref="B27:M34">
    <cfRule type="cellIs" dxfId="9" priority="1" operator="between">
      <formula>30</formula>
      <formula>100</formula>
    </cfRule>
    <cfRule type="cellIs" dxfId="8" priority="2" operator="between">
      <formula>25</formula>
      <formula>29.9999</formula>
    </cfRule>
  </conditionalFormatting>
  <pageMargins left="0.7" right="0.7" top="0.75" bottom="0.75" header="0.3" footer="0.3"/>
  <pageSetup paperSize="9" scale="74" orientation="landscape" r:id="rId1"/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57"/>
  <sheetViews>
    <sheetView tabSelected="1" topLeftCell="A26" workbookViewId="0">
      <selection activeCell="J57" sqref="J57"/>
    </sheetView>
  </sheetViews>
  <sheetFormatPr baseColWidth="10" defaultColWidth="10.85546875" defaultRowHeight="15" x14ac:dyDescent="0.25"/>
  <cols>
    <col min="1" max="1" width="9.7109375" style="53" customWidth="1"/>
    <col min="2" max="2" width="11.140625" style="31" customWidth="1"/>
    <col min="3" max="3" width="20.5703125" style="31" customWidth="1"/>
    <col min="4" max="4" width="14.28515625" style="31" customWidth="1"/>
    <col min="5" max="5" width="9.140625" style="31" customWidth="1"/>
    <col min="6" max="6" width="14.28515625" style="31" customWidth="1"/>
    <col min="7" max="7" width="9.140625" style="31" customWidth="1"/>
    <col min="8" max="8" width="10" style="31" customWidth="1"/>
    <col min="9" max="9" width="50.5703125" style="31" customWidth="1"/>
    <col min="10" max="10" width="14.85546875" style="31" customWidth="1"/>
    <col min="11" max="16384" width="10.85546875" style="31"/>
  </cols>
  <sheetData>
    <row r="1" spans="1:12" s="27" customFormat="1" ht="17.100000000000001" customHeight="1" x14ac:dyDescent="0.25">
      <c r="A1" s="26" t="s">
        <v>13</v>
      </c>
    </row>
    <row r="2" spans="1:12" s="27" customFormat="1" ht="15" customHeight="1" x14ac:dyDescent="0.25">
      <c r="A2" s="28"/>
    </row>
    <row r="3" spans="1:12" s="27" customFormat="1" ht="15" customHeight="1" x14ac:dyDescent="0.25">
      <c r="A3" s="29" t="s">
        <v>61</v>
      </c>
    </row>
    <row r="4" spans="1:12" ht="15" customHeight="1" x14ac:dyDescent="0.25">
      <c r="A4" s="28"/>
      <c r="B4" s="27"/>
      <c r="C4" s="27"/>
      <c r="D4" s="27"/>
      <c r="E4" s="27"/>
      <c r="F4" s="27"/>
      <c r="G4" s="27"/>
      <c r="H4" s="27"/>
      <c r="I4" s="30"/>
    </row>
    <row r="5" spans="1:12" ht="15" customHeight="1" x14ac:dyDescent="0.25">
      <c r="A5" s="32" t="s">
        <v>71</v>
      </c>
      <c r="B5" s="33"/>
      <c r="C5" s="21">
        <v>45979</v>
      </c>
      <c r="D5" s="34"/>
      <c r="E5" s="27"/>
      <c r="F5" s="35" t="s">
        <v>62</v>
      </c>
      <c r="G5" s="36">
        <v>30</v>
      </c>
      <c r="H5" s="28"/>
      <c r="I5" s="30"/>
    </row>
    <row r="6" spans="1:12" ht="15" customHeight="1" x14ac:dyDescent="0.25">
      <c r="A6" s="32" t="s">
        <v>11</v>
      </c>
      <c r="B6" s="33"/>
      <c r="C6" s="22" t="s">
        <v>90</v>
      </c>
      <c r="D6" s="27"/>
      <c r="E6" s="27"/>
      <c r="F6" s="27"/>
      <c r="G6" s="27"/>
      <c r="H6" s="27"/>
      <c r="I6" s="30"/>
    </row>
    <row r="7" spans="1:12" ht="15" customHeight="1" x14ac:dyDescent="0.25">
      <c r="A7" s="32" t="s">
        <v>73</v>
      </c>
      <c r="B7" s="33"/>
      <c r="C7" s="22">
        <f>IF(ECHANTILLONS!C8="","",ECHANTILLONS!C8)</f>
        <v>3915223</v>
      </c>
      <c r="D7" s="27"/>
      <c r="E7" s="27"/>
      <c r="F7" s="27"/>
      <c r="G7" s="27"/>
      <c r="H7" s="27"/>
      <c r="I7" s="30"/>
    </row>
    <row r="8" spans="1:12" ht="15" customHeight="1" x14ac:dyDescent="0.25">
      <c r="A8" s="32" t="s">
        <v>58</v>
      </c>
      <c r="B8" s="33"/>
      <c r="C8" s="37">
        <v>9</v>
      </c>
      <c r="D8" s="27"/>
      <c r="E8" s="27"/>
      <c r="F8" s="27"/>
      <c r="G8" s="27"/>
      <c r="H8" s="27"/>
      <c r="I8" s="30"/>
    </row>
    <row r="9" spans="1:12" ht="15" customHeight="1" x14ac:dyDescent="0.25">
      <c r="A9" s="32" t="s">
        <v>72</v>
      </c>
      <c r="B9" s="33"/>
      <c r="C9" s="38" t="s">
        <v>91</v>
      </c>
      <c r="D9" s="27"/>
      <c r="E9" s="27"/>
      <c r="F9" s="27"/>
      <c r="G9" s="27"/>
      <c r="H9" s="27"/>
      <c r="I9" s="39"/>
    </row>
    <row r="10" spans="1:12" ht="12.6" customHeight="1" x14ac:dyDescent="0.25">
      <c r="A10" s="28"/>
      <c r="B10" s="40"/>
      <c r="C10" s="40"/>
      <c r="D10" s="27"/>
      <c r="E10" s="27"/>
      <c r="F10" s="27"/>
      <c r="G10" s="27"/>
      <c r="H10" s="27"/>
      <c r="I10" s="39"/>
    </row>
    <row r="11" spans="1:12" ht="12.6" customHeight="1" x14ac:dyDescent="0.25">
      <c r="A11" s="28"/>
      <c r="B11" s="40"/>
      <c r="C11" s="40"/>
      <c r="D11" s="27"/>
      <c r="E11" s="27"/>
      <c r="F11" s="27"/>
      <c r="G11" s="27"/>
      <c r="H11" s="27"/>
      <c r="I11" s="39"/>
    </row>
    <row r="12" spans="1:12" ht="17.100000000000001" customHeight="1" x14ac:dyDescent="0.25">
      <c r="A12" s="28"/>
      <c r="B12" s="40"/>
      <c r="C12" s="40"/>
      <c r="D12" s="73" t="s">
        <v>8</v>
      </c>
      <c r="E12" s="73"/>
      <c r="F12" s="73" t="s">
        <v>9</v>
      </c>
      <c r="G12" s="73"/>
      <c r="H12" s="74" t="s">
        <v>88</v>
      </c>
      <c r="I12" s="27"/>
    </row>
    <row r="13" spans="1:12" ht="47.25" x14ac:dyDescent="0.25">
      <c r="A13" s="42"/>
      <c r="B13" s="43" t="s">
        <v>85</v>
      </c>
      <c r="C13" s="43" t="s">
        <v>86</v>
      </c>
      <c r="D13" s="41" t="s">
        <v>87</v>
      </c>
      <c r="E13" s="44" t="s">
        <v>78</v>
      </c>
      <c r="F13" s="41" t="s">
        <v>87</v>
      </c>
      <c r="G13" s="44" t="s">
        <v>78</v>
      </c>
      <c r="H13" s="74"/>
      <c r="I13" s="45" t="s">
        <v>76</v>
      </c>
      <c r="J13" s="55" t="s">
        <v>89</v>
      </c>
      <c r="K13" s="54"/>
      <c r="L13" s="54"/>
    </row>
    <row r="14" spans="1:12" ht="15" customHeight="1" x14ac:dyDescent="0.25">
      <c r="A14" s="46" t="s">
        <v>14</v>
      </c>
      <c r="B14" s="47">
        <f>IF(ECHANTILLONS!B15="","",ECHANTILLONS!B15)</f>
        <v>398</v>
      </c>
      <c r="C14" s="48">
        <f>IF(ECHANTILLONS!C15="","",ECHANTILLONS!C15)</f>
        <v>2500107</v>
      </c>
      <c r="D14" s="49">
        <f>IF('450-600 nm'!F27="","",'450-600 nm'!F27)</f>
        <v>-30.080060998856254</v>
      </c>
      <c r="E14" s="49" t="str">
        <f>IF(D14="","",IF(D14&gt;=$G$5,"POS","NEG"))</f>
        <v>NEG</v>
      </c>
      <c r="F14" s="49">
        <f>IF('450-600 nm'!L27="","",'450-600 nm'!L27)</f>
        <v>1.465798045602611</v>
      </c>
      <c r="G14" s="49" t="str">
        <f>IF(F14="","",IF(F14&gt;=$G$5,"POS","NEG"))</f>
        <v>NEG</v>
      </c>
      <c r="H14" s="49" t="str">
        <f>IF(AND(E14="NEG",G14="NEG"),"N",IF(E14="POS","P",IF(G14="POS","P","")))</f>
        <v>N</v>
      </c>
      <c r="I14" s="50" t="str">
        <f>IF(ECHANTILLONS!D15="","",ECHANTILLONS!D15)</f>
        <v/>
      </c>
      <c r="J14" s="50" t="s">
        <v>89</v>
      </c>
    </row>
    <row r="15" spans="1:12" ht="15" customHeight="1" x14ac:dyDescent="0.25">
      <c r="A15" s="36" t="s">
        <v>15</v>
      </c>
      <c r="B15" s="47">
        <f>IF(ECHANTILLONS!B16="","",ECHANTILLONS!B16)</f>
        <v>399</v>
      </c>
      <c r="C15" s="51">
        <f>IF(ECHANTILLONS!C16="","",ECHANTILLONS!C16)</f>
        <v>2500015</v>
      </c>
      <c r="D15" s="52">
        <f>IF('450-600 nm'!G27="","",'450-600 nm'!G27)</f>
        <v>-28.173846740373619</v>
      </c>
      <c r="E15" s="49" t="str">
        <f t="shared" ref="E15:E57" si="0">IF(D15="","",IF(D15&gt;=$G$5,"POS","NEG"))</f>
        <v>NEG</v>
      </c>
      <c r="F15" s="52">
        <f>IF('450-600 nm'!M27="","",'450-600 nm'!M27)</f>
        <v>-22.475570032573273</v>
      </c>
      <c r="G15" s="49" t="str">
        <f t="shared" ref="G15:G57" si="1">IF(F15="","",IF(F15&gt;=$G$5,"POS","NEG"))</f>
        <v>NEG</v>
      </c>
      <c r="H15" s="49" t="str">
        <f t="shared" ref="H15:H57" si="2">IF(AND(E15="NEG",G15="NEG"),"N",IF(E15="POS","P",IF(G15="POS","P","")))</f>
        <v>N</v>
      </c>
      <c r="I15" s="50" t="str">
        <f>IF(ECHANTILLONS!D16="","",ECHANTILLONS!D16)</f>
        <v/>
      </c>
      <c r="J15" s="50" t="s">
        <v>89</v>
      </c>
    </row>
    <row r="16" spans="1:12" ht="15" customHeight="1" x14ac:dyDescent="0.25">
      <c r="A16" s="36" t="s">
        <v>16</v>
      </c>
      <c r="B16" s="47">
        <f>IF(ECHANTILLONS!B17="","",ECHANTILLONS!B17)</f>
        <v>400</v>
      </c>
      <c r="C16" s="51">
        <f>IF(ECHANTILLONS!C17="","",ECHANTILLONS!C17)</f>
        <v>2500592</v>
      </c>
      <c r="D16" s="52">
        <f>IF('450-600 nm'!B28="","",'450-600 nm'!B28)</f>
        <v>5.2992756385817756</v>
      </c>
      <c r="E16" s="49" t="str">
        <f t="shared" si="0"/>
        <v>NEG</v>
      </c>
      <c r="F16" s="52">
        <f>IF('450-600 nm'!H28="","",'450-600 nm'!H28)</f>
        <v>13.355048859934854</v>
      </c>
      <c r="G16" s="49" t="str">
        <f t="shared" si="1"/>
        <v>NEG</v>
      </c>
      <c r="H16" s="49" t="str">
        <f t="shared" si="2"/>
        <v>N</v>
      </c>
      <c r="I16" s="50" t="str">
        <f>IF(ECHANTILLONS!D17="","",ECHANTILLONS!D17)</f>
        <v/>
      </c>
      <c r="J16" s="50" t="s">
        <v>89</v>
      </c>
    </row>
    <row r="17" spans="1:10" ht="15" customHeight="1" x14ac:dyDescent="0.25">
      <c r="A17" s="36" t="s">
        <v>17</v>
      </c>
      <c r="B17" s="47">
        <f>IF(ECHANTILLONS!B18="","",ECHANTILLONS!B18)</f>
        <v>401</v>
      </c>
      <c r="C17" s="51">
        <f>IF(ECHANTILLONS!C18="","",ECHANTILLONS!C18)</f>
        <v>2500737</v>
      </c>
      <c r="D17" s="52">
        <f>IF('450-600 nm'!C28="","",'450-600 nm'!C28)</f>
        <v>17.422798322531463</v>
      </c>
      <c r="E17" s="49" t="str">
        <f t="shared" si="0"/>
        <v>NEG</v>
      </c>
      <c r="F17" s="52">
        <f>IF('450-600 nm'!I28="","",'450-600 nm'!I28)</f>
        <v>9.7719869706840399</v>
      </c>
      <c r="G17" s="49" t="str">
        <f t="shared" si="1"/>
        <v>NEG</v>
      </c>
      <c r="H17" s="49" t="str">
        <f t="shared" si="2"/>
        <v>N</v>
      </c>
      <c r="I17" s="50" t="str">
        <f>IF(ECHANTILLONS!D18="","",ECHANTILLONS!D18)</f>
        <v/>
      </c>
      <c r="J17" s="50" t="s">
        <v>89</v>
      </c>
    </row>
    <row r="18" spans="1:10" ht="15" customHeight="1" x14ac:dyDescent="0.25">
      <c r="A18" s="36" t="s">
        <v>18</v>
      </c>
      <c r="B18" s="47">
        <f>IF(ECHANTILLONS!B19="","",ECHANTILLONS!B19)</f>
        <v>402</v>
      </c>
      <c r="C18" s="51">
        <f>IF(ECHANTILLONS!C19="","",ECHANTILLONS!C19)</f>
        <v>2500735</v>
      </c>
      <c r="D18" s="52">
        <f>IF('450-600 nm'!D28="","",'450-600 nm'!D28)</f>
        <v>9.9504384292794441</v>
      </c>
      <c r="E18" s="49" t="str">
        <f t="shared" si="0"/>
        <v>NEG</v>
      </c>
      <c r="F18" s="52">
        <f>IF('450-600 nm'!J28="","",'450-600 nm'!J28)</f>
        <v>12.975027144408259</v>
      </c>
      <c r="G18" s="49" t="str">
        <f t="shared" si="1"/>
        <v>NEG</v>
      </c>
      <c r="H18" s="49" t="str">
        <f t="shared" si="2"/>
        <v>N</v>
      </c>
      <c r="I18" s="50" t="str">
        <f>IF(ECHANTILLONS!D19="","",ECHANTILLONS!D19)</f>
        <v/>
      </c>
      <c r="J18" s="50" t="s">
        <v>89</v>
      </c>
    </row>
    <row r="19" spans="1:10" ht="15" customHeight="1" x14ac:dyDescent="0.25">
      <c r="A19" s="36" t="s">
        <v>19</v>
      </c>
      <c r="B19" s="47">
        <f>IF(ECHANTILLONS!B20="","",ECHANTILLONS!B20)</f>
        <v>403</v>
      </c>
      <c r="C19" s="51">
        <f>IF(ECHANTILLONS!C20="","",ECHANTILLONS!C20)</f>
        <v>2500739</v>
      </c>
      <c r="D19" s="52">
        <f>IF('450-600 nm'!E28="","",'450-600 nm'!E28)</f>
        <v>-5.375524208921064</v>
      </c>
      <c r="E19" s="49" t="str">
        <f t="shared" si="0"/>
        <v>NEG</v>
      </c>
      <c r="F19" s="52">
        <f>IF('450-600 nm'!K28="","",'450-600 nm'!K28)</f>
        <v>12.106406080347455</v>
      </c>
      <c r="G19" s="49" t="str">
        <f t="shared" si="1"/>
        <v>NEG</v>
      </c>
      <c r="H19" s="49" t="str">
        <f t="shared" si="2"/>
        <v>N</v>
      </c>
      <c r="I19" s="50" t="str">
        <f>IF(ECHANTILLONS!D20="","",ECHANTILLONS!D20)</f>
        <v/>
      </c>
      <c r="J19" s="50" t="s">
        <v>89</v>
      </c>
    </row>
    <row r="20" spans="1:10" ht="15" customHeight="1" x14ac:dyDescent="0.25">
      <c r="A20" s="36" t="s">
        <v>20</v>
      </c>
      <c r="B20" s="47">
        <f>IF(ECHANTILLONS!B21="","",ECHANTILLONS!B21)</f>
        <v>404</v>
      </c>
      <c r="C20" s="51">
        <f>IF(ECHANTILLONS!C21="","",ECHANTILLONS!C21)</f>
        <v>2500155</v>
      </c>
      <c r="D20" s="52">
        <f>IF('450-600 nm'!F28="","",'450-600 nm'!F28)</f>
        <v>-11.017918414029722</v>
      </c>
      <c r="E20" s="49" t="str">
        <f t="shared" si="0"/>
        <v>NEG</v>
      </c>
      <c r="F20" s="52">
        <f>IF('450-600 nm'!L28="","",'450-600 nm'!L28)</f>
        <v>14.87513572204125</v>
      </c>
      <c r="G20" s="49" t="str">
        <f t="shared" si="1"/>
        <v>NEG</v>
      </c>
      <c r="H20" s="49" t="str">
        <f t="shared" si="2"/>
        <v>N</v>
      </c>
      <c r="I20" s="50" t="str">
        <f>IF(ECHANTILLONS!D21="","",ECHANTILLONS!D21)</f>
        <v/>
      </c>
      <c r="J20" s="50" t="s">
        <v>89</v>
      </c>
    </row>
    <row r="21" spans="1:10" ht="15" customHeight="1" x14ac:dyDescent="0.25">
      <c r="A21" s="36" t="s">
        <v>21</v>
      </c>
      <c r="B21" s="47">
        <f>IF(ECHANTILLONS!B22="","",ECHANTILLONS!B22)</f>
        <v>405</v>
      </c>
      <c r="C21" s="51">
        <f>IF(ECHANTILLONS!C22="","",ECHANTILLONS!C22)</f>
        <v>2500899</v>
      </c>
      <c r="D21" s="52">
        <f>IF('450-600 nm'!G28="","",'450-600 nm'!G28)</f>
        <v>-27.792603888677078</v>
      </c>
      <c r="E21" s="49" t="str">
        <f t="shared" si="0"/>
        <v>NEG</v>
      </c>
      <c r="F21" s="52">
        <f>IF('450-600 nm'!M28="","",'450-600 nm'!M28)</f>
        <v>-3.6373507057546135</v>
      </c>
      <c r="G21" s="49" t="str">
        <f t="shared" si="1"/>
        <v>NEG</v>
      </c>
      <c r="H21" s="49" t="str">
        <f t="shared" si="2"/>
        <v>N</v>
      </c>
      <c r="I21" s="50" t="str">
        <f>IF(ECHANTILLONS!D22="","",ECHANTILLONS!D22)</f>
        <v/>
      </c>
      <c r="J21" s="50" t="s">
        <v>89</v>
      </c>
    </row>
    <row r="22" spans="1:10" ht="15" customHeight="1" x14ac:dyDescent="0.25">
      <c r="A22" s="36" t="s">
        <v>22</v>
      </c>
      <c r="B22" s="47">
        <f>IF(ECHANTILLONS!B23="","",ECHANTILLONS!B23)</f>
        <v>406</v>
      </c>
      <c r="C22" s="51">
        <f>IF(ECHANTILLONS!C23="","",ECHANTILLONS!C23)</f>
        <v>2500835</v>
      </c>
      <c r="D22" s="52">
        <f>IF('450-600 nm'!B29="","",'450-600 nm'!B29)</f>
        <v>6.1380099123141463</v>
      </c>
      <c r="E22" s="49" t="str">
        <f t="shared" si="0"/>
        <v>NEG</v>
      </c>
      <c r="F22" s="52">
        <f>IF('450-600 nm'!H29="","",'450-600 nm'!H29)</f>
        <v>12.595005428881649</v>
      </c>
      <c r="G22" s="49" t="str">
        <f t="shared" si="1"/>
        <v>NEG</v>
      </c>
      <c r="H22" s="49" t="str">
        <f t="shared" si="2"/>
        <v>N</v>
      </c>
      <c r="I22" s="50" t="str">
        <f>IF(ECHANTILLONS!D23="","",ECHANTILLONS!D23)</f>
        <v/>
      </c>
      <c r="J22" s="50" t="s">
        <v>89</v>
      </c>
    </row>
    <row r="23" spans="1:10" ht="15" customHeight="1" x14ac:dyDescent="0.25">
      <c r="A23" s="36" t="s">
        <v>23</v>
      </c>
      <c r="B23" s="47">
        <f>IF(ECHANTILLONS!B24="","",ECHANTILLONS!B24)</f>
        <v>407</v>
      </c>
      <c r="C23" s="51">
        <f>IF(ECHANTILLONS!C24="","",ECHANTILLONS!C24)</f>
        <v>2500830</v>
      </c>
      <c r="D23" s="52">
        <f>IF('450-600 nm'!C29="","",'450-600 nm'!C29)</f>
        <v>3.7743042317956679</v>
      </c>
      <c r="E23" s="49" t="str">
        <f t="shared" si="0"/>
        <v>NEG</v>
      </c>
      <c r="F23" s="52">
        <f>IF('450-600 nm'!I29="","",'450-600 nm'!I29)</f>
        <v>6.1889250814332257</v>
      </c>
      <c r="G23" s="49" t="str">
        <f t="shared" si="1"/>
        <v>NEG</v>
      </c>
      <c r="H23" s="49" t="str">
        <f t="shared" si="2"/>
        <v>N</v>
      </c>
      <c r="I23" s="50" t="str">
        <f>IF(ECHANTILLONS!D24="","",ECHANTILLONS!D24)</f>
        <v/>
      </c>
      <c r="J23" s="50" t="s">
        <v>89</v>
      </c>
    </row>
    <row r="24" spans="1:10" ht="15" customHeight="1" x14ac:dyDescent="0.25">
      <c r="A24" s="36" t="s">
        <v>24</v>
      </c>
      <c r="B24" s="47">
        <f>IF(ECHANTILLONS!B25="","",ECHANTILLONS!B25)</f>
        <v>408</v>
      </c>
      <c r="C24" s="51">
        <f>IF(ECHANTILLONS!C25="","",ECHANTILLONS!C25)</f>
        <v>2500808</v>
      </c>
      <c r="D24" s="52">
        <f>IF('450-600 nm'!D29="","",'450-600 nm'!D29)</f>
        <v>11.322912695386961</v>
      </c>
      <c r="E24" s="49" t="str">
        <f t="shared" si="0"/>
        <v>NEG</v>
      </c>
      <c r="F24" s="52">
        <f>IF('450-600 nm'!J29="","",'450-600 nm'!J29)</f>
        <v>16.340933767643875</v>
      </c>
      <c r="G24" s="49" t="str">
        <f t="shared" si="1"/>
        <v>NEG</v>
      </c>
      <c r="H24" s="49" t="str">
        <f t="shared" si="2"/>
        <v>N</v>
      </c>
      <c r="I24" s="50" t="str">
        <f>IF(ECHANTILLONS!D25="","",ECHANTILLONS!D25)</f>
        <v/>
      </c>
      <c r="J24" s="50" t="s">
        <v>89</v>
      </c>
    </row>
    <row r="25" spans="1:10" ht="15" customHeight="1" x14ac:dyDescent="0.25">
      <c r="A25" s="36" t="s">
        <v>25</v>
      </c>
      <c r="B25" s="47">
        <f>IF(ECHANTILLONS!B26="","",ECHANTILLONS!B26)</f>
        <v>409</v>
      </c>
      <c r="C25" s="51">
        <f>IF(ECHANTILLONS!C26="","",ECHANTILLONS!C26)</f>
        <v>2500996</v>
      </c>
      <c r="D25" s="52">
        <f>IF('450-600 nm'!E29="","",'450-600 nm'!E29)</f>
        <v>-10.48417842165459</v>
      </c>
      <c r="E25" s="49" t="str">
        <f t="shared" si="0"/>
        <v>NEG</v>
      </c>
      <c r="F25" s="52">
        <f>IF('450-600 nm'!K29="","",'450-600 nm'!K29)</f>
        <v>11.129207383279052</v>
      </c>
      <c r="G25" s="49" t="str">
        <f t="shared" si="1"/>
        <v>NEG</v>
      </c>
      <c r="H25" s="49" t="str">
        <f t="shared" si="2"/>
        <v>N</v>
      </c>
      <c r="I25" s="50" t="str">
        <f>IF(ECHANTILLONS!D26="","",ECHANTILLONS!D26)</f>
        <v/>
      </c>
      <c r="J25" s="50" t="s">
        <v>89</v>
      </c>
    </row>
    <row r="26" spans="1:10" ht="15" customHeight="1" x14ac:dyDescent="0.25">
      <c r="A26" s="36" t="s">
        <v>26</v>
      </c>
      <c r="B26" s="47">
        <f>IF(ECHANTILLONS!B27="","",ECHANTILLONS!B27)</f>
        <v>410</v>
      </c>
      <c r="C26" s="51">
        <f>IF(ECHANTILLONS!C27="","",ECHANTILLONS!C27)</f>
        <v>2500804</v>
      </c>
      <c r="D26" s="52">
        <f>IF('450-600 nm'!F29="","",'450-600 nm'!F29)</f>
        <v>-24.513915364086913</v>
      </c>
      <c r="E26" s="49" t="str">
        <f t="shared" si="0"/>
        <v>NEG</v>
      </c>
      <c r="F26" s="52">
        <f>IF('450-600 nm'!L29="","",'450-600 nm'!L29)</f>
        <v>22.638436482084686</v>
      </c>
      <c r="G26" s="49" t="str">
        <f t="shared" si="1"/>
        <v>NEG</v>
      </c>
      <c r="H26" s="49" t="str">
        <f t="shared" si="2"/>
        <v>N</v>
      </c>
      <c r="I26" s="50" t="str">
        <f>IF(ECHANTILLONS!D27="","",ECHANTILLONS!D27)</f>
        <v/>
      </c>
      <c r="J26" s="50" t="s">
        <v>89</v>
      </c>
    </row>
    <row r="27" spans="1:10" ht="15" customHeight="1" x14ac:dyDescent="0.25">
      <c r="A27" s="36" t="s">
        <v>27</v>
      </c>
      <c r="B27" s="47">
        <f>IF(ECHANTILLONS!B28="","",ECHANTILLONS!B28)</f>
        <v>411</v>
      </c>
      <c r="C27" s="51">
        <f>IF(ECHANTILLONS!C28="","",ECHANTILLONS!C28)</f>
        <v>2500923</v>
      </c>
      <c r="D27" s="52">
        <f>IF('450-600 nm'!G29="","",'450-600 nm'!G29)</f>
        <v>-20.320243995425088</v>
      </c>
      <c r="E27" s="49" t="str">
        <f t="shared" si="0"/>
        <v>NEG</v>
      </c>
      <c r="F27" s="52">
        <f>IF('450-600 nm'!M29="","",'450-600 nm'!M29)</f>
        <v>-11.237785016286622</v>
      </c>
      <c r="G27" s="49" t="str">
        <f t="shared" si="1"/>
        <v>NEG</v>
      </c>
      <c r="H27" s="49" t="str">
        <f t="shared" si="2"/>
        <v>N</v>
      </c>
      <c r="I27" s="50" t="str">
        <f>IF(ECHANTILLONS!D28="","",ECHANTILLONS!D28)</f>
        <v/>
      </c>
      <c r="J27" s="50" t="s">
        <v>89</v>
      </c>
    </row>
    <row r="28" spans="1:10" ht="15" customHeight="1" x14ac:dyDescent="0.25">
      <c r="A28" s="36" t="s">
        <v>28</v>
      </c>
      <c r="B28" s="47">
        <f>IF(ECHANTILLONS!B29="","",ECHANTILLONS!B29)</f>
        <v>412</v>
      </c>
      <c r="C28" s="51">
        <f>IF(ECHANTILLONS!C29="","",ECHANTILLONS!C29)</f>
        <v>2402981</v>
      </c>
      <c r="D28" s="52">
        <f>IF('450-600 nm'!B30="","",'450-600 nm'!B30)</f>
        <v>-20.015249714067849</v>
      </c>
      <c r="E28" s="49" t="str">
        <f t="shared" si="0"/>
        <v>NEG</v>
      </c>
      <c r="F28" s="52">
        <f>IF('450-600 nm'!H30="","",'450-600 nm'!H30)</f>
        <v>9.1205211726384334</v>
      </c>
      <c r="G28" s="49" t="str">
        <f t="shared" si="1"/>
        <v>NEG</v>
      </c>
      <c r="H28" s="49" t="str">
        <f t="shared" si="2"/>
        <v>N</v>
      </c>
      <c r="I28" s="50" t="str">
        <f>IF(ECHANTILLONS!D29="","",ECHANTILLONS!D29)</f>
        <v/>
      </c>
      <c r="J28" s="50" t="s">
        <v>89</v>
      </c>
    </row>
    <row r="29" spans="1:10" ht="15" customHeight="1" x14ac:dyDescent="0.25">
      <c r="A29" s="36" t="s">
        <v>29</v>
      </c>
      <c r="B29" s="47">
        <f>IF(ECHANTILLONS!B30="","",ECHANTILLONS!B30)</f>
        <v>413</v>
      </c>
      <c r="C29" s="51">
        <f>IF(ECHANTILLONS!C30="","",ECHANTILLONS!C30)</f>
        <v>2501995</v>
      </c>
      <c r="D29" s="52">
        <f>IF('450-600 nm'!C30="","",'450-600 nm'!C30)</f>
        <v>0.49561570720550208</v>
      </c>
      <c r="E29" s="49" t="str">
        <f t="shared" si="0"/>
        <v>NEG</v>
      </c>
      <c r="F29" s="52">
        <f>IF('450-600 nm'!I30="","",'450-600 nm'!I30)</f>
        <v>22.801302931596098</v>
      </c>
      <c r="G29" s="49" t="str">
        <f t="shared" si="1"/>
        <v>NEG</v>
      </c>
      <c r="H29" s="49" t="str">
        <f t="shared" si="2"/>
        <v>N</v>
      </c>
      <c r="I29" s="50" t="str">
        <f>IF(ECHANTILLONS!D30="","",ECHANTILLONS!D30)</f>
        <v/>
      </c>
      <c r="J29" s="50" t="s">
        <v>89</v>
      </c>
    </row>
    <row r="30" spans="1:10" ht="15" customHeight="1" x14ac:dyDescent="0.25">
      <c r="A30" s="36" t="s">
        <v>30</v>
      </c>
      <c r="B30" s="47">
        <f>IF(ECHANTILLONS!B31="","",ECHANTILLONS!B31)</f>
        <v>414</v>
      </c>
      <c r="C30" s="51">
        <f>IF(ECHANTILLONS!C31="","",ECHANTILLONS!C31)</f>
        <v>2501914</v>
      </c>
      <c r="D30" s="52">
        <f>IF('450-600 nm'!D30="","",'450-600 nm'!D30)</f>
        <v>9.4929470072436146</v>
      </c>
      <c r="E30" s="49" t="str">
        <f t="shared" si="0"/>
        <v>NEG</v>
      </c>
      <c r="F30" s="52">
        <f>IF('450-600 nm'!J30="","",'450-600 nm'!J30)</f>
        <v>17.480998914223676</v>
      </c>
      <c r="G30" s="49" t="str">
        <f t="shared" si="1"/>
        <v>NEG</v>
      </c>
      <c r="H30" s="49" t="str">
        <f t="shared" si="2"/>
        <v>N</v>
      </c>
      <c r="I30" s="50" t="str">
        <f>IF(ECHANTILLONS!D31="","",ECHANTILLONS!D31)</f>
        <v/>
      </c>
      <c r="J30" s="50" t="s">
        <v>89</v>
      </c>
    </row>
    <row r="31" spans="1:10" ht="15" customHeight="1" x14ac:dyDescent="0.25">
      <c r="A31" s="36" t="s">
        <v>31</v>
      </c>
      <c r="B31" s="47">
        <f>IF(ECHANTILLONS!B32="","",ECHANTILLONS!B32)</f>
        <v>415</v>
      </c>
      <c r="C31" s="51">
        <f>IF(ECHANTILLONS!C32="","",ECHANTILLONS!C32)</f>
        <v>2501223</v>
      </c>
      <c r="D31" s="52">
        <f>IF('450-600 nm'!E30="","",'450-600 nm'!E30)</f>
        <v>-12.619138391155161</v>
      </c>
      <c r="E31" s="49" t="str">
        <f t="shared" si="0"/>
        <v>NEG</v>
      </c>
      <c r="F31" s="52">
        <f>IF('450-600 nm'!K30="","",'450-600 nm'!K30)</f>
        <v>-0.92290988056460321</v>
      </c>
      <c r="G31" s="49" t="str">
        <f t="shared" si="1"/>
        <v>NEG</v>
      </c>
      <c r="H31" s="49" t="str">
        <f t="shared" si="2"/>
        <v>N</v>
      </c>
      <c r="I31" s="50" t="str">
        <f>IF(ECHANTILLONS!D32="","",ECHANTILLONS!D32)</f>
        <v/>
      </c>
      <c r="J31" s="50" t="s">
        <v>89</v>
      </c>
    </row>
    <row r="32" spans="1:10" ht="15" customHeight="1" x14ac:dyDescent="0.25">
      <c r="A32" s="36" t="s">
        <v>32</v>
      </c>
      <c r="B32" s="47">
        <f>IF(ECHANTILLONS!B33="","",ECHANTILLONS!B33)</f>
        <v>416</v>
      </c>
      <c r="C32" s="51">
        <f>IF(ECHANTILLONS!C33="","",ECHANTILLONS!C33)</f>
        <v>2500145</v>
      </c>
      <c r="D32" s="52">
        <f>IF('450-600 nm'!F30="","",'450-600 nm'!F30)</f>
        <v>-19.634006862371308</v>
      </c>
      <c r="E32" s="49" t="str">
        <f t="shared" si="0"/>
        <v>NEG</v>
      </c>
      <c r="F32" s="52">
        <f>IF('450-600 nm'!L30="","",'450-600 nm'!L30)</f>
        <v>-1.1943539630836</v>
      </c>
      <c r="G32" s="49" t="str">
        <f t="shared" si="1"/>
        <v>NEG</v>
      </c>
      <c r="H32" s="49" t="str">
        <f t="shared" si="2"/>
        <v>N</v>
      </c>
      <c r="I32" s="50" t="str">
        <f>IF(ECHANTILLONS!D33="","",ECHANTILLONS!D33)</f>
        <v/>
      </c>
      <c r="J32" s="50" t="s">
        <v>89</v>
      </c>
    </row>
    <row r="33" spans="1:10" ht="15" customHeight="1" x14ac:dyDescent="0.25">
      <c r="A33" s="36" t="s">
        <v>33</v>
      </c>
      <c r="B33" s="47">
        <f>IF(ECHANTILLONS!B34="","",ECHANTILLONS!B34)</f>
        <v>417</v>
      </c>
      <c r="C33" s="51">
        <f>IF(ECHANTILLONS!C34="","",ECHANTILLONS!C34)</f>
        <v>2500074</v>
      </c>
      <c r="D33" s="52">
        <f>IF('450-600 nm'!G30="","",'450-600 nm'!G30)</f>
        <v>-10.712924132672512</v>
      </c>
      <c r="E33" s="49" t="str">
        <f t="shared" si="0"/>
        <v>NEG</v>
      </c>
      <c r="F33" s="52">
        <f>IF('450-600 nm'!M30="","",'450-600 nm'!M30)</f>
        <v>-14.00651465798046</v>
      </c>
      <c r="G33" s="49" t="str">
        <f t="shared" si="1"/>
        <v>NEG</v>
      </c>
      <c r="H33" s="49" t="str">
        <f t="shared" si="2"/>
        <v>N</v>
      </c>
      <c r="I33" s="50" t="str">
        <f>IF(ECHANTILLONS!D34="","",ECHANTILLONS!D34)</f>
        <v/>
      </c>
      <c r="J33" s="50" t="s">
        <v>89</v>
      </c>
    </row>
    <row r="34" spans="1:10" ht="15" customHeight="1" x14ac:dyDescent="0.25">
      <c r="A34" s="36" t="s">
        <v>34</v>
      </c>
      <c r="B34" s="47">
        <f>IF(ECHANTILLONS!B35="","",ECHANTILLONS!B35)</f>
        <v>418</v>
      </c>
      <c r="C34" s="51">
        <f>IF(ECHANTILLONS!C35="","",ECHANTILLONS!C35)</f>
        <v>2501219</v>
      </c>
      <c r="D34" s="52">
        <f>IF('450-600 nm'!B31="","",'450-600 nm'!B31)</f>
        <v>-12.542889820815844</v>
      </c>
      <c r="E34" s="49" t="str">
        <f t="shared" si="0"/>
        <v>NEG</v>
      </c>
      <c r="F34" s="52">
        <f>IF('450-600 nm'!H31="","",'450-600 nm'!H31)</f>
        <v>15.472312703583071</v>
      </c>
      <c r="G34" s="49" t="str">
        <f t="shared" si="1"/>
        <v>NEG</v>
      </c>
      <c r="H34" s="49" t="str">
        <f t="shared" si="2"/>
        <v>N</v>
      </c>
      <c r="I34" s="50" t="str">
        <f>IF(ECHANTILLONS!D35="","",ECHANTILLONS!D35)</f>
        <v/>
      </c>
      <c r="J34" s="50" t="s">
        <v>89</v>
      </c>
    </row>
    <row r="35" spans="1:10" ht="15" customHeight="1" x14ac:dyDescent="0.25">
      <c r="A35" s="36" t="s">
        <v>35</v>
      </c>
      <c r="B35" s="47">
        <f>IF(ECHANTILLONS!B36="","",ECHANTILLONS!B36)</f>
        <v>419</v>
      </c>
      <c r="C35" s="51">
        <f>IF(ECHANTILLONS!C36="","",ECHANTILLONS!C36)</f>
        <v>2501217</v>
      </c>
      <c r="D35" s="52">
        <f>IF('450-600 nm'!C31="","",'450-600 nm'!C31)</f>
        <v>-8.8829584445291516</v>
      </c>
      <c r="E35" s="49" t="str">
        <f t="shared" si="0"/>
        <v>NEG</v>
      </c>
      <c r="F35" s="52">
        <f>IF('450-600 nm'!I31="","",'450-600 nm'!I31)</f>
        <v>10.09771986970685</v>
      </c>
      <c r="G35" s="49" t="str">
        <f t="shared" si="1"/>
        <v>NEG</v>
      </c>
      <c r="H35" s="49" t="str">
        <f t="shared" si="2"/>
        <v>N</v>
      </c>
      <c r="I35" s="50" t="str">
        <f>IF(ECHANTILLONS!D36="","",ECHANTILLONS!D36)</f>
        <v/>
      </c>
      <c r="J35" s="50" t="s">
        <v>89</v>
      </c>
    </row>
    <row r="36" spans="1:10" ht="15" customHeight="1" x14ac:dyDescent="0.25">
      <c r="A36" s="36" t="s">
        <v>36</v>
      </c>
      <c r="B36" s="47">
        <f>IF(ECHANTILLONS!B37="","",ECHANTILLONS!B37)</f>
        <v>420</v>
      </c>
      <c r="C36" s="51">
        <f>IF(ECHANTILLONS!C37="","",ECHANTILLONS!C37)</f>
        <v>2501218</v>
      </c>
      <c r="D36" s="52">
        <f>IF('450-600 nm'!D31="","",'450-600 nm'!D31)</f>
        <v>-6.3667556233320681</v>
      </c>
      <c r="E36" s="49" t="str">
        <f t="shared" si="0"/>
        <v>NEG</v>
      </c>
      <c r="F36" s="52">
        <f>IF('450-600 nm'!J31="","",'450-600 nm'!J31)</f>
        <v>3.09446254071662</v>
      </c>
      <c r="G36" s="49" t="str">
        <f t="shared" si="1"/>
        <v>NEG</v>
      </c>
      <c r="H36" s="49" t="str">
        <f t="shared" si="2"/>
        <v>N</v>
      </c>
      <c r="I36" s="50" t="str">
        <f>IF(ECHANTILLONS!D37="","",ECHANTILLONS!D37)</f>
        <v/>
      </c>
      <c r="J36" s="50" t="s">
        <v>89</v>
      </c>
    </row>
    <row r="37" spans="1:10" ht="15" customHeight="1" x14ac:dyDescent="0.25">
      <c r="A37" s="36" t="s">
        <v>37</v>
      </c>
      <c r="B37" s="47">
        <f>IF(ECHANTILLONS!B38="","",ECHANTILLONS!B38)</f>
        <v>421</v>
      </c>
      <c r="C37" s="51">
        <f>IF(ECHANTILLONS!C38="","",ECHANTILLONS!C38)</f>
        <v>2501894</v>
      </c>
      <c r="D37" s="52">
        <f>IF('450-600 nm'!E31="","",'450-600 nm'!E31)</f>
        <v>-0.19062142584826347</v>
      </c>
      <c r="E37" s="49" t="str">
        <f t="shared" si="0"/>
        <v>NEG</v>
      </c>
      <c r="F37" s="52">
        <f>IF('450-600 nm'!K31="","",'450-600 nm'!K31)</f>
        <v>2.9858849077090213</v>
      </c>
      <c r="G37" s="49" t="str">
        <f t="shared" si="1"/>
        <v>NEG</v>
      </c>
      <c r="H37" s="49" t="str">
        <f t="shared" si="2"/>
        <v>N</v>
      </c>
      <c r="I37" s="50" t="str">
        <f>IF(ECHANTILLONS!D38="","",ECHANTILLONS!D38)</f>
        <v/>
      </c>
      <c r="J37" s="50" t="s">
        <v>89</v>
      </c>
    </row>
    <row r="38" spans="1:10" ht="15" customHeight="1" x14ac:dyDescent="0.25">
      <c r="A38" s="36" t="s">
        <v>38</v>
      </c>
      <c r="B38" s="47">
        <f>IF(ECHANTILLONS!B39="","",ECHANTILLONS!B39)</f>
        <v>422</v>
      </c>
      <c r="C38" s="51">
        <f>IF(ECHANTILLONS!C39="","",ECHANTILLONS!C39)</f>
        <v>2500099</v>
      </c>
      <c r="D38" s="52">
        <f>IF('450-600 nm'!F31="","",'450-600 nm'!F31)</f>
        <v>-8.3492184521540196</v>
      </c>
      <c r="E38" s="49" t="str">
        <f t="shared" si="0"/>
        <v>NEG</v>
      </c>
      <c r="F38" s="52">
        <f>IF('450-600 nm'!L31="","",'450-600 nm'!L31)</f>
        <v>14.115092290988045</v>
      </c>
      <c r="G38" s="49" t="str">
        <f t="shared" si="1"/>
        <v>NEG</v>
      </c>
      <c r="H38" s="49" t="str">
        <f t="shared" si="2"/>
        <v>N</v>
      </c>
      <c r="I38" s="50" t="str">
        <f>IF(ECHANTILLONS!D39="","",ECHANTILLONS!D39)</f>
        <v/>
      </c>
      <c r="J38" s="50" t="s">
        <v>89</v>
      </c>
    </row>
    <row r="39" spans="1:10" ht="15" customHeight="1" x14ac:dyDescent="0.25">
      <c r="A39" s="36" t="s">
        <v>39</v>
      </c>
      <c r="B39" s="47">
        <f>IF(ECHANTILLONS!B40="","",ECHANTILLONS!B40)</f>
        <v>423</v>
      </c>
      <c r="C39" s="51">
        <f>IF(ECHANTILLONS!C40="","",ECHANTILLONS!C40)</f>
        <v>2500100</v>
      </c>
      <c r="D39" s="52">
        <f>IF('450-600 nm'!G31="","",'450-600 nm'!G31)</f>
        <v>-4.0792985131528781</v>
      </c>
      <c r="E39" s="49" t="str">
        <f t="shared" si="0"/>
        <v>NEG</v>
      </c>
      <c r="F39" s="52">
        <f>IF('450-600 nm'!M31="","",'450-600 nm'!M31)</f>
        <v>-13.463626492942439</v>
      </c>
      <c r="G39" s="49" t="str">
        <f t="shared" si="1"/>
        <v>NEG</v>
      </c>
      <c r="H39" s="49" t="str">
        <f t="shared" si="2"/>
        <v>N</v>
      </c>
      <c r="I39" s="50" t="str">
        <f>IF(ECHANTILLONS!D40="","",ECHANTILLONS!D40)</f>
        <v/>
      </c>
      <c r="J39" s="50" t="s">
        <v>89</v>
      </c>
    </row>
    <row r="40" spans="1:10" ht="15" customHeight="1" x14ac:dyDescent="0.25">
      <c r="A40" s="36" t="s">
        <v>40</v>
      </c>
      <c r="B40" s="47">
        <f>IF(ECHANTILLONS!B41="","",ECHANTILLONS!B41)</f>
        <v>424</v>
      </c>
      <c r="C40" s="51">
        <f>IF(ECHANTILLONS!C41="","",ECHANTILLONS!C41)</f>
        <v>2500991</v>
      </c>
      <c r="D40" s="52">
        <f>IF('450-600 nm'!B32="","",'450-600 nm'!B32)</f>
        <v>-33.282500953107132</v>
      </c>
      <c r="E40" s="49" t="str">
        <f t="shared" si="0"/>
        <v>NEG</v>
      </c>
      <c r="F40" s="52">
        <f>IF('450-600 nm'!H32="","",'450-600 nm'!H32)</f>
        <v>-7.3289902280130264</v>
      </c>
      <c r="G40" s="49" t="str">
        <f t="shared" si="1"/>
        <v>NEG</v>
      </c>
      <c r="H40" s="49" t="str">
        <f t="shared" si="2"/>
        <v>N</v>
      </c>
      <c r="I40" s="50" t="str">
        <f>IF(ECHANTILLONS!D41="","",ECHANTILLONS!D41)</f>
        <v/>
      </c>
      <c r="J40" s="50" t="s">
        <v>89</v>
      </c>
    </row>
    <row r="41" spans="1:10" ht="15" customHeight="1" x14ac:dyDescent="0.25">
      <c r="A41" s="36" t="s">
        <v>41</v>
      </c>
      <c r="B41" s="47">
        <f>IF(ECHANTILLONS!B42="","",ECHANTILLONS!B42)</f>
        <v>425</v>
      </c>
      <c r="C41" s="51">
        <f>IF(ECHANTILLONS!C42="","",ECHANTILLONS!C42)</f>
        <v>2500994</v>
      </c>
      <c r="D41" s="52">
        <f>IF('450-600 nm'!C32="","",'450-600 nm'!C32)</f>
        <v>-31.071292413267258</v>
      </c>
      <c r="E41" s="49" t="str">
        <f t="shared" si="0"/>
        <v>NEG</v>
      </c>
      <c r="F41" s="52">
        <f>IF('450-600 nm'!I32="","",'450-600 nm'!I32)</f>
        <v>-21.606948968512498</v>
      </c>
      <c r="G41" s="49" t="str">
        <f t="shared" si="1"/>
        <v>NEG</v>
      </c>
      <c r="H41" s="49" t="str">
        <f t="shared" si="2"/>
        <v>N</v>
      </c>
      <c r="I41" s="50" t="str">
        <f>IF(ECHANTILLONS!D42="","",ECHANTILLONS!D42)</f>
        <v/>
      </c>
      <c r="J41" s="50" t="s">
        <v>89</v>
      </c>
    </row>
    <row r="42" spans="1:10" ht="15" customHeight="1" x14ac:dyDescent="0.25">
      <c r="A42" s="36" t="s">
        <v>42</v>
      </c>
      <c r="B42" s="47">
        <f>IF(ECHANTILLONS!B43="","",ECHANTILLONS!B43)</f>
        <v>426</v>
      </c>
      <c r="C42" s="51">
        <f>IF(ECHANTILLONS!C43="","",ECHANTILLONS!C43)</f>
        <v>2501919</v>
      </c>
      <c r="D42" s="52">
        <f>IF('450-600 nm'!D32="","",'450-600 nm'!D32)</f>
        <v>-36.484940907357981</v>
      </c>
      <c r="E42" s="49" t="str">
        <f t="shared" si="0"/>
        <v>NEG</v>
      </c>
      <c r="F42" s="52">
        <f>IF('450-600 nm'!J32="","",'450-600 nm'!J32)</f>
        <v>8.5776330076004399</v>
      </c>
      <c r="G42" s="49" t="str">
        <f t="shared" si="1"/>
        <v>NEG</v>
      </c>
      <c r="H42" s="49" t="str">
        <f t="shared" si="2"/>
        <v>N</v>
      </c>
      <c r="I42" s="50" t="str">
        <f>IF(ECHANTILLONS!D43="","",ECHANTILLONS!D43)</f>
        <v/>
      </c>
      <c r="J42" s="50" t="s">
        <v>89</v>
      </c>
    </row>
    <row r="43" spans="1:10" ht="15" customHeight="1" x14ac:dyDescent="0.25">
      <c r="A43" s="36" t="s">
        <v>43</v>
      </c>
      <c r="B43" s="47">
        <f>IF(ECHANTILLONS!B44="","",ECHANTILLONS!B44)</f>
        <v>427</v>
      </c>
      <c r="C43" s="51">
        <f>IF(ECHANTILLONS!C44="","",ECHANTILLONS!C44)</f>
        <v>2500773</v>
      </c>
      <c r="D43" s="52">
        <f>IF('450-600 nm'!E32="","",'450-600 nm'!E32)</f>
        <v>-4.6130385055280101</v>
      </c>
      <c r="E43" s="49" t="str">
        <f t="shared" si="0"/>
        <v>NEG</v>
      </c>
      <c r="F43" s="52">
        <f>IF('450-600 nm'!K32="","",'450-600 nm'!K32)</f>
        <v>3.8002171552660116</v>
      </c>
      <c r="G43" s="49" t="str">
        <f t="shared" si="1"/>
        <v>NEG</v>
      </c>
      <c r="H43" s="49" t="str">
        <f t="shared" si="2"/>
        <v>N</v>
      </c>
      <c r="I43" s="50" t="str">
        <f>IF(ECHANTILLONS!D44="","",ECHANTILLONS!D44)</f>
        <v/>
      </c>
      <c r="J43" s="50" t="s">
        <v>89</v>
      </c>
    </row>
    <row r="44" spans="1:10" ht="15" customHeight="1" x14ac:dyDescent="0.25">
      <c r="A44" s="36" t="s">
        <v>44</v>
      </c>
      <c r="B44" s="47">
        <f>IF(ECHANTILLONS!B45="","",ECHANTILLONS!B45)</f>
        <v>428</v>
      </c>
      <c r="C44" s="51">
        <f>IF(ECHANTILLONS!C45="","",ECHANTILLONS!C45)</f>
        <v>2500777</v>
      </c>
      <c r="D44" s="52">
        <f>IF('450-600 nm'!F32="","",'450-600 nm'!F32)</f>
        <v>-18.566526877621044</v>
      </c>
      <c r="E44" s="49" t="str">
        <f t="shared" si="0"/>
        <v>NEG</v>
      </c>
      <c r="F44" s="52">
        <f>IF('450-600 nm'!L32="","",'450-600 nm'!L32)</f>
        <v>7.3832790445168257</v>
      </c>
      <c r="G44" s="49" t="str">
        <f t="shared" si="1"/>
        <v>NEG</v>
      </c>
      <c r="H44" s="49" t="str">
        <f t="shared" si="2"/>
        <v>N</v>
      </c>
      <c r="I44" s="50" t="str">
        <f>IF(ECHANTILLONS!D45="","",ECHANTILLONS!D45)</f>
        <v/>
      </c>
      <c r="J44" s="50" t="s">
        <v>89</v>
      </c>
    </row>
    <row r="45" spans="1:10" ht="15" customHeight="1" x14ac:dyDescent="0.25">
      <c r="A45" s="36" t="s">
        <v>45</v>
      </c>
      <c r="B45" s="47">
        <f>IF(ECHANTILLONS!B46="","",ECHANTILLONS!B46)</f>
        <v>429</v>
      </c>
      <c r="C45" s="51">
        <f>IF(ECHANTILLONS!C46="","",ECHANTILLONS!C46)</f>
        <v>2500789</v>
      </c>
      <c r="D45" s="52">
        <f>IF('450-600 nm'!G32="","",'450-600 nm'!G32)</f>
        <v>-14.52535264963781</v>
      </c>
      <c r="E45" s="49" t="str">
        <f t="shared" si="0"/>
        <v>NEG</v>
      </c>
      <c r="F45" s="52">
        <f>IF('450-600 nm'!M32="","",'450-600 nm'!M32)</f>
        <v>-15.68946796959824</v>
      </c>
      <c r="G45" s="49" t="str">
        <f t="shared" si="1"/>
        <v>NEG</v>
      </c>
      <c r="H45" s="49" t="str">
        <f t="shared" si="2"/>
        <v>N</v>
      </c>
      <c r="I45" s="50" t="str">
        <f>IF(ECHANTILLONS!D46="","",ECHANTILLONS!D46)</f>
        <v/>
      </c>
      <c r="J45" s="50" t="s">
        <v>89</v>
      </c>
    </row>
    <row r="46" spans="1:10" ht="15" customHeight="1" x14ac:dyDescent="0.25">
      <c r="A46" s="36" t="s">
        <v>46</v>
      </c>
      <c r="B46" s="47">
        <f>IF(ECHANTILLONS!B47="","",ECHANTILLONS!B47)</f>
        <v>430</v>
      </c>
      <c r="C46" s="51">
        <f>IF(ECHANTILLONS!C47="","",ECHANTILLONS!C47)</f>
        <v>2500788</v>
      </c>
      <c r="D46" s="52">
        <f>IF('450-600 nm'!B33="","",'450-600 nm'!B33)</f>
        <v>-24.361418223408293</v>
      </c>
      <c r="E46" s="49" t="str">
        <f t="shared" si="0"/>
        <v>NEG</v>
      </c>
      <c r="F46" s="52">
        <f>IF('450-600 nm'!H33="","",'450-600 nm'!H33)</f>
        <v>-27.035830618892504</v>
      </c>
      <c r="G46" s="49" t="str">
        <f t="shared" si="1"/>
        <v>NEG</v>
      </c>
      <c r="H46" s="49" t="str">
        <f t="shared" si="2"/>
        <v>N</v>
      </c>
      <c r="I46" s="50" t="str">
        <f>IF(ECHANTILLONS!D47="","",ECHANTILLONS!D47)</f>
        <v/>
      </c>
      <c r="J46" s="50" t="s">
        <v>89</v>
      </c>
    </row>
    <row r="47" spans="1:10" ht="15" customHeight="1" x14ac:dyDescent="0.25">
      <c r="A47" s="36" t="s">
        <v>47</v>
      </c>
      <c r="B47" s="47">
        <f>IF(ECHANTILLONS!B48="","",ECHANTILLONS!B48)</f>
        <v>431</v>
      </c>
      <c r="C47" s="51">
        <f>IF(ECHANTILLONS!C48="","",ECHANTILLONS!C48)</f>
        <v>2500763</v>
      </c>
      <c r="D47" s="52">
        <f>IF('450-600 nm'!C33="","",'450-600 nm'!C33)</f>
        <v>-26.19138391155164</v>
      </c>
      <c r="E47" s="49" t="str">
        <f t="shared" si="0"/>
        <v>NEG</v>
      </c>
      <c r="F47" s="52">
        <f>IF('450-600 nm'!I33="","",'450-600 nm'!I33)</f>
        <v>-29.587404994571102</v>
      </c>
      <c r="G47" s="49" t="str">
        <f t="shared" si="1"/>
        <v>NEG</v>
      </c>
      <c r="H47" s="49" t="str">
        <f t="shared" si="2"/>
        <v>N</v>
      </c>
      <c r="I47" s="50" t="str">
        <f>IF(ECHANTILLONS!D48="","",ECHANTILLONS!D48)</f>
        <v/>
      </c>
      <c r="J47" s="50" t="s">
        <v>89</v>
      </c>
    </row>
    <row r="48" spans="1:10" ht="15" customHeight="1" x14ac:dyDescent="0.25">
      <c r="A48" s="36" t="s">
        <v>48</v>
      </c>
      <c r="B48" s="47">
        <f>IF(ECHANTILLONS!B49="","",ECHANTILLONS!B49)</f>
        <v>432</v>
      </c>
      <c r="C48" s="51">
        <f>IF(ECHANTILLONS!C49="","",ECHANTILLONS!C49)</f>
        <v>2501939</v>
      </c>
      <c r="D48" s="52">
        <f>IF('450-600 nm'!D33="","",'450-600 nm'!D33)</f>
        <v>-28.097598170034303</v>
      </c>
      <c r="E48" s="49" t="str">
        <f t="shared" si="0"/>
        <v>NEG</v>
      </c>
      <c r="F48" s="52">
        <f>IF('450-600 nm'!J33="","",'450-600 nm'!J33)</f>
        <v>-16.015200868621051</v>
      </c>
      <c r="G48" s="49" t="str">
        <f t="shared" si="1"/>
        <v>NEG</v>
      </c>
      <c r="H48" s="49" t="str">
        <f t="shared" si="2"/>
        <v>N</v>
      </c>
      <c r="I48" s="50" t="str">
        <f>IF(ECHANTILLONS!D49="","",ECHANTILLONS!D49)</f>
        <v/>
      </c>
      <c r="J48" s="50" t="s">
        <v>89</v>
      </c>
    </row>
    <row r="49" spans="1:10" ht="15" customHeight="1" x14ac:dyDescent="0.25">
      <c r="A49" s="36" t="s">
        <v>49</v>
      </c>
      <c r="B49" s="47">
        <f>IF(ECHANTILLONS!B50="","",ECHANTILLONS!B50)</f>
        <v>433</v>
      </c>
      <c r="C49" s="51">
        <f>IF(ECHANTILLONS!C50="","",ECHANTILLONS!C50)</f>
        <v>2501936</v>
      </c>
      <c r="D49" s="52">
        <f>IF('450-600 nm'!E33="","",'450-600 nm'!E33)</f>
        <v>-17.117804041174224</v>
      </c>
      <c r="E49" s="49" t="str">
        <f t="shared" si="0"/>
        <v>NEG</v>
      </c>
      <c r="F49" s="52">
        <f>IF('450-600 nm'!K33="","",'450-600 nm'!K33)</f>
        <v>-17.155266015200851</v>
      </c>
      <c r="G49" s="49" t="str">
        <f t="shared" si="1"/>
        <v>NEG</v>
      </c>
      <c r="H49" s="49" t="str">
        <f t="shared" si="2"/>
        <v>N</v>
      </c>
      <c r="I49" s="50" t="str">
        <f>IF(ECHANTILLONS!D50="","",ECHANTILLONS!D50)</f>
        <v/>
      </c>
      <c r="J49" s="50" t="s">
        <v>89</v>
      </c>
    </row>
    <row r="50" spans="1:10" ht="15" customHeight="1" x14ac:dyDescent="0.25">
      <c r="A50" s="36" t="s">
        <v>50</v>
      </c>
      <c r="B50" s="47">
        <f>IF(ECHANTILLONS!B51="","",ECHANTILLONS!B51)</f>
        <v>434</v>
      </c>
      <c r="C50" s="51">
        <f>IF(ECHANTILLONS!C51="","",ECHANTILLONS!C51)</f>
        <v>2500012</v>
      </c>
      <c r="D50" s="52">
        <f>IF('450-600 nm'!F33="","",'450-600 nm'!F33)</f>
        <v>-38.772398017537171</v>
      </c>
      <c r="E50" s="49" t="str">
        <f t="shared" si="0"/>
        <v>NEG</v>
      </c>
      <c r="F50" s="52">
        <f>IF('450-600 nm'!L33="","",'450-600 nm'!L33)</f>
        <v>7.6004343105320373</v>
      </c>
      <c r="G50" s="49" t="str">
        <f t="shared" si="1"/>
        <v>NEG</v>
      </c>
      <c r="H50" s="49" t="str">
        <f t="shared" si="2"/>
        <v>N</v>
      </c>
      <c r="I50" s="50" t="str">
        <f>IF(ECHANTILLONS!D51="","",ECHANTILLONS!D51)</f>
        <v/>
      </c>
      <c r="J50" s="50" t="s">
        <v>89</v>
      </c>
    </row>
    <row r="51" spans="1:10" ht="15" customHeight="1" x14ac:dyDescent="0.25">
      <c r="A51" s="36" t="s">
        <v>51</v>
      </c>
      <c r="B51" s="47">
        <f>IF(ECHANTILLONS!B52="","",ECHANTILLONS!B52)</f>
        <v>435</v>
      </c>
      <c r="C51" s="51">
        <f>IF(ECHANTILLONS!C52="","",ECHANTILLONS!C52)</f>
        <v>2500030</v>
      </c>
      <c r="D51" s="52">
        <f>IF('450-600 nm'!G33="","",'450-600 nm'!G33)</f>
        <v>-40.602363705680517</v>
      </c>
      <c r="E51" s="49" t="str">
        <f t="shared" si="0"/>
        <v>NEG</v>
      </c>
      <c r="F51" s="52">
        <f>IF('450-600 nm'!M33="","",'450-600 nm'!M33)</f>
        <v>-21.824104234527695</v>
      </c>
      <c r="G51" s="49" t="str">
        <f t="shared" si="1"/>
        <v>NEG</v>
      </c>
      <c r="H51" s="49" t="str">
        <f t="shared" si="2"/>
        <v>N</v>
      </c>
      <c r="I51" s="50" t="str">
        <f>IF(ECHANTILLONS!D52="","",ECHANTILLONS!D52)</f>
        <v/>
      </c>
      <c r="J51" s="50" t="s">
        <v>89</v>
      </c>
    </row>
    <row r="52" spans="1:10" ht="15" customHeight="1" x14ac:dyDescent="0.25">
      <c r="A52" s="36" t="s">
        <v>52</v>
      </c>
      <c r="B52" s="47">
        <f>IF(ECHANTILLONS!B53="","",ECHANTILLONS!B53)</f>
        <v>436</v>
      </c>
      <c r="C52" s="51">
        <f>IF(ECHANTILLONS!C53="","",ECHANTILLONS!C53)</f>
        <v>2500005</v>
      </c>
      <c r="D52" s="52">
        <f>IF('450-600 nm'!B34="","",'450-600 nm'!B34)</f>
        <v>4.9180327868852345</v>
      </c>
      <c r="E52" s="49" t="str">
        <f t="shared" si="0"/>
        <v>NEG</v>
      </c>
      <c r="F52" s="52">
        <f>IF('450-600 nm'!H34="","",'450-600 nm'!H34)</f>
        <v>-21.172638436482089</v>
      </c>
      <c r="G52" s="49" t="str">
        <f t="shared" si="1"/>
        <v>NEG</v>
      </c>
      <c r="H52" s="49" t="str">
        <f t="shared" si="2"/>
        <v>N</v>
      </c>
      <c r="I52" s="50" t="str">
        <f>IF(ECHANTILLONS!D53="","",ECHANTILLONS!D53)</f>
        <v/>
      </c>
      <c r="J52" s="50" t="s">
        <v>89</v>
      </c>
    </row>
    <row r="53" spans="1:10" ht="15" customHeight="1" x14ac:dyDescent="0.25">
      <c r="A53" s="36" t="s">
        <v>53</v>
      </c>
      <c r="B53" s="47">
        <f>IF(ECHANTILLONS!B54="","",ECHANTILLONS!B54)</f>
        <v>437</v>
      </c>
      <c r="C53" s="51">
        <f>IF(ECHANTILLONS!C54="","",ECHANTILLONS!C54)</f>
        <v>2501091</v>
      </c>
      <c r="D53" s="52">
        <f>IF('450-600 nm'!C34="","",'450-600 nm'!C34)</f>
        <v>-15.287838353030864</v>
      </c>
      <c r="E53" s="49" t="str">
        <f t="shared" si="0"/>
        <v>NEG</v>
      </c>
      <c r="F53" s="52">
        <f>IF('450-600 nm'!I34="","",'450-600 nm'!I34)</f>
        <v>-15.418023887079244</v>
      </c>
      <c r="G53" s="49" t="str">
        <f t="shared" si="1"/>
        <v>NEG</v>
      </c>
      <c r="H53" s="49" t="str">
        <f t="shared" si="2"/>
        <v>N</v>
      </c>
      <c r="I53" s="50" t="str">
        <f>IF(ECHANTILLONS!D54="","",ECHANTILLONS!D54)</f>
        <v/>
      </c>
      <c r="J53" s="50" t="s">
        <v>89</v>
      </c>
    </row>
    <row r="54" spans="1:10" ht="15" customHeight="1" x14ac:dyDescent="0.25">
      <c r="A54" s="36" t="s">
        <v>54</v>
      </c>
      <c r="B54" s="47">
        <f>IF(ECHANTILLONS!B55="","",ECHANTILLONS!B55)</f>
        <v>438</v>
      </c>
      <c r="C54" s="51">
        <f>IF(ECHANTILLONS!C55="","",ECHANTILLONS!C55)</f>
        <v>2501075</v>
      </c>
      <c r="D54" s="52">
        <f>IF('450-600 nm'!D34="","",'450-600 nm'!D34)</f>
        <v>-25.810141059855113</v>
      </c>
      <c r="E54" s="49" t="str">
        <f t="shared" si="0"/>
        <v>NEG</v>
      </c>
      <c r="F54" s="52">
        <f>IF('450-600 nm'!J34="","",'450-600 nm'!J34)</f>
        <v>-55.266015200868594</v>
      </c>
      <c r="G54" s="49" t="str">
        <f t="shared" si="1"/>
        <v>NEG</v>
      </c>
      <c r="H54" s="49" t="str">
        <f t="shared" si="2"/>
        <v>N</v>
      </c>
      <c r="I54" s="50" t="str">
        <f>IF(ECHANTILLONS!D55="","",ECHANTILLONS!D55)</f>
        <v/>
      </c>
      <c r="J54" s="50" t="s">
        <v>89</v>
      </c>
    </row>
    <row r="55" spans="1:10" ht="15" customHeight="1" x14ac:dyDescent="0.25">
      <c r="A55" s="36" t="s">
        <v>55</v>
      </c>
      <c r="B55" s="47">
        <f>IF(ECHANTILLONS!B56="","",ECHANTILLONS!B56)</f>
        <v>439</v>
      </c>
      <c r="C55" s="51">
        <f>IF(ECHANTILLONS!C56="","",ECHANTILLONS!C56)</f>
        <v>2501104</v>
      </c>
      <c r="D55" s="52">
        <f>IF('450-600 nm'!E34="","",'450-600 nm'!E34)</f>
        <v>-26.03888677087302</v>
      </c>
      <c r="E55" s="49" t="str">
        <f t="shared" si="0"/>
        <v>NEG</v>
      </c>
      <c r="F55" s="52">
        <f>IF('450-600 nm'!K34="","",'450-600 nm'!K34)</f>
        <v>-33.007600434310547</v>
      </c>
      <c r="G55" s="49" t="str">
        <f t="shared" si="1"/>
        <v>NEG</v>
      </c>
      <c r="H55" s="49" t="str">
        <f t="shared" si="2"/>
        <v>N</v>
      </c>
      <c r="I55" s="50" t="str">
        <f>IF(ECHANTILLONS!D56="","",ECHANTILLONS!D56)</f>
        <v/>
      </c>
      <c r="J55" s="50" t="s">
        <v>89</v>
      </c>
    </row>
    <row r="56" spans="1:10" ht="15" customHeight="1" x14ac:dyDescent="0.25">
      <c r="A56" s="36" t="s">
        <v>56</v>
      </c>
      <c r="B56" s="47">
        <f>IF(ECHANTILLONS!B57="","",ECHANTILLONS!B57)</f>
        <v>440</v>
      </c>
      <c r="C56" s="51">
        <f>IF(ECHANTILLONS!C57="","",ECHANTILLONS!C57)</f>
        <v>2501126</v>
      </c>
      <c r="D56" s="52">
        <f>IF('450-600 nm'!F34="","",'450-600 nm'!F34)</f>
        <v>-36.027449485322137</v>
      </c>
      <c r="E56" s="49" t="str">
        <f t="shared" si="0"/>
        <v>NEG</v>
      </c>
      <c r="F56" s="52">
        <f>IF('450-600 nm'!L34="","",'450-600 nm'!L34)</f>
        <v>-46.091205211726361</v>
      </c>
      <c r="G56" s="49" t="str">
        <f t="shared" si="1"/>
        <v>NEG</v>
      </c>
      <c r="H56" s="49" t="str">
        <f t="shared" si="2"/>
        <v>N</v>
      </c>
      <c r="I56" s="50" t="str">
        <f>IF(ECHANTILLONS!D57="","",ECHANTILLONS!D57)</f>
        <v/>
      </c>
      <c r="J56" s="50" t="s">
        <v>89</v>
      </c>
    </row>
    <row r="57" spans="1:10" ht="15" customHeight="1" x14ac:dyDescent="0.25">
      <c r="A57" s="36" t="s">
        <v>57</v>
      </c>
      <c r="B57" s="47">
        <f>IF(ECHANTILLONS!B58="","",ECHANTILLONS!B58)</f>
        <v>441</v>
      </c>
      <c r="C57" s="51">
        <f>IF(ECHANTILLONS!C58="","",ECHANTILLONS!C58)</f>
        <v>2501125</v>
      </c>
      <c r="D57" s="52">
        <f>IF('450-600 nm'!G34="","",'450-600 nm'!G34)</f>
        <v>-27.792603888677078</v>
      </c>
      <c r="E57" s="49" t="str">
        <f t="shared" si="0"/>
        <v>NEG</v>
      </c>
      <c r="F57" s="52">
        <f>IF('450-600 nm'!M34="","",'450-600 nm'!M34)</f>
        <v>-43.81107491856676</v>
      </c>
      <c r="G57" s="49" t="str">
        <f t="shared" si="1"/>
        <v>NEG</v>
      </c>
      <c r="H57" s="49" t="str">
        <f t="shared" si="2"/>
        <v>N</v>
      </c>
      <c r="I57" s="50" t="str">
        <f>IF(ECHANTILLONS!D58="","",ECHANTILLONS!D58)</f>
        <v/>
      </c>
      <c r="J57" s="50" t="s">
        <v>89</v>
      </c>
    </row>
  </sheetData>
  <sheetProtection selectLockedCells="1"/>
  <mergeCells count="3">
    <mergeCell ref="D12:E12"/>
    <mergeCell ref="F12:G12"/>
    <mergeCell ref="H12:H13"/>
  </mergeCells>
  <conditionalFormatting sqref="D14:D57 F14:F57">
    <cfRule type="cellIs" dxfId="7" priority="6" operator="between">
      <formula>30</formula>
      <formula>100</formula>
    </cfRule>
    <cfRule type="cellIs" dxfId="6" priority="9" operator="between">
      <formula>25</formula>
      <formula>29.9999</formula>
    </cfRule>
  </conditionalFormatting>
  <conditionalFormatting sqref="E14:E57 G14:G57">
    <cfRule type="cellIs" dxfId="5" priority="3" operator="equal">
      <formula>"NEG"</formula>
    </cfRule>
    <cfRule type="cellIs" dxfId="4" priority="8" operator="equal">
      <formula>"POS"</formula>
    </cfRule>
  </conditionalFormatting>
  <conditionalFormatting sqref="H14:H57">
    <cfRule type="cellIs" dxfId="3" priority="4" operator="equal">
      <formula>"N"</formula>
    </cfRule>
    <cfRule type="cellIs" dxfId="2" priority="5" operator="equal">
      <formula>"P"</formula>
    </cfRule>
  </conditionalFormatting>
  <conditionalFormatting sqref="J14:J57">
    <cfRule type="cellIs" dxfId="1" priority="1" operator="equal">
      <formula>"v"</formula>
    </cfRule>
    <cfRule type="cellIs" dxfId="0" priority="2" operator="equal">
      <formula>"e"</formula>
    </cfRule>
  </conditionalFormatting>
  <pageMargins left="0.7" right="0.7" top="0.75" bottom="0.75" header="0.3" footer="0.3"/>
  <pageSetup paperSize="9" scale="70" orientation="portrait" r:id="rId1"/>
  <ignoredErrors>
    <ignoredError sqref="F14:F57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510b1c6ba7ba4ca208e6cd14b818498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5f466b4bbe338f1aa6828ca288e52ead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2025-11-21T12:46:46+00:00</Uploaded>
  </documentManagement>
</p:properties>
</file>

<file path=customXml/itemProps1.xml><?xml version="1.0" encoding="utf-8"?>
<ds:datastoreItem xmlns:ds="http://schemas.openxmlformats.org/officeDocument/2006/customXml" ds:itemID="{9464FFFC-AF77-4E8D-9623-96E4D8A8E8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A4C02F-D43F-4EAD-9592-5D160CDBBCF9}"/>
</file>

<file path=customXml/itemProps3.xml><?xml version="1.0" encoding="utf-8"?>
<ds:datastoreItem xmlns:ds="http://schemas.openxmlformats.org/officeDocument/2006/customXml" ds:itemID="{659BBFB0-3340-4E8A-B7A9-D0BA333C0EA3}">
  <ds:schemaRefs>
    <ds:schemaRef ds:uri="http://purl.org/dc/dcmitype/"/>
    <ds:schemaRef ds:uri="http://schemas.microsoft.com/office/infopath/2007/PartnerControls"/>
    <ds:schemaRef ds:uri="ca599135-9cea-41f2-b0ef-f33d5258344e"/>
    <ds:schemaRef ds:uri="http://purl.org/dc/elements/1.1/"/>
    <ds:schemaRef ds:uri="http://schemas.microsoft.com/office/2006/metadata/properties"/>
    <ds:schemaRef ds:uri="59542cd9-5863-47bf-84e7-5880463d4622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ECHANTILLONS</vt:lpstr>
      <vt:lpstr>450-600 nm</vt:lpstr>
      <vt:lpstr>Résultats</vt:lpstr>
      <vt:lpstr>'450-600 nm'!Zone_d_impression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</dc:creator>
  <cp:lastModifiedBy>CRT Dipumba</cp:lastModifiedBy>
  <cp:lastPrinted>2025-05-07T09:48:45Z</cp:lastPrinted>
  <dcterms:created xsi:type="dcterms:W3CDTF">2022-02-18T11:32:23Z</dcterms:created>
  <dcterms:modified xsi:type="dcterms:W3CDTF">2025-11-18T11:19:04Z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