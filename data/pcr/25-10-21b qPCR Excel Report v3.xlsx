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99993C31-5454-40F9-AA65-9E4457F3EDA0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E3" i="10" a="1"/>
  <c r="E3" i="10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F3" i="10" l="1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<sst xmlns="http://schemas.openxmlformats.org/spreadsheetml/2006/main" count="433" uniqueCount="77">
  <si>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</si>
  <si>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</si>
  <si>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</si>
  <si>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</si>
  <si>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</si>
  <si>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</si>
  <si>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</si>
  <si>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</si>
  <si>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</si>
  <si>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</si>
  <si>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</si>
  <si>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</si>
  <si>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</si>
  <si>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</si>
  <si>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</si>
  <si>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</si>
  <si>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</si>
  <si>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</si>
  <si>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</si>
  <si>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</si>
  <si>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</si>
  <si>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</si>
  <si>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</si>
  <si>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</si>
  <si>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</si>
  <si>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</si>
  <si>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</si>
  <si>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</si>
  <si>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</si>
  <si>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</si>
  <si>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</si>
  <si>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</si>
  <si>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</si>
  <si>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</si>
  <si>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</si>
  <si>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</si>
  <si>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</si>
  <si>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</si>
  <si>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</si>
  <si>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</si>
  <si>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</si>
  <si>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</si>
  <si>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</si>
  <si>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LOUS</t>
  </si>
  <si>
    <t>Qrun file name</t>
  </si>
  <si>
    <t>2025-10-21 15.52.04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</si>
  <si>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</si>
  <si>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</si>
  <si>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</si>
  <si>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</si>
  <si>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</si>
  <si>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</si>
  <si>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</si>
  <si>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</si>
  <si>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</si>
  <si>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</si>
  <si>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</si>
  <si>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E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</si>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</sst>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304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304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304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304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305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305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305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305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306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306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306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306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307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307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307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307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308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308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308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308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310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310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310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310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311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311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311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311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312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312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312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312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313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313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313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313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314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314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314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314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24.2400940651459</v>
      </c>
      <c r="D42" s="8">
        <v>0.89237776598673801</v>
      </c>
      <c r="E42" s="8">
        <v>0.99807999999999997</v>
      </c>
      <c r="F42" s="8"/>
    </row>
    <row r="43" spans="1:6">
      <c r="A43" s="8">
        <v>42</v>
      </c>
      <c r="B43" s="8" t="s">
        <v>7</v>
      </c>
      <c r="C43" s="8">
        <v>31.591247336981802</v>
      </c>
      <c r="D43" s="8">
        <v>0.63590691097059704</v>
      </c>
      <c r="E43" s="8">
        <v>0.99809000000000003</v>
      </c>
      <c r="F43" s="8"/>
    </row>
    <row r="44" spans="1:6">
      <c r="A44" s="8">
        <v>43</v>
      </c>
      <c r="B44" s="8" t="s">
        <v>7</v>
      </c>
      <c r="C44" s="8">
        <v>23.303539918696799</v>
      </c>
      <c r="D44" s="8">
        <v>0.84717914389395699</v>
      </c>
      <c r="E44" s="8">
        <v>0.99924000000000002</v>
      </c>
      <c r="F44" s="8"/>
    </row>
    <row r="45" spans="1:6">
      <c r="A45" s="8">
        <v>44</v>
      </c>
      <c r="B45" s="8" t="s">
        <v>7</v>
      </c>
      <c r="C45" s="8">
        <v>24.968350650691701</v>
      </c>
      <c r="D45" s="8">
        <v>0.78479572127707498</v>
      </c>
      <c r="E45" s="8">
        <v>0.99875000000000003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304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304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304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304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305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305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305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305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306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306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306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306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307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307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307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307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308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308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308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308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310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310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310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310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311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311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311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311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312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312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312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312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313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313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313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313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314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314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314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314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20.574599942868399</v>
      </c>
      <c r="D42" s="9">
        <v>0.86119692555069804</v>
      </c>
      <c r="E42" s="9">
        <v>0.99850000000000005</v>
      </c>
      <c r="F42" s="9"/>
    </row>
    <row r="43" spans="1:6">
      <c r="A43" s="9">
        <v>42</v>
      </c>
      <c r="B43" s="9" t="s">
        <v>7</v>
      </c>
      <c r="C43" s="9">
        <v>24.337566918561802</v>
      </c>
      <c r="D43" s="9">
        <v>0.81500738028859798</v>
      </c>
      <c r="E43" s="9">
        <v>0.99875000000000003</v>
      </c>
      <c r="F43" s="9"/>
    </row>
    <row r="44" spans="1:6">
      <c r="A44" s="9">
        <v>43</v>
      </c>
      <c r="B44" s="9" t="s">
        <v>7</v>
      </c>
      <c r="C44" s="9">
        <v>20.2932620248604</v>
      </c>
      <c r="D44" s="9">
        <v>0.820047198163113</v>
      </c>
      <c r="E44" s="9">
        <v>0.99861999999999995</v>
      </c>
      <c r="F44" s="9"/>
    </row>
    <row r="45" spans="1:6">
      <c r="A45" s="9">
        <v>44</v>
      </c>
      <c r="B45" s="9" t="s">
        <v>7</v>
      </c>
      <c r="C45" s="9">
        <v>20.811396552910601</v>
      </c>
      <c r="D45" s="9">
        <v>0.82996577349311096</v>
      </c>
      <c r="E45" s="9">
        <v>0.99775999999999998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304</v>
      </c>
      <c r="C2" s="10">
        <v>27.584340523178899</v>
      </c>
      <c r="D2" s="10">
        <v>0.91557988991961303</v>
      </c>
      <c r="E2" s="10">
        <v>0.99943000000000004</v>
      </c>
      <c r="F2" s="10"/>
    </row>
    <row r="3" spans="1:6">
      <c r="A3" s="10">
        <v>2</v>
      </c>
      <c r="B3" s="10">
        <v>304</v>
      </c>
      <c r="C3" s="10">
        <v>27.5786792399463</v>
      </c>
      <c r="D3" s="10">
        <v>0.90503114810000995</v>
      </c>
      <c r="E3" s="10">
        <v>0.99936000000000003</v>
      </c>
      <c r="F3" s="10"/>
    </row>
    <row r="4" spans="1:6">
      <c r="A4" s="10">
        <v>3</v>
      </c>
      <c r="B4" s="10">
        <v>304</v>
      </c>
      <c r="C4" s="10">
        <v>27.704142032065601</v>
      </c>
      <c r="D4" s="10">
        <v>0.90595536543913702</v>
      </c>
      <c r="E4" s="10">
        <v>0.99907999999999997</v>
      </c>
      <c r="F4" s="10"/>
    </row>
    <row r="5" spans="1:6">
      <c r="A5" s="10">
        <v>4</v>
      </c>
      <c r="B5" s="10">
        <v>304</v>
      </c>
      <c r="C5" s="10">
        <v>27.482167620496199</v>
      </c>
      <c r="D5" s="10">
        <v>0.88840347547364096</v>
      </c>
      <c r="E5" s="10">
        <v>0.99953000000000003</v>
      </c>
      <c r="F5" s="10"/>
    </row>
    <row r="6" spans="1:6">
      <c r="A6" s="10">
        <v>5</v>
      </c>
      <c r="B6" s="10">
        <v>305</v>
      </c>
      <c r="C6" s="10">
        <v>28.262453264781499</v>
      </c>
      <c r="D6" s="10">
        <v>0.88750231700853499</v>
      </c>
      <c r="E6" s="10">
        <v>0.99933000000000005</v>
      </c>
      <c r="F6" s="10"/>
    </row>
    <row r="7" spans="1:6">
      <c r="A7" s="10">
        <v>6</v>
      </c>
      <c r="B7" s="10">
        <v>305</v>
      </c>
      <c r="C7" s="10">
        <v>28.040293565869302</v>
      </c>
      <c r="D7" s="10">
        <v>0.89766476036068399</v>
      </c>
      <c r="E7" s="10">
        <v>0.99895999999999996</v>
      </c>
      <c r="F7" s="10"/>
    </row>
    <row r="8" spans="1:6">
      <c r="A8" s="10">
        <v>7</v>
      </c>
      <c r="B8" s="10">
        <v>305</v>
      </c>
      <c r="C8" s="10">
        <v>28.119386777745699</v>
      </c>
      <c r="D8" s="10">
        <v>0.88661436142445005</v>
      </c>
      <c r="E8" s="10">
        <v>0.99922999999999995</v>
      </c>
      <c r="F8" s="10"/>
    </row>
    <row r="9" spans="1:6">
      <c r="A9" s="10">
        <v>8</v>
      </c>
      <c r="B9" s="10">
        <v>305</v>
      </c>
      <c r="C9" s="10">
        <v>28.118362354869699</v>
      </c>
      <c r="D9" s="10">
        <v>0.88975112807059897</v>
      </c>
      <c r="E9" s="10">
        <v>0.99912999999999996</v>
      </c>
      <c r="F9" s="10"/>
    </row>
    <row r="10" spans="1:6">
      <c r="A10" s="10">
        <v>9</v>
      </c>
      <c r="B10" s="10">
        <v>306</v>
      </c>
      <c r="C10" s="10">
        <v>23.844748033550498</v>
      </c>
      <c r="D10" s="10">
        <v>0.91832056059509903</v>
      </c>
      <c r="E10" s="10">
        <v>0.99890999999999996</v>
      </c>
      <c r="F10" s="10"/>
    </row>
    <row r="11" spans="1:6">
      <c r="A11" s="10">
        <v>10</v>
      </c>
      <c r="B11" s="10">
        <v>306</v>
      </c>
      <c r="C11" s="10">
        <v>23.727761355576799</v>
      </c>
      <c r="D11" s="10">
        <v>0.91810870224498797</v>
      </c>
      <c r="E11" s="10">
        <v>0.99895999999999996</v>
      </c>
      <c r="F11" s="10"/>
    </row>
    <row r="12" spans="1:6">
      <c r="A12" s="10">
        <v>11</v>
      </c>
      <c r="B12" s="10">
        <v>306</v>
      </c>
      <c r="C12" s="10">
        <v>23.719688543090701</v>
      </c>
      <c r="D12" s="10">
        <v>0.91771526906860701</v>
      </c>
      <c r="E12" s="10">
        <v>0.99895</v>
      </c>
      <c r="F12" s="10"/>
    </row>
    <row r="13" spans="1:6">
      <c r="A13" s="10">
        <v>12</v>
      </c>
      <c r="B13" s="10">
        <v>306</v>
      </c>
      <c r="C13" s="10">
        <v>23.793606044041699</v>
      </c>
      <c r="D13" s="10">
        <v>0.93251890016843497</v>
      </c>
      <c r="E13" s="10">
        <v>0.99865999999999999</v>
      </c>
      <c r="F13" s="10"/>
    </row>
    <row r="14" spans="1:6">
      <c r="A14" s="10">
        <v>13</v>
      </c>
      <c r="B14" s="10">
        <v>307</v>
      </c>
      <c r="C14" s="10">
        <v>24.031240499710499</v>
      </c>
      <c r="D14" s="10">
        <v>0.89722365858061004</v>
      </c>
      <c r="E14" s="10">
        <v>0.99902999999999997</v>
      </c>
      <c r="F14" s="10"/>
    </row>
    <row r="15" spans="1:6">
      <c r="A15" s="10">
        <v>14</v>
      </c>
      <c r="B15" s="10">
        <v>307</v>
      </c>
      <c r="C15" s="10">
        <v>24.053811188830899</v>
      </c>
      <c r="D15" s="10">
        <v>0.90896568717819204</v>
      </c>
      <c r="E15" s="10">
        <v>0.99878</v>
      </c>
      <c r="F15" s="10"/>
    </row>
    <row r="16" spans="1:6">
      <c r="A16" s="10">
        <v>15</v>
      </c>
      <c r="B16" s="10">
        <v>307</v>
      </c>
      <c r="C16" s="10">
        <v>23.928575586211299</v>
      </c>
      <c r="D16" s="10">
        <v>0.91321594540444195</v>
      </c>
      <c r="E16" s="10">
        <v>0.99892999999999998</v>
      </c>
      <c r="F16" s="10"/>
    </row>
    <row r="17" spans="1:6">
      <c r="A17" s="10">
        <v>16</v>
      </c>
      <c r="B17" s="10">
        <v>307</v>
      </c>
      <c r="C17" s="10">
        <v>24.003530720860599</v>
      </c>
      <c r="D17" s="10">
        <v>0.90965337303882399</v>
      </c>
      <c r="E17" s="10">
        <v>0.99894000000000005</v>
      </c>
      <c r="F17" s="10"/>
    </row>
    <row r="18" spans="1:6">
      <c r="A18" s="10">
        <v>17</v>
      </c>
      <c r="B18" s="10">
        <v>308</v>
      </c>
      <c r="C18" s="10">
        <v>23.563767984420899</v>
      </c>
      <c r="D18" s="10">
        <v>0.93188282193383198</v>
      </c>
      <c r="E18" s="10">
        <v>0.99927999999999995</v>
      </c>
      <c r="F18" s="10"/>
    </row>
    <row r="19" spans="1:6">
      <c r="A19" s="10">
        <v>18</v>
      </c>
      <c r="B19" s="10">
        <v>308</v>
      </c>
      <c r="C19" s="10">
        <v>23.414945475472098</v>
      </c>
      <c r="D19" s="10">
        <v>0.88000059086425697</v>
      </c>
      <c r="E19" s="10">
        <v>0.99946000000000002</v>
      </c>
      <c r="F19" s="10"/>
    </row>
    <row r="20" spans="1:6">
      <c r="A20" s="10">
        <v>19</v>
      </c>
      <c r="B20" s="10">
        <v>308</v>
      </c>
      <c r="C20" s="10">
        <v>23.585899417907399</v>
      </c>
      <c r="D20" s="10">
        <v>0.881876197818528</v>
      </c>
      <c r="E20" s="10">
        <v>0.99941999999999998</v>
      </c>
      <c r="F20" s="10"/>
    </row>
    <row r="21" spans="1:6">
      <c r="A21" s="10">
        <v>20</v>
      </c>
      <c r="B21" s="10">
        <v>308</v>
      </c>
      <c r="C21" s="10">
        <v>23.506475535229999</v>
      </c>
      <c r="D21" s="10">
        <v>0.88176786771708504</v>
      </c>
      <c r="E21" s="10">
        <v>0.99946000000000002</v>
      </c>
      <c r="F21" s="10"/>
    </row>
    <row r="22" spans="1:6">
      <c r="A22" s="10">
        <v>21</v>
      </c>
      <c r="B22" s="10">
        <v>310</v>
      </c>
      <c r="C22" s="10">
        <v>23.848505007728999</v>
      </c>
      <c r="D22" s="10">
        <v>0.92387238484261103</v>
      </c>
      <c r="E22" s="10">
        <v>0.99875999999999998</v>
      </c>
      <c r="F22" s="10"/>
    </row>
    <row r="23" spans="1:6">
      <c r="A23" s="10">
        <v>22</v>
      </c>
      <c r="B23" s="10">
        <v>310</v>
      </c>
      <c r="C23" s="10">
        <v>24.006984349513601</v>
      </c>
      <c r="D23" s="10">
        <v>0.894510981370775</v>
      </c>
      <c r="E23" s="10">
        <v>0.99911000000000005</v>
      </c>
      <c r="F23" s="10"/>
    </row>
    <row r="24" spans="1:6">
      <c r="A24" s="10">
        <v>23</v>
      </c>
      <c r="B24" s="10">
        <v>310</v>
      </c>
      <c r="C24" s="10">
        <v>23.884142823835901</v>
      </c>
      <c r="D24" s="10">
        <v>0.91579543900715499</v>
      </c>
      <c r="E24" s="10">
        <v>0.99873999999999996</v>
      </c>
      <c r="F24" s="10"/>
    </row>
    <row r="25" spans="1:6">
      <c r="A25" s="10">
        <v>24</v>
      </c>
      <c r="B25" s="10">
        <v>310</v>
      </c>
      <c r="C25" s="10">
        <v>23.7463387934162</v>
      </c>
      <c r="D25" s="10">
        <v>0.92343801291088501</v>
      </c>
      <c r="E25" s="10">
        <v>0.99868999999999997</v>
      </c>
      <c r="F25" s="10"/>
    </row>
    <row r="26" spans="1:6">
      <c r="A26" s="10">
        <v>25</v>
      </c>
      <c r="B26" s="10">
        <v>311</v>
      </c>
      <c r="C26" s="10">
        <v>27.045549434717401</v>
      </c>
      <c r="D26" s="10">
        <v>0.89833606202854699</v>
      </c>
      <c r="E26" s="10">
        <v>0.99904999999999999</v>
      </c>
      <c r="F26" s="10"/>
    </row>
    <row r="27" spans="1:6">
      <c r="A27" s="10">
        <v>26</v>
      </c>
      <c r="B27" s="10">
        <v>311</v>
      </c>
      <c r="C27" s="10">
        <v>27.016139226372101</v>
      </c>
      <c r="D27" s="10">
        <v>0.89651941265635304</v>
      </c>
      <c r="E27" s="10">
        <v>0.99900999999999995</v>
      </c>
      <c r="F27" s="10"/>
    </row>
    <row r="28" spans="1:6">
      <c r="A28" s="10">
        <v>27</v>
      </c>
      <c r="B28" s="10">
        <v>311</v>
      </c>
      <c r="C28" s="10">
        <v>27.078206510742</v>
      </c>
      <c r="D28" s="10">
        <v>0.89274034178411998</v>
      </c>
      <c r="E28" s="10">
        <v>0.99905999999999995</v>
      </c>
      <c r="F28" s="10"/>
    </row>
    <row r="29" spans="1:6">
      <c r="A29" s="10">
        <v>28</v>
      </c>
      <c r="B29" s="10">
        <v>311</v>
      </c>
      <c r="C29" s="10">
        <v>27.045146588491399</v>
      </c>
      <c r="D29" s="10">
        <v>0.89866692437168305</v>
      </c>
      <c r="E29" s="10">
        <v>0.99895999999999996</v>
      </c>
      <c r="F29" s="10"/>
    </row>
    <row r="30" spans="1:6">
      <c r="A30" s="10">
        <v>29</v>
      </c>
      <c r="B30" s="10">
        <v>312</v>
      </c>
      <c r="C30" s="10">
        <v>22.473875386405801</v>
      </c>
      <c r="D30" s="10">
        <v>0.89298392715692099</v>
      </c>
      <c r="E30" s="10">
        <v>0.99944</v>
      </c>
      <c r="F30" s="10"/>
    </row>
    <row r="31" spans="1:6">
      <c r="A31" s="10">
        <v>30</v>
      </c>
      <c r="B31" s="10">
        <v>312</v>
      </c>
      <c r="C31" s="10">
        <v>22.2981321851302</v>
      </c>
      <c r="D31" s="10">
        <v>0.87964033480147197</v>
      </c>
      <c r="E31" s="10">
        <v>0.99951000000000001</v>
      </c>
      <c r="F31" s="10"/>
    </row>
    <row r="32" spans="1:6">
      <c r="A32" s="10">
        <v>31</v>
      </c>
      <c r="B32" s="10">
        <v>312</v>
      </c>
      <c r="C32" s="10">
        <v>22.400891933304699</v>
      </c>
      <c r="D32" s="10">
        <v>0.88983000572550197</v>
      </c>
      <c r="E32" s="10">
        <v>0.99939999999999996</v>
      </c>
      <c r="F32" s="10"/>
    </row>
    <row r="33" spans="1:6">
      <c r="A33" s="10">
        <v>32</v>
      </c>
      <c r="B33" s="10">
        <v>312</v>
      </c>
      <c r="C33" s="10">
        <v>22.404275009558901</v>
      </c>
      <c r="D33" s="10">
        <v>0.87964894263960702</v>
      </c>
      <c r="E33" s="10">
        <v>0.99943000000000004</v>
      </c>
      <c r="F33" s="10"/>
    </row>
    <row r="34" spans="1:6">
      <c r="A34" s="10">
        <v>33</v>
      </c>
      <c r="B34" s="10">
        <v>313</v>
      </c>
      <c r="C34" s="10">
        <v>23.104898809903801</v>
      </c>
      <c r="D34" s="10">
        <v>0.91040926313616399</v>
      </c>
      <c r="E34" s="10">
        <v>0.99880000000000002</v>
      </c>
      <c r="F34" s="10"/>
    </row>
    <row r="35" spans="1:6">
      <c r="A35" s="10">
        <v>34</v>
      </c>
      <c r="B35" s="10">
        <v>313</v>
      </c>
      <c r="C35" s="10">
        <v>23.071700721257599</v>
      </c>
      <c r="D35" s="10">
        <v>0.90850096987478002</v>
      </c>
      <c r="E35" s="10">
        <v>0.99883</v>
      </c>
      <c r="F35" s="10"/>
    </row>
    <row r="36" spans="1:6">
      <c r="A36" s="10">
        <v>35</v>
      </c>
      <c r="B36" s="10">
        <v>313</v>
      </c>
      <c r="C36" s="10">
        <v>23.040112972729801</v>
      </c>
      <c r="D36" s="10">
        <v>0.924920015305008</v>
      </c>
      <c r="E36" s="10">
        <v>0.99858999999999998</v>
      </c>
      <c r="F36" s="10"/>
    </row>
    <row r="37" spans="1:6">
      <c r="A37" s="10">
        <v>36</v>
      </c>
      <c r="B37" s="10">
        <v>313</v>
      </c>
      <c r="C37" s="10">
        <v>22.9600549217405</v>
      </c>
      <c r="D37" s="10">
        <v>0.90429546410700901</v>
      </c>
      <c r="E37" s="10">
        <v>0.99904999999999999</v>
      </c>
      <c r="F37" s="10"/>
    </row>
    <row r="38" spans="1:6">
      <c r="A38" s="10">
        <v>37</v>
      </c>
      <c r="B38" s="10">
        <v>314</v>
      </c>
      <c r="C38" s="10">
        <v>22.132967001715201</v>
      </c>
      <c r="D38" s="10">
        <v>0.90499685520948103</v>
      </c>
      <c r="E38" s="10">
        <v>0.99916000000000005</v>
      </c>
      <c r="F38" s="10"/>
    </row>
    <row r="39" spans="1:6">
      <c r="A39" s="10">
        <v>38</v>
      </c>
      <c r="B39" s="10">
        <v>314</v>
      </c>
      <c r="C39" s="10">
        <v>22.185185886681602</v>
      </c>
      <c r="D39" s="10">
        <v>0.89743018081100001</v>
      </c>
      <c r="E39" s="10">
        <v>0.99922</v>
      </c>
      <c r="F39" s="10"/>
    </row>
    <row r="40" spans="1:6">
      <c r="A40" s="10">
        <v>39</v>
      </c>
      <c r="B40" s="10">
        <v>314</v>
      </c>
      <c r="C40" s="10">
        <v>22.1392199972037</v>
      </c>
      <c r="D40" s="10">
        <v>0.91662109310878903</v>
      </c>
      <c r="E40" s="10">
        <v>0.99900999999999995</v>
      </c>
      <c r="F40" s="10"/>
    </row>
    <row r="41" spans="1:6">
      <c r="A41" s="10">
        <v>40</v>
      </c>
      <c r="B41" s="10">
        <v>314</v>
      </c>
      <c r="C41" s="10">
        <v>22.133382220344998</v>
      </c>
      <c r="D41" s="10">
        <v>0.91668825983490199</v>
      </c>
      <c r="E41" s="10">
        <v>0.99900999999999995</v>
      </c>
      <c r="F41" s="10"/>
    </row>
    <row r="42" spans="1:6">
      <c r="A42" s="10">
        <v>41</v>
      </c>
      <c r="B42" s="10" t="s">
        <v>7</v>
      </c>
      <c r="C42" s="10">
        <v>35.6806567634872</v>
      </c>
      <c r="D42" s="10">
        <v>0.62788399407128503</v>
      </c>
      <c r="E42" s="10">
        <v>0.99907999999999997</v>
      </c>
      <c r="F42" s="10"/>
    </row>
    <row r="43" spans="1:6">
      <c r="A43" s="10">
        <v>42</v>
      </c>
      <c r="B43" s="10" t="s">
        <v>7</v>
      </c>
      <c r="C43" s="10">
        <v>-1</v>
      </c>
      <c r="D43" s="10">
        <v>-1</v>
      </c>
      <c r="E43" s="10"/>
      <c r="F43" s="10" t="s">
        <v>6</v>
      </c>
    </row>
    <row r="44" spans="1:6">
      <c r="A44" s="10">
        <v>43</v>
      </c>
      <c r="B44" s="10" t="s">
        <v>7</v>
      </c>
      <c r="C44" s="10">
        <v>34.946571065917503</v>
      </c>
      <c r="D44" s="10">
        <v>0.65275077559222405</v>
      </c>
      <c r="E44" s="10">
        <v>0.99924999999999997</v>
      </c>
      <c r="F44" s="10"/>
    </row>
    <row r="45" spans="1:6">
      <c r="A45" s="10">
        <v>44</v>
      </c>
      <c r="B45" s="10" t="s">
        <v>7</v>
      </c>
      <c r="C45" s="10">
        <v>34.197768266687902</v>
      </c>
      <c r="D45" s="10">
        <v>0.65531147246532895</v>
      </c>
      <c r="E45" s="10">
        <v>0.99956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38.470417002337904</v>
      </c>
      <c r="D48" s="10">
        <v>0.63336181777508604</v>
      </c>
      <c r="E48" s="10">
        <v>0.97001999999999999</v>
      </c>
      <c r="F48" s="10"/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304</v>
      </c>
      <c r="B2">
        <f>IF('177T'!C2="", "", '177T'!C2)</f>
        <v>-1</v>
      </c>
      <c r="C2">
        <f>IF('18S2'!C2="", "", '18S2'!C2)</f>
        <v>-1</v>
      </c>
      <c r="D2">
        <f>IF(RNAseP!C2="", "", RNAseP!C2)</f>
        <v>27.584340523178899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304</v>
      </c>
      <c r="B3">
        <f>IF('177T'!C3="", "", '177T'!C3)</f>
        <v>-1</v>
      </c>
      <c r="C3">
        <f>IF('18S2'!C3="", "", '18S2'!C3)</f>
        <v>-1</v>
      </c>
      <c r="D3">
        <f>IF(RNAseP!C3="", "", RNAseP!C3)</f>
        <v>27.5786792399463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304</v>
      </c>
      <c r="B4">
        <f>IF('177T'!C4="", "", '177T'!C4)</f>
        <v>-1</v>
      </c>
      <c r="C4">
        <f>IF('18S2'!C4="", "", '18S2'!C4)</f>
        <v>-1</v>
      </c>
      <c r="D4">
        <f>IF(RNAseP!C4="", "", RNAseP!C4)</f>
        <v>27.704142032065601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304</v>
      </c>
      <c r="B5">
        <f>IF('177T'!C5="", "", '177T'!C5)</f>
        <v>-1</v>
      </c>
      <c r="C5">
        <f>IF('18S2'!C5="", "", '18S2'!C5)</f>
        <v>-1</v>
      </c>
      <c r="D5">
        <f>IF(RNAseP!C5="", "", RNAseP!C5)</f>
        <v>27.482167620496199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305</v>
      </c>
      <c r="B6">
        <f>IF('177T'!C6="", "", '177T'!C6)</f>
        <v>-1</v>
      </c>
      <c r="C6">
        <f>IF('18S2'!C6="", "", '18S2'!C6)</f>
        <v>-1</v>
      </c>
      <c r="D6">
        <f>IF(RNAseP!C6="", "", RNAseP!C6)</f>
        <v>28.262453264781499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0</v>
      </c>
      <c r="H6" s="3" t="str" cm="1">
        <f t="array" ref="H6">INDEX(Decision!$D$1:$D$28, MATCH(E6&amp;F6&amp;G6, Decision!$A$1:$A$28&amp;Decision!$B$1:$B$28&amp;Decision!$C$1:$C$28, 0))</f>
        <v>F</v>
      </c>
      <c r="I6" t="str" cm="1">
        <f t="array" ref="I6">INDEX(Decision!$E$1:$E$28, MATCH(E6&amp;F6&amp;G6, Decision!$A$1:$A$28&amp;Decision!$B$1:$B$28&amp;Decision!$C$1:$C$28, 0))</f>
        <v>low human DNA</v>
      </c>
    </row>
    <row r="7" spans="1:9">
      <c r="A7">
        <f>IF(AND('177T'!B7 = '18S2'!B7, '177T'!B7 = RNAseP!B7, '177T'!B7 &lt;&gt; ""), '177T'!B7, IF('177T'!B7 = "", "", "Mismatch"))</f>
        <v>305</v>
      </c>
      <c r="B7">
        <f>IF('177T'!C7="", "", '177T'!C7)</f>
        <v>-1</v>
      </c>
      <c r="C7">
        <f>IF('18S2'!C7="", "", '18S2'!C7)</f>
        <v>-1</v>
      </c>
      <c r="D7">
        <f>IF(RNAseP!C7="", "", RNAseP!C7)</f>
        <v>28.040293565869302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0</v>
      </c>
      <c r="H7" s="3" t="str" cm="1">
        <f t="array" ref="H7">INDEX(Decision!$D$1:$D$28, MATCH(E7&amp;F7&amp;G7, Decision!$A$1:$A$28&amp;Decision!$B$1:$B$28&amp;Decision!$C$1:$C$28, 0))</f>
        <v>F</v>
      </c>
      <c r="I7" t="str" cm="1">
        <f t="array" ref="I7">INDEX(Decision!$E$1:$E$28, MATCH(E7&amp;F7&amp;G7, Decision!$A$1:$A$28&amp;Decision!$B$1:$B$28&amp;Decision!$C$1:$C$28, 0))</f>
        <v>low human DNA</v>
      </c>
    </row>
    <row r="8" spans="1:9">
      <c r="A8">
        <f>IF(AND('177T'!B8 = '18S2'!B8, '177T'!B8 = RNAseP!B8, '177T'!B8 &lt;&gt; ""), '177T'!B8, IF('177T'!B8 = "", "", "Mismatch"))</f>
        <v>305</v>
      </c>
      <c r="B8">
        <f>IF('177T'!C8="", "", '177T'!C8)</f>
        <v>-1</v>
      </c>
      <c r="C8">
        <f>IF('18S2'!C8="", "", '18S2'!C8)</f>
        <v>-1</v>
      </c>
      <c r="D8">
        <f>IF(RNAseP!C8="", "", RNAseP!C8)</f>
        <v>28.119386777745699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0</v>
      </c>
      <c r="H8" s="3" t="str" cm="1">
        <f t="array" ref="H8">INDEX(Decision!$D$1:$D$28, MATCH(E8&amp;F8&amp;G8, Decision!$A$1:$A$28&amp;Decision!$B$1:$B$28&amp;Decision!$C$1:$C$28, 0))</f>
        <v>F</v>
      </c>
      <c r="I8" t="str" cm="1">
        <f t="array" ref="I8">INDEX(Decision!$E$1:$E$28, MATCH(E8&amp;F8&amp;G8, Decision!$A$1:$A$28&amp;Decision!$B$1:$B$28&amp;Decision!$C$1:$C$28, 0))</f>
        <v>low human DNA</v>
      </c>
    </row>
    <row r="9" spans="1:9">
      <c r="A9">
        <f>IF(AND('177T'!B9 = '18S2'!B9, '177T'!B9 = RNAseP!B9, '177T'!B9 &lt;&gt; ""), '177T'!B9, IF('177T'!B9 = "", "", "Mismatch"))</f>
        <v>305</v>
      </c>
      <c r="B9">
        <f>IF('177T'!C9="", "", '177T'!C9)</f>
        <v>-1</v>
      </c>
      <c r="C9">
        <f>IF('18S2'!C9="", "", '18S2'!C9)</f>
        <v>-1</v>
      </c>
      <c r="D9">
        <f>IF(RNAseP!C9="", "", RNAseP!C9)</f>
        <v>28.118362354869699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0</v>
      </c>
      <c r="H9" s="3" t="str" cm="1">
        <f t="array" ref="H9">INDEX(Decision!$D$1:$D$28, MATCH(E9&amp;F9&amp;G9, Decision!$A$1:$A$28&amp;Decision!$B$1:$B$28&amp;Decision!$C$1:$C$28, 0))</f>
        <v>F</v>
      </c>
      <c r="I9" t="str" cm="1">
        <f t="array" ref="I9">INDEX(Decision!$E$1:$E$28, MATCH(E9&amp;F9&amp;G9, Decision!$A$1:$A$28&amp;Decision!$B$1:$B$28&amp;Decision!$C$1:$C$28, 0))</f>
        <v>low human DNA</v>
      </c>
    </row>
    <row r="10" spans="1:9">
      <c r="A10">
        <f>IF(AND('177T'!B10 = '18S2'!B10, '177T'!B10 = RNAseP!B10, '177T'!B10 &lt;&gt; ""), '177T'!B10, IF('177T'!B10 = "", "", "Mismatch"))</f>
        <v>306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23.844748033550498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306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23.727761355576799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306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23.719688543090701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306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23.793606044041699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307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24.031240499710499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307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24.053811188830899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307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23.928575586211299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307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24.003530720860599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308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23.563767984420899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308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23.414945475472098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308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23.585899417907399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308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23.506475535229999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310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23.848505007728999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310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24.006984349513601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310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23.884142823835901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310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23.7463387934162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311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27.045549434717401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311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27.016139226372101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311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27.078206510742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311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27.045146588491399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312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22.473875386405801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312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22.2981321851302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312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22.400891933304699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312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22.404275009558901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313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23.104898809903801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313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23.071700721257599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313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23.040112972729801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313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22.9600549217405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314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22.132967001715201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314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22.185185886681602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314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22.1392199972037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314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22.133382220344998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24.2400940651459</v>
      </c>
      <c r="C42">
        <f>IF('18S2'!C42="", "", '18S2'!C42)</f>
        <v>20.574599942868399</v>
      </c>
      <c r="D42">
        <f>IF(RNAseP!C42="", "", RNAseP!C42)</f>
        <v>35.6806567634872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31.591247336981802</v>
      </c>
      <c r="C43">
        <f>IF('18S2'!C43="", "", '18S2'!C43)</f>
        <v>24.337566918561802</v>
      </c>
      <c r="D43">
        <f>IF(RNAseP!C43="", "", RNAseP!C43)</f>
        <v>-1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-1</v>
      </c>
      <c r="H43" s="3" t="str" cm="1">
        <f t="array" ref="H43">INDEX(DecisionC!$E$1:$E$56, MATCH(A43&amp;E43&amp;F43&amp;G43, DecisionC!$A$1:$A$56&amp;DecisionC!$B$1:$B$56&amp;DecisionC!$C$1:$C$56&amp;DecisionC!$D$1:$D$56, 0))</f>
        <v>F</v>
      </c>
      <c r="I43" s="3" t="str" cm="1">
        <f t="array" ref="I43">INDEX(DecisionC!$F$1:$F$56, MATCH(A43&amp;E43&amp;F43&amp;G43, DecisionC!$A$1:$A$56&amp;DecisionC!$B$1:$B$56&amp;DecisionC!$C$1:$C$56&amp;DecisionC!$D$1:$D$56, 0))</f>
        <v>RNAseP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23.303539918696799</v>
      </c>
      <c r="C44">
        <f>IF('18S2'!C44="", "", '18S2'!C44)</f>
        <v>20.2932620248604</v>
      </c>
      <c r="D44">
        <f>IF(RNAseP!C44="", "", RNAseP!C44)</f>
        <v>34.946571065917503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24.968350650691701</v>
      </c>
      <c r="C45">
        <f>IF('18S2'!C45="", "", '18S2'!C45)</f>
        <v>20.811396552910601</v>
      </c>
      <c r="D45">
        <f>IF(RNAseP!C45="", "", RNAseP!C45)</f>
        <v>34.197768266687902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38.470417002337904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G17" sqref="G17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45951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0">
        <v>45771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304</v>
      </c>
      <c r="B16" s="11">
        <v>2500047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27,6 +/- 0,1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305</v>
      </c>
      <c r="B17" s="11">
        <v>2500045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F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28,1 +/- 0,1</v>
      </c>
      <c r="G17" s="18" t="s">
        <v>57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306</v>
      </c>
      <c r="B18" s="11">
        <v>2500101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23,8 +/- 0,1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307</v>
      </c>
      <c r="B19" s="11">
        <v>2500069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 +/- 0,1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308</v>
      </c>
      <c r="B20" s="11">
        <v>2500038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23,5 +/- 0,1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310</v>
      </c>
      <c r="B21" s="11">
        <v>2500119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23,9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311</v>
      </c>
      <c r="B22" s="11">
        <v>2500117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27 +/- 0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312</v>
      </c>
      <c r="B23" s="11">
        <v>2500128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22,4 +/- 0,1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313</v>
      </c>
      <c r="B24" s="11">
        <v>2400481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 +/- 0,1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314</v>
      </c>
      <c r="B25" s="11">
        <v>2501966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26 +/- 3,8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21,5 +/- 1,9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34,9 +/- 0,7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38,5</v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58</v>
      </c>
      <c r="B29" s="13" t="s">
        <v>59</v>
      </c>
      <c r="C29" s="25" t="s">
        <v>60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61</v>
      </c>
      <c r="B30" s="18" t="s">
        <v>62</v>
      </c>
      <c r="C30" s="24" t="s">
        <v>63</v>
      </c>
      <c r="D30" s="24"/>
      <c r="E30" s="20"/>
    </row>
    <row r="31" spans="1:12">
      <c r="A31" s="18" t="s">
        <v>20</v>
      </c>
      <c r="B31" s="18" t="s">
        <v>21</v>
      </c>
      <c r="C31" s="24" t="s">
        <v>64</v>
      </c>
      <c r="D31" s="24"/>
      <c r="E31" s="20"/>
    </row>
    <row r="32" spans="1:12">
      <c r="A32" s="18" t="s">
        <v>22</v>
      </c>
      <c r="B32" s="18" t="s">
        <v>65</v>
      </c>
      <c r="C32" s="24" t="s">
        <v>66</v>
      </c>
      <c r="D32" s="24"/>
      <c r="E32" s="20"/>
    </row>
    <row r="33" spans="1:5">
      <c r="A33" s="18" t="s">
        <v>67</v>
      </c>
      <c r="B33" s="18" t="s">
        <v>68</v>
      </c>
      <c r="C33" s="24" t="s">
        <v>69</v>
      </c>
      <c r="D33" s="24"/>
      <c r="E33" s="20"/>
    </row>
    <row r="34" spans="1:5">
      <c r="A34" s="18" t="s">
        <v>17</v>
      </c>
      <c r="B34" s="18" t="s">
        <v>70</v>
      </c>
      <c r="C34" s="24" t="s">
        <v>71</v>
      </c>
      <c r="D34" s="24"/>
      <c r="E34" s="20"/>
    </row>
    <row r="35" spans="1:5">
      <c r="A35" s="18" t="s">
        <v>72</v>
      </c>
      <c r="B35" s="18" t="s">
        <v>73</v>
      </c>
      <c r="C35" s="24" t="s">
        <v>74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75</v>
      </c>
      <c r="C1" s="2" t="s">
        <v>76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304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27,6 +/- 0,1</v>
      </c>
    </row>
    <row r="3" spans="1:11">
      <c r="A3" s="3">
        <f>Report!A17</f>
        <v>305</v>
      </c>
      <c r="B3" s="3" t="str" cm="1">
        <f t="array" ref="B3">_xlfn.TEXTJOIN(", ", TRUE, IF(Analysis!$A$2:$A$82=A3, Analysis!$H$2:$H$82, ""))</f>
        <v>F, F, F, F</v>
      </c>
      <c r="C3" s="3" t="str" cm="1">
        <f t="array" ref="C3">_xlfn.TEXTJOIN(", ", TRUE, IF(Analysis!$A$2:$A$82=A3, Analysis!$I$2:$I$82, ""))</f>
        <v>low human DNA, low human DNA, low human DNA, low human DNA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F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28,1 +/- 0,1</v>
      </c>
    </row>
    <row r="4" spans="1:11">
      <c r="A4" s="3">
        <f>Report!A18</f>
        <v>306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23,8 +/- 0,1</v>
      </c>
    </row>
    <row r="5" spans="1:11">
      <c r="A5" s="3">
        <f>Report!A19</f>
        <v>307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24 +/- 0,1</v>
      </c>
    </row>
    <row r="6" spans="1:11">
      <c r="A6" s="3">
        <f>Report!A20</f>
        <v>308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23,5 +/- 0,1</v>
      </c>
    </row>
    <row r="7" spans="1:11">
      <c r="A7" s="3">
        <f>Report!A21</f>
        <v>310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23,9 +/- 0,1</v>
      </c>
      <c r="K7" s="4"/>
    </row>
    <row r="8" spans="1:11">
      <c r="A8" s="3">
        <f>Report!A22</f>
        <v>311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27 +/- 0</v>
      </c>
    </row>
    <row r="9" spans="1:11">
      <c r="A9" s="3">
        <f>Report!A23</f>
        <v>312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22,4 +/- 0,1</v>
      </c>
    </row>
    <row r="10" spans="1:11">
      <c r="A10" s="3">
        <f>Report!A24</f>
        <v>313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 +/- 0,1</v>
      </c>
    </row>
    <row r="11" spans="1:11">
      <c r="A11" s="3">
        <f>Report!A25</f>
        <v>314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F, OK, OK</v>
      </c>
      <c r="C12" s="3" t="str" cm="1">
        <f t="array" ref="C12">_xlfn.TEXTJOIN(", ", TRUE, IF(Analysis!$A$2:$A$82=A12, Analysis!$I$2:$I$82, ""))</f>
        <v>CP3 works, RNAseP,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26 +/- 3,8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21,5 +/- 1,9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34,9 +/- 0,7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F, OK</v>
      </c>
      <c r="C13" s="3" t="str" cm="1">
        <f t="array" ref="C13">_xlfn.TEXTJOIN(", ", TRUE, IF(Analysis!$A$2:$A$82=A13, Analysis!$I$2:$I$82, ""))</f>
        <v>clean, clean,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38,5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2025-10-23T12:46:15+00:00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618250-B6B0-40A5-BC8A-C96FD4B273A0}"/>
</file>

<file path=customXml/itemProps2.xml><?xml version="1.0" encoding="utf-8"?>
<ds:datastoreItem xmlns:ds="http://schemas.openxmlformats.org/officeDocument/2006/customXml" ds:itemID="{F8720727-4379-4D54-B81B-56AAD712C967}"/>
</file>

<file path=customXml/itemProps3.xml><?xml version="1.0" encoding="utf-8"?>
<ds:datastoreItem xmlns:ds="http://schemas.openxmlformats.org/officeDocument/2006/customXml" ds:itemID="{C10200D4-CE7E-4757-9361-8C99C3F1B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2025-10-24T15:49:40Z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