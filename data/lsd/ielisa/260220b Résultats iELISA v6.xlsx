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oftware\01 - Biobanque\"/>
    </mc:Choice>
  </mc:AlternateContent>
  <xr:revisionPtr revIDLastSave="0" documentId="13_ncr:1_{A9E920D4-F9C9-403D-9FA5-06D2826A7082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C34" i="1"/>
  <c r="D53" i="2" s="1"/>
  <c r="E53" i="2" s="1"/>
  <c r="C33" i="1"/>
  <c r="D47" i="2" s="1"/>
  <c r="E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3" i="2" l="1"/>
  <c r="H48" i="2"/>
  <c r="H38" i="2"/>
  <c r="H37" i="2"/>
  <c r="H43" i="2"/>
  <c r="H55" i="2"/>
  <c r="H47" i="2"/>
  <c r="H3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<sst xmlns="http://schemas.openxmlformats.org/spreadsheetml/2006/main" count="151" uniqueCount="90">
  <si>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</si>
  <si>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</si>
  <si>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</si>
  <si>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</si>
  <si>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Numéro du lot iELISA</t>
  </si>
  <si>
    <t>N de seriés d'échantillons</t>
  </si>
  <si>
    <t>Étude/origin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</si>
  <si>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</si>
  <si>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</si>
  <si>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</si>
  <si>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</si>
  <si>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</si>
  <si>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</si>
  <si>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</si>
  <si>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</si>
  <si>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</si>
  <si>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</si>
  <si>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</si>
  <si>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</si>
  <si>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</si>
  <si>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</si>
  <si>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</si>
  <si>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</si>
  <si>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</si>
  <si>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</si>
  <si>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</si>
  <si>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</si>
  <si>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</si>
  <si>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</si>
  <si>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</si>
  <si>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</si>
  <si>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</si>
  <si>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</si>
  <si>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</si>
  <si>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</si>
  <si>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</si>
  <si>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</si>
  <si>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</si>
  <si>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</si>
  <si>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</si>
  <si>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</si>
  <si>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</si>
  <si>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</si>
  <si>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</si>
  <si>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</si>
  <si>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</si>
  <si>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</si>
  <si>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</si>
  <si>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</si>
  <si>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</si>
  <si>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</si>
  <si>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</si>
  <si>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</si>
  <si>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</si>
  <si>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</si>
  <si>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</si>
  <si>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</si>
  <si>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</si>
  <si>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</si>
  <si>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</si>
  <si>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</si>
  <si>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</si>
  <si>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</si>
  <si>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</si>
  <si>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</si>
  <si>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</si>
  <si>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</si>
  <si>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</si>
  <si>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</si>
  <si>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</si>
  <si>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</si>
  <si>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</si>
  <si>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</si>
  <si>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</si>
  <si>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</si>
  <si>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</si>
  <si>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</si>
  <si>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</si>
  <si>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</si>
  <si>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</si>
  <si>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</si>
  <si>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</si>
  <si>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</si>
  <si>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N° du lot du kit</t>
  </si>
  <si>
    <t>Etude/origine</t>
  </si>
  <si>
    <t>Résultat final</t>
  </si>
  <si>
    <t>Pourcentage d'inhibition</t>
  </si>
  <si>
    <t>Résultat</t>
  </si>
  <si>
    <t>Commentaire (en cas de problème ou irrégularité)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</si>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</sst>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zoomScaleNormal="100" workbookViewId="0">
      <selection activeCell="D29" sqref="D29"/>
    </sheetView>
  </sheetViews>
  <sheetFormatPr defaultColWidth="9.140625" defaultRowHeight="1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/>
    </row>
    <row r="7" spans="1:5">
      <c r="A7" s="16" t="s">
        <v>3</v>
      </c>
      <c r="B7" s="16"/>
      <c r="C7" s="19"/>
    </row>
    <row r="8" spans="1:5">
      <c r="A8" s="16" t="s">
        <v>4</v>
      </c>
      <c r="B8" s="16"/>
      <c r="C8" s="19">
        <v>3915223</v>
      </c>
    </row>
    <row r="9" spans="1:5">
      <c r="A9" s="16" t="s">
        <v>5</v>
      </c>
      <c r="B9" s="16"/>
      <c r="C9" s="19"/>
    </row>
    <row r="10" spans="1:5">
      <c r="A10" s="16" t="s">
        <v>6</v>
      </c>
      <c r="B10" s="16"/>
      <c r="C10" s="19"/>
    </row>
    <row r="11" spans="1:5">
      <c r="A11" s="16"/>
      <c r="B11" s="16"/>
    </row>
    <row r="14" spans="1:5" ht="27.95" customHeight="1">
      <c r="A14" s="13" t="s">
        <v>7</v>
      </c>
      <c r="B14" s="13" t="s">
        <v>8</v>
      </c>
      <c r="C14" s="13" t="s">
        <v>9</v>
      </c>
      <c r="D14" s="13" t="s">
        <v>10</v>
      </c>
      <c r="E14" s="14"/>
    </row>
    <row r="15" spans="1:5" ht="20.45" customHeight="1">
      <c r="A15" s="15" t="s">
        <v>11</v>
      </c>
      <c r="B15" s="19">
        <v>750</v>
      </c>
      <c r="C15" s="19">
        <v>2503022</v>
      </c>
      <c r="D15" s="20"/>
      <c r="E15" s="14"/>
    </row>
    <row r="16" spans="1:5" ht="20.100000000000001" customHeight="1">
      <c r="A16" s="15" t="s">
        <v>12</v>
      </c>
      <c r="B16" s="19">
        <v>751</v>
      </c>
      <c r="C16" s="19">
        <v>2500085</v>
      </c>
      <c r="D16" s="20"/>
      <c r="E16" s="14"/>
    </row>
    <row r="17" spans="1:5" ht="20.45" customHeight="1">
      <c r="A17" s="15" t="s">
        <v>13</v>
      </c>
      <c r="B17" s="19">
        <v>752</v>
      </c>
      <c r="C17" s="19">
        <v>2402280</v>
      </c>
      <c r="D17" s="20"/>
      <c r="E17" s="14"/>
    </row>
    <row r="18" spans="1:5" ht="20.45" customHeight="1">
      <c r="A18" s="15" t="s">
        <v>14</v>
      </c>
      <c r="B18" s="19">
        <v>753</v>
      </c>
      <c r="C18" s="19">
        <v>2502708</v>
      </c>
      <c r="D18" s="20"/>
      <c r="E18" s="14"/>
    </row>
    <row r="19" spans="1:5" ht="20.45" customHeight="1">
      <c r="A19" s="15" t="s">
        <v>15</v>
      </c>
      <c r="B19" s="19">
        <v>754</v>
      </c>
      <c r="C19" s="19">
        <v>2502745</v>
      </c>
      <c r="D19" s="20"/>
      <c r="E19" s="14"/>
    </row>
    <row r="20" spans="1:5" ht="20.45" customHeight="1">
      <c r="A20" s="15" t="s">
        <v>16</v>
      </c>
      <c r="B20" s="19">
        <v>755</v>
      </c>
      <c r="C20" s="19">
        <v>2502787</v>
      </c>
      <c r="D20" s="20"/>
      <c r="E20" s="14"/>
    </row>
    <row r="21" spans="1:5" ht="20.45" customHeight="1">
      <c r="A21" s="15" t="s">
        <v>17</v>
      </c>
      <c r="B21" s="19">
        <v>756</v>
      </c>
      <c r="C21" s="19">
        <v>250273</v>
      </c>
      <c r="D21" s="20"/>
      <c r="E21" s="14"/>
    </row>
    <row r="22" spans="1:5" ht="20.45" customHeight="1">
      <c r="A22" s="15" t="s">
        <v>18</v>
      </c>
      <c r="B22" s="19">
        <v>757</v>
      </c>
      <c r="C22" s="19">
        <v>2502784</v>
      </c>
      <c r="D22" s="20"/>
      <c r="E22" s="14"/>
    </row>
    <row r="23" spans="1:5" ht="23.1" customHeight="1">
      <c r="A23" s="15" t="s">
        <v>19</v>
      </c>
      <c r="B23" s="19">
        <v>758</v>
      </c>
      <c r="C23" s="19">
        <v>2502710</v>
      </c>
      <c r="D23" s="20"/>
      <c r="E23" s="14"/>
    </row>
    <row r="24" spans="1:5" ht="20.45" customHeight="1">
      <c r="A24" s="15" t="s">
        <v>20</v>
      </c>
      <c r="B24" s="19">
        <v>759</v>
      </c>
      <c r="C24" s="19">
        <v>2502711</v>
      </c>
      <c r="D24" s="20"/>
      <c r="E24" s="14"/>
    </row>
    <row r="25" spans="1:5" ht="20.45" customHeight="1">
      <c r="A25" s="15" t="s">
        <v>21</v>
      </c>
      <c r="B25" s="19">
        <v>760</v>
      </c>
      <c r="C25" s="19">
        <v>2502738</v>
      </c>
      <c r="D25" s="20"/>
      <c r="E25" s="14"/>
    </row>
    <row r="26" spans="1:5" ht="20.45" customHeight="1">
      <c r="A26" s="15" t="s">
        <v>22</v>
      </c>
      <c r="B26" s="19">
        <v>761</v>
      </c>
      <c r="C26" s="19">
        <v>2502786</v>
      </c>
      <c r="D26" s="20"/>
      <c r="E26" s="14"/>
    </row>
    <row r="27" spans="1:5" ht="20.45" customHeight="1">
      <c r="A27" s="15" t="s">
        <v>23</v>
      </c>
      <c r="B27" s="19">
        <v>762</v>
      </c>
      <c r="C27" s="19">
        <v>2502727</v>
      </c>
      <c r="D27" s="20"/>
      <c r="E27" s="14"/>
    </row>
    <row r="28" spans="1:5" ht="20.45" customHeight="1">
      <c r="A28" s="15" t="s">
        <v>24</v>
      </c>
      <c r="B28" s="19">
        <v>763</v>
      </c>
      <c r="C28" s="19">
        <v>2502722</v>
      </c>
      <c r="D28" s="20"/>
      <c r="E28" s="14"/>
    </row>
    <row r="29" spans="1:5" ht="20.45" customHeight="1">
      <c r="A29" s="15" t="s">
        <v>25</v>
      </c>
      <c r="B29" s="19">
        <v>764</v>
      </c>
      <c r="C29" s="19">
        <v>2502726</v>
      </c>
      <c r="D29" s="20"/>
      <c r="E29" s="14"/>
    </row>
    <row r="30" spans="1:5" ht="20.45" customHeight="1">
      <c r="A30" s="15" t="s">
        <v>26</v>
      </c>
      <c r="B30" s="19">
        <v>765</v>
      </c>
      <c r="C30" s="19">
        <v>2502724</v>
      </c>
      <c r="D30" s="20"/>
      <c r="E30" s="14"/>
    </row>
    <row r="31" spans="1:5" ht="20.100000000000001" customHeight="1">
      <c r="A31" s="15" t="s">
        <v>27</v>
      </c>
      <c r="B31" s="19">
        <v>766</v>
      </c>
      <c r="C31" s="19">
        <v>250272</v>
      </c>
      <c r="D31" s="20"/>
      <c r="E31" s="14"/>
    </row>
    <row r="32" spans="1:5" ht="20.45" customHeight="1">
      <c r="A32" s="15" t="s">
        <v>28</v>
      </c>
      <c r="B32" s="19">
        <v>767</v>
      </c>
      <c r="C32" s="19">
        <v>2502725</v>
      </c>
      <c r="D32" s="20"/>
      <c r="E32" s="14"/>
    </row>
    <row r="33" spans="1:5" ht="20.45" customHeight="1">
      <c r="A33" s="15" t="s">
        <v>29</v>
      </c>
      <c r="B33" s="19">
        <v>768</v>
      </c>
      <c r="C33" s="19">
        <v>2502701</v>
      </c>
      <c r="D33" s="20"/>
      <c r="E33" s="14"/>
    </row>
    <row r="34" spans="1:5" ht="20.45" customHeight="1">
      <c r="A34" s="15" t="s">
        <v>30</v>
      </c>
      <c r="B34" s="19">
        <v>769</v>
      </c>
      <c r="C34" s="19">
        <v>2502751</v>
      </c>
      <c r="D34" s="20"/>
      <c r="E34" s="14"/>
    </row>
    <row r="35" spans="1:5" ht="20.45" customHeight="1">
      <c r="A35" s="15" t="s">
        <v>31</v>
      </c>
      <c r="B35" s="19">
        <v>770</v>
      </c>
      <c r="C35" s="19">
        <v>2502718</v>
      </c>
      <c r="D35" s="20"/>
      <c r="E35" s="14"/>
    </row>
    <row r="36" spans="1:5" ht="20.45" customHeight="1">
      <c r="A36" s="15" t="s">
        <v>32</v>
      </c>
      <c r="B36" s="19">
        <v>771</v>
      </c>
      <c r="C36" s="19">
        <v>2503014</v>
      </c>
      <c r="D36" s="20"/>
      <c r="E36" s="14"/>
    </row>
    <row r="37" spans="1:5" ht="20.45" customHeight="1">
      <c r="A37" s="15" t="s">
        <v>33</v>
      </c>
      <c r="B37" s="19">
        <v>772</v>
      </c>
      <c r="C37" s="19">
        <v>2503036</v>
      </c>
      <c r="D37" s="20"/>
      <c r="E37" s="14"/>
    </row>
    <row r="38" spans="1:5" ht="20.100000000000001" customHeight="1">
      <c r="A38" s="15" t="s">
        <v>34</v>
      </c>
      <c r="B38" s="19">
        <v>773</v>
      </c>
      <c r="C38" s="19">
        <v>2503048</v>
      </c>
      <c r="D38" s="20"/>
      <c r="E38" s="14"/>
    </row>
    <row r="39" spans="1:5" ht="20.100000000000001" customHeight="1">
      <c r="A39" s="15" t="s">
        <v>35</v>
      </c>
      <c r="B39" s="19">
        <v>774</v>
      </c>
      <c r="C39" s="19">
        <v>2503050</v>
      </c>
      <c r="D39" s="20"/>
      <c r="E39" s="14"/>
    </row>
    <row r="40" spans="1:5" ht="20.45" customHeight="1">
      <c r="A40" s="15" t="s">
        <v>36</v>
      </c>
      <c r="B40" s="19">
        <v>775</v>
      </c>
      <c r="C40" s="19">
        <v>2503058</v>
      </c>
      <c r="D40" s="20"/>
      <c r="E40" s="14"/>
    </row>
    <row r="41" spans="1:5" ht="20.100000000000001" customHeight="1">
      <c r="A41" s="15" t="s">
        <v>37</v>
      </c>
      <c r="B41" s="19">
        <v>776</v>
      </c>
      <c r="C41" s="19">
        <v>2503029</v>
      </c>
      <c r="D41" s="20"/>
      <c r="E41" s="14"/>
    </row>
    <row r="42" spans="1:5" ht="20.45" customHeight="1">
      <c r="A42" s="15" t="s">
        <v>38</v>
      </c>
      <c r="B42" s="19">
        <v>777</v>
      </c>
      <c r="C42" s="19">
        <v>2503008</v>
      </c>
      <c r="D42" s="20"/>
      <c r="E42" s="14"/>
    </row>
    <row r="43" spans="1:5" ht="20.45" customHeight="1">
      <c r="A43" s="15" t="s">
        <v>39</v>
      </c>
      <c r="B43" s="19">
        <v>778</v>
      </c>
      <c r="C43" s="19">
        <v>2503071</v>
      </c>
      <c r="D43" s="20"/>
      <c r="E43" s="14"/>
    </row>
    <row r="44" spans="1:5" ht="20.45" customHeight="1">
      <c r="A44" s="15" t="s">
        <v>40</v>
      </c>
      <c r="B44" s="19">
        <v>779</v>
      </c>
      <c r="C44" s="19">
        <v>2503042</v>
      </c>
      <c r="D44" s="20"/>
      <c r="E44" s="14"/>
    </row>
    <row r="45" spans="1:5" ht="20.45" customHeight="1">
      <c r="A45" s="15" t="s">
        <v>41</v>
      </c>
      <c r="B45" s="19">
        <v>780</v>
      </c>
      <c r="C45" s="19">
        <v>2503059</v>
      </c>
      <c r="D45" s="20"/>
      <c r="E45" s="14"/>
    </row>
    <row r="46" spans="1:5" ht="20.45" customHeight="1">
      <c r="A46" s="15" t="s">
        <v>42</v>
      </c>
      <c r="B46" s="19">
        <v>781</v>
      </c>
      <c r="C46" s="19">
        <v>2501954</v>
      </c>
      <c r="D46" s="20"/>
      <c r="E46" s="14"/>
    </row>
    <row r="47" spans="1:5" ht="20.45" customHeight="1">
      <c r="A47" s="15" t="s">
        <v>43</v>
      </c>
      <c r="B47" s="19">
        <v>782</v>
      </c>
      <c r="C47" s="19">
        <v>2503075</v>
      </c>
      <c r="D47" s="20"/>
      <c r="E47" s="14"/>
    </row>
    <row r="48" spans="1:5" ht="20.45" customHeight="1">
      <c r="A48" s="15" t="s">
        <v>44</v>
      </c>
      <c r="B48" s="19">
        <v>783</v>
      </c>
      <c r="C48" s="19">
        <v>2400944</v>
      </c>
      <c r="D48" s="20"/>
      <c r="E48" s="14"/>
    </row>
    <row r="49" spans="1:5" ht="20.45" customHeight="1">
      <c r="A49" s="15" t="s">
        <v>45</v>
      </c>
      <c r="B49" s="19">
        <v>784</v>
      </c>
      <c r="C49" s="19">
        <v>2503003</v>
      </c>
      <c r="D49" s="20"/>
      <c r="E49" s="14"/>
    </row>
    <row r="50" spans="1:5" ht="20.45" customHeight="1">
      <c r="A50" s="15" t="s">
        <v>46</v>
      </c>
      <c r="B50" s="19">
        <v>785</v>
      </c>
      <c r="C50" s="19">
        <v>2501994</v>
      </c>
      <c r="D50" s="20"/>
      <c r="E50" s="14"/>
    </row>
    <row r="51" spans="1:5" ht="21.6" customHeight="1">
      <c r="A51" s="15" t="s">
        <v>47</v>
      </c>
      <c r="B51" s="19">
        <v>786</v>
      </c>
      <c r="C51" s="19">
        <v>2400433</v>
      </c>
      <c r="D51" s="20"/>
      <c r="E51" s="14"/>
    </row>
    <row r="52" spans="1:5" ht="20.45" customHeight="1">
      <c r="A52" s="15" t="s">
        <v>48</v>
      </c>
      <c r="B52" s="19">
        <v>787</v>
      </c>
      <c r="C52" s="19">
        <v>2501949</v>
      </c>
      <c r="D52" s="20"/>
      <c r="E52" s="14"/>
    </row>
    <row r="53" spans="1:5" ht="21.6" customHeight="1">
      <c r="A53" s="15" t="s">
        <v>49</v>
      </c>
      <c r="B53" s="19">
        <v>788</v>
      </c>
      <c r="C53" s="19">
        <v>2501952</v>
      </c>
      <c r="D53" s="20"/>
      <c r="E53" s="14"/>
    </row>
    <row r="54" spans="1:5" ht="20.100000000000001" customHeight="1">
      <c r="A54" s="15" t="s">
        <v>50</v>
      </c>
      <c r="B54" s="19">
        <v>789</v>
      </c>
      <c r="C54" s="19">
        <v>2501920</v>
      </c>
      <c r="D54" s="20"/>
      <c r="E54" s="14"/>
    </row>
    <row r="55" spans="1:5" ht="20.45" customHeight="1">
      <c r="A55" s="15" t="s">
        <v>51</v>
      </c>
      <c r="B55" s="19">
        <v>790</v>
      </c>
      <c r="C55" s="19">
        <v>2501915</v>
      </c>
      <c r="D55" s="20"/>
      <c r="E55" s="14"/>
    </row>
    <row r="56" spans="1:5" ht="20.45" customHeight="1">
      <c r="A56" s="15" t="s">
        <v>52</v>
      </c>
      <c r="B56" s="19">
        <v>791</v>
      </c>
      <c r="C56" s="19">
        <v>2501950</v>
      </c>
      <c r="D56" s="20"/>
      <c r="E56" s="14"/>
    </row>
    <row r="57" spans="1:5" ht="20.45" customHeight="1">
      <c r="A57" s="15" t="s">
        <v>53</v>
      </c>
      <c r="B57" s="19">
        <v>792</v>
      </c>
      <c r="C57" s="19">
        <v>2500744</v>
      </c>
      <c r="D57" s="20"/>
      <c r="E57" s="14"/>
    </row>
    <row r="58" spans="1:5" ht="20.100000000000001" customHeight="1">
      <c r="A58" s="15" t="s">
        <v>54</v>
      </c>
      <c r="B58" s="19">
        <v>793</v>
      </c>
      <c r="C58" s="19">
        <v>2501338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B13" sqref="B13:M20"/>
    </sheetView>
  </sheetViews>
  <sheetFormatPr defaultColWidth="10.85546875" defaultRowHeight="15"/>
  <cols>
    <col min="2" max="13" width="13.85546875" customWidth="1"/>
  </cols>
  <sheetData>
    <row r="1" spans="1:13" ht="18.75">
      <c r="A1" s="1" t="s">
        <v>55</v>
      </c>
      <c r="B1" s="1"/>
      <c r="C1" s="1"/>
    </row>
    <row r="2" spans="1:13" ht="18.75">
      <c r="A2" s="1"/>
      <c r="B2" s="1"/>
      <c r="C2" s="1"/>
    </row>
    <row r="3" spans="1:13" ht="18.75">
      <c r="A3" s="1" t="s">
        <v>56</v>
      </c>
      <c r="B3" s="1"/>
      <c r="C3" s="1"/>
    </row>
    <row r="4" spans="1:13" ht="18.75">
      <c r="A4" s="1"/>
      <c r="B4" s="1"/>
      <c r="C4" s="1"/>
    </row>
    <row r="5" spans="1:13" ht="15.95" customHeight="1">
      <c r="A5" s="60" t="s">
        <v>57</v>
      </c>
      <c r="B5" s="60"/>
      <c r="C5" s="21" t="str">
        <f>IF(ECHANTILLONS!C6="","",ECHANTILLONS!C6)</f>
        <v/>
      </c>
      <c r="E5" s="24"/>
      <c r="F5" s="25" t="s">
        <v>58</v>
      </c>
      <c r="G5" s="64" t="str">
        <f>IF(ECHANTILLONS!C10="","",ECHANTILLONS!C10)</f>
        <v/>
      </c>
      <c r="H5" s="64" t="str">
        <f>IF(ECHANTILLONS!F6="","",ECHANTILLONS!F6)</f>
        <v/>
      </c>
    </row>
    <row r="6" spans="1:13" ht="15.95" customHeight="1">
      <c r="A6" s="60" t="s">
        <v>59</v>
      </c>
      <c r="B6" s="60"/>
      <c r="C6" s="22" t="str">
        <f>IF(ECHANTILLONS!C7="","",ECHANTILLONS!C7)</f>
        <v/>
      </c>
    </row>
    <row r="7" spans="1:13" ht="15.95" customHeight="1">
      <c r="A7" s="60" t="s">
        <v>60</v>
      </c>
      <c r="B7" s="60"/>
      <c r="C7" s="22">
        <f>IF(ECHANTILLONS!C8="","",ECHANTILLONS!C8)</f>
        <v>3915223</v>
      </c>
    </row>
    <row r="8" spans="1:13" ht="15.95" customHeight="1">
      <c r="A8" s="60" t="s">
        <v>61</v>
      </c>
      <c r="B8" s="60"/>
      <c r="C8" s="22" t="str">
        <f>IF(ECHANTILLONS!C9="","",ECHANTILLONS!C9)</f>
        <v/>
      </c>
    </row>
    <row r="9" spans="1:13" ht="15.95" customHeight="1">
      <c r="A9" s="60" t="s">
        <v>62</v>
      </c>
      <c r="B9" s="60"/>
      <c r="C9" s="23" t="s">
        <v>63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64</v>
      </c>
      <c r="B13" s="18">
        <v>0.88400000000000001</v>
      </c>
      <c r="C13" s="18">
        <v>0.86199999999999999</v>
      </c>
      <c r="D13" s="18">
        <v>0.34200000000000003</v>
      </c>
      <c r="E13" s="18">
        <v>0.38900000000000001</v>
      </c>
      <c r="F13" s="18">
        <v>1.01</v>
      </c>
      <c r="G13" s="18">
        <v>0.26600000000000001</v>
      </c>
      <c r="H13" s="18">
        <v>1.43</v>
      </c>
      <c r="I13" s="18">
        <v>1.6579999999999999</v>
      </c>
      <c r="J13" s="18">
        <v>0.54300000000000004</v>
      </c>
      <c r="K13" s="18">
        <v>0.55700000000000005</v>
      </c>
      <c r="L13" s="18">
        <v>1.7509999999999999</v>
      </c>
      <c r="M13" s="18">
        <v>0.86799999999999999</v>
      </c>
    </row>
    <row r="14" spans="1:13">
      <c r="A14" s="10" t="s">
        <v>65</v>
      </c>
      <c r="B14" s="18">
        <v>0.191</v>
      </c>
      <c r="C14" s="18">
        <v>0.90300000000000002</v>
      </c>
      <c r="D14" s="18">
        <v>0.96199999999999997</v>
      </c>
      <c r="E14" s="18">
        <v>0.92400000000000004</v>
      </c>
      <c r="F14" s="18">
        <v>0.874</v>
      </c>
      <c r="G14" s="18">
        <v>1.103</v>
      </c>
      <c r="H14" s="18">
        <v>0.77700000000000002</v>
      </c>
      <c r="I14" s="18">
        <v>1.5269999999999999</v>
      </c>
      <c r="J14" s="18">
        <v>1.4259999999999999</v>
      </c>
      <c r="K14" s="18">
        <v>1.4</v>
      </c>
      <c r="L14" s="18">
        <v>1.506</v>
      </c>
      <c r="M14" s="18">
        <v>1.734</v>
      </c>
    </row>
    <row r="15" spans="1:13">
      <c r="A15" s="10" t="s">
        <v>66</v>
      </c>
      <c r="B15" s="18">
        <v>0.78900000000000003</v>
      </c>
      <c r="C15" s="18">
        <v>0.82799999999999996</v>
      </c>
      <c r="D15" s="18">
        <v>0.99299999999999999</v>
      </c>
      <c r="E15" s="18">
        <v>0.89700000000000002</v>
      </c>
      <c r="F15" s="18">
        <v>0.97399999999999998</v>
      </c>
      <c r="G15" s="18">
        <v>0.96099999999999997</v>
      </c>
      <c r="H15" s="18">
        <v>1.5980000000000001</v>
      </c>
      <c r="I15" s="18">
        <v>1.528</v>
      </c>
      <c r="J15" s="18">
        <v>1.4350000000000001</v>
      </c>
      <c r="K15" s="18">
        <v>1.375</v>
      </c>
      <c r="L15" s="18">
        <v>1.6559999999999999</v>
      </c>
      <c r="M15" s="18">
        <v>1.5820000000000001</v>
      </c>
    </row>
    <row r="16" spans="1:13">
      <c r="A16" s="10" t="s">
        <v>67</v>
      </c>
      <c r="B16" s="18">
        <v>0.78</v>
      </c>
      <c r="C16" s="18">
        <v>0.88400000000000001</v>
      </c>
      <c r="D16" s="18">
        <v>0.86099999999999999</v>
      </c>
      <c r="E16" s="18">
        <v>0.877</v>
      </c>
      <c r="F16" s="18">
        <v>0.97599999999999998</v>
      </c>
      <c r="G16" s="18">
        <v>1.0069999999999999</v>
      </c>
      <c r="H16" s="18">
        <v>1.538</v>
      </c>
      <c r="I16" s="18">
        <v>1.5409999999999999</v>
      </c>
      <c r="J16" s="18">
        <v>1.3380000000000001</v>
      </c>
      <c r="K16" s="18">
        <v>1.482</v>
      </c>
      <c r="L16" s="18">
        <v>1.6339999999999999</v>
      </c>
      <c r="M16" s="18">
        <v>1.8520000000000001</v>
      </c>
    </row>
    <row r="17" spans="1:13">
      <c r="A17" s="10" t="s">
        <v>68</v>
      </c>
      <c r="B17" s="18">
        <v>0.73</v>
      </c>
      <c r="C17" s="18">
        <v>0.84</v>
      </c>
      <c r="D17" s="18">
        <v>0.88400000000000001</v>
      </c>
      <c r="E17" s="18">
        <v>0.86</v>
      </c>
      <c r="F17" s="18">
        <v>0.87</v>
      </c>
      <c r="G17" s="18">
        <v>1.04</v>
      </c>
      <c r="H17" s="18">
        <v>1.4790000000000001</v>
      </c>
      <c r="I17" s="18">
        <v>1.401</v>
      </c>
      <c r="J17" s="18">
        <v>1.373</v>
      </c>
      <c r="K17" s="18">
        <v>1.4239999999999999</v>
      </c>
      <c r="L17" s="18">
        <v>1.5589999999999999</v>
      </c>
      <c r="M17" s="18">
        <v>1.8640000000000001</v>
      </c>
    </row>
    <row r="18" spans="1:13">
      <c r="A18" s="10" t="s">
        <v>69</v>
      </c>
      <c r="B18" s="18">
        <v>0.746</v>
      </c>
      <c r="C18" s="18">
        <v>0.76500000000000001</v>
      </c>
      <c r="D18" s="18">
        <v>0.878</v>
      </c>
      <c r="E18" s="18">
        <v>0.90600000000000003</v>
      </c>
      <c r="F18" s="18">
        <v>0.82099999999999995</v>
      </c>
      <c r="G18" s="18">
        <v>1.0209999999999999</v>
      </c>
      <c r="H18" s="18">
        <v>1.5189999999999999</v>
      </c>
      <c r="I18" s="18">
        <v>1.7050000000000001</v>
      </c>
      <c r="J18" s="18">
        <v>1.5920000000000001</v>
      </c>
      <c r="K18" s="18">
        <v>1.63</v>
      </c>
      <c r="L18" s="18">
        <v>1.6240000000000001</v>
      </c>
      <c r="M18" s="18">
        <v>1.8560000000000001</v>
      </c>
    </row>
    <row r="19" spans="1:13">
      <c r="A19" s="10" t="s">
        <v>70</v>
      </c>
      <c r="B19" s="18">
        <v>0.76</v>
      </c>
      <c r="C19" s="18">
        <v>0.78500000000000003</v>
      </c>
      <c r="D19" s="18">
        <v>0.92100000000000004</v>
      </c>
      <c r="E19" s="18">
        <v>0.85499999999999998</v>
      </c>
      <c r="F19" s="18">
        <v>0.92700000000000005</v>
      </c>
      <c r="G19" s="18">
        <v>0.95399999999999996</v>
      </c>
      <c r="H19" s="18">
        <v>1.6950000000000001</v>
      </c>
      <c r="I19" s="18">
        <v>1.702</v>
      </c>
      <c r="J19" s="18">
        <v>1.7509999999999999</v>
      </c>
      <c r="K19" s="18">
        <v>1.865</v>
      </c>
      <c r="L19" s="18">
        <v>1.847</v>
      </c>
      <c r="M19" s="18">
        <v>1.931</v>
      </c>
    </row>
    <row r="20" spans="1:13">
      <c r="A20" s="9" t="s">
        <v>71</v>
      </c>
      <c r="B20" s="18">
        <v>0.66600000000000004</v>
      </c>
      <c r="C20" s="18">
        <v>0.32300000000000001</v>
      </c>
      <c r="D20" s="18">
        <v>0.78700000000000003</v>
      </c>
      <c r="E20" s="18">
        <v>0.83499999999999996</v>
      </c>
      <c r="F20" s="18">
        <v>0.78700000000000003</v>
      </c>
      <c r="G20" s="18">
        <v>0.93400000000000005</v>
      </c>
      <c r="H20" s="18">
        <v>1.6619999999999999</v>
      </c>
      <c r="I20" s="18">
        <v>0.315</v>
      </c>
      <c r="J20" s="18">
        <v>1.766</v>
      </c>
      <c r="K20" s="18">
        <v>2.0329999999999999</v>
      </c>
      <c r="L20" s="18">
        <v>1.917</v>
      </c>
      <c r="M20" s="18">
        <v>2.1139999999999999</v>
      </c>
    </row>
    <row r="21" spans="1:13" s="4" customFormat="1">
      <c r="A21" s="5"/>
    </row>
    <row r="22" spans="1:13">
      <c r="A22" s="5"/>
      <c r="B22" s="61" t="s">
        <v>72</v>
      </c>
      <c r="C22" s="62"/>
      <c r="D22" s="62"/>
      <c r="E22" s="62"/>
      <c r="F22" s="62"/>
      <c r="G22" s="63"/>
      <c r="H22" s="57" t="s">
        <v>73</v>
      </c>
      <c r="I22" s="58"/>
      <c r="J22" s="58"/>
      <c r="K22" s="58"/>
      <c r="L22" s="58"/>
      <c r="M22" s="59"/>
    </row>
    <row r="23" spans="1:13">
      <c r="A23" s="3"/>
      <c r="B23" s="61" t="s">
        <v>74</v>
      </c>
      <c r="C23" s="63"/>
      <c r="D23" s="61" t="s">
        <v>75</v>
      </c>
      <c r="E23" s="63"/>
      <c r="F23" s="61" t="s">
        <v>76</v>
      </c>
      <c r="G23" s="63"/>
      <c r="H23" s="57" t="s">
        <v>77</v>
      </c>
      <c r="I23" s="59"/>
      <c r="J23" s="57" t="s">
        <v>78</v>
      </c>
      <c r="K23" s="59"/>
      <c r="L23" s="57" t="s">
        <v>79</v>
      </c>
      <c r="M23" s="59"/>
    </row>
    <row r="24" spans="1:13">
      <c r="A24" s="3"/>
      <c r="B24" s="67">
        <f>(B13+C13)/2</f>
        <v>0.873</v>
      </c>
      <c r="C24" s="68"/>
      <c r="D24" s="67">
        <f>(D13+E13)/2</f>
        <v>0.36550000000000005</v>
      </c>
      <c r="E24" s="68"/>
      <c r="F24" s="69">
        <f>100-(D24/B24*100)</f>
        <v>58.132875143184414</v>
      </c>
      <c r="G24" s="70"/>
      <c r="H24" s="71">
        <f>(H13+I13)/2</f>
        <v>1.544</v>
      </c>
      <c r="I24" s="72"/>
      <c r="J24" s="71">
        <f>(J13+K13)/2</f>
        <v>0.55000000000000004</v>
      </c>
      <c r="K24" s="72"/>
      <c r="L24" s="65">
        <f>100-(J24/H24*100)</f>
        <v>64.37823834196891</v>
      </c>
      <c r="M24" s="66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64</v>
      </c>
      <c r="B27" s="8"/>
      <c r="C27" s="8"/>
      <c r="D27" s="8"/>
      <c r="E27" s="8"/>
      <c r="F27" s="7">
        <f>IF(F13="","",100-F13/$B$24*100)</f>
        <v>-15.69301260022911</v>
      </c>
      <c r="G27" s="7">
        <f>IF(G13="","",100-G13/$B$24*100)</f>
        <v>69.530355097365401</v>
      </c>
      <c r="H27" s="8"/>
      <c r="I27" s="8"/>
      <c r="J27" s="8"/>
      <c r="K27" s="8"/>
      <c r="L27" s="7">
        <f>IF(L13="","",100-L13/$H$24*100)</f>
        <v>-13.406735751295315</v>
      </c>
      <c r="M27" s="7">
        <f>IF(M13="","",100-M13/$H$24*100)</f>
        <v>43.782383419689118</v>
      </c>
    </row>
    <row r="28" spans="1:13">
      <c r="A28" s="3" t="s">
        <v>65</v>
      </c>
      <c r="B28" s="7">
        <f>IF(B14="","",100-B14/$B$24*100)</f>
        <v>78.121420389461633</v>
      </c>
      <c r="C28" s="7">
        <f t="shared" ref="C28:G28" si="0">IF(C14="","",100-C14/$B$24*100)</f>
        <v>-3.4364261168385042</v>
      </c>
      <c r="D28" s="7">
        <f t="shared" si="0"/>
        <v>-10.194730813287507</v>
      </c>
      <c r="E28" s="7">
        <f t="shared" si="0"/>
        <v>-5.8419243986254372</v>
      </c>
      <c r="F28" s="7">
        <f t="shared" si="0"/>
        <v>-0.11454753722794919</v>
      </c>
      <c r="G28" s="7">
        <f t="shared" si="0"/>
        <v>-26.345933562428399</v>
      </c>
      <c r="H28" s="7">
        <f>IF(H14="","",100-H14/$H$24*100)</f>
        <v>49.676165803108809</v>
      </c>
      <c r="I28" s="7">
        <f t="shared" ref="I28:L28" si="1">IF(I14="","",100-I14/$H$24*100)</f>
        <v>1.1010362694300539</v>
      </c>
      <c r="J28" s="7">
        <f t="shared" si="1"/>
        <v>7.6424870466321266</v>
      </c>
      <c r="K28" s="7">
        <f t="shared" si="1"/>
        <v>9.326424870466326</v>
      </c>
      <c r="L28" s="7">
        <f t="shared" si="1"/>
        <v>2.4611398963730551</v>
      </c>
      <c r="M28" s="7">
        <f>IF(M14="","",100-M14/$H$24*100)</f>
        <v>-12.30569948186529</v>
      </c>
    </row>
    <row r="29" spans="1:13">
      <c r="A29" s="3" t="s">
        <v>66</v>
      </c>
      <c r="B29" s="7">
        <f t="shared" ref="B29:G29" si="2">IF(B15="","",100-B15/$B$24*100)</f>
        <v>9.6219931271477606</v>
      </c>
      <c r="C29" s="7">
        <f t="shared" si="2"/>
        <v>5.1546391752577421</v>
      </c>
      <c r="D29" s="7">
        <f t="shared" si="2"/>
        <v>-13.745704467353946</v>
      </c>
      <c r="E29" s="7">
        <f t="shared" si="2"/>
        <v>-2.749140893470809</v>
      </c>
      <c r="F29" s="7">
        <f t="shared" si="2"/>
        <v>-11.569301260022911</v>
      </c>
      <c r="G29" s="7">
        <f t="shared" si="2"/>
        <v>-10.080183276059557</v>
      </c>
      <c r="H29" s="7">
        <f t="shared" ref="H29:M29" si="3">IF(H15="","",100-H15/$H$24*100)</f>
        <v>-3.4974093264248864</v>
      </c>
      <c r="I29" s="7">
        <f t="shared" si="3"/>
        <v>1.0362694300518172</v>
      </c>
      <c r="J29" s="7">
        <f t="shared" si="3"/>
        <v>7.0595854922279813</v>
      </c>
      <c r="K29" s="7">
        <f t="shared" si="3"/>
        <v>10.945595854922288</v>
      </c>
      <c r="L29" s="7">
        <f t="shared" si="3"/>
        <v>-7.2538860103626774</v>
      </c>
      <c r="M29" s="7">
        <f t="shared" si="3"/>
        <v>-2.4611398963730693</v>
      </c>
    </row>
    <row r="30" spans="1:13">
      <c r="A30" s="3" t="s">
        <v>67</v>
      </c>
      <c r="B30" s="7">
        <f t="shared" ref="B30:G30" si="4">IF(B16="","",100-B16/$B$24*100)</f>
        <v>10.652920962199303</v>
      </c>
      <c r="C30" s="7">
        <f t="shared" si="4"/>
        <v>-1.2600229095074411</v>
      </c>
      <c r="D30" s="7">
        <f t="shared" si="4"/>
        <v>1.3745704467354045</v>
      </c>
      <c r="E30" s="7">
        <f t="shared" si="4"/>
        <v>-0.45819014891179677</v>
      </c>
      <c r="F30" s="7">
        <f t="shared" si="4"/>
        <v>-11.798396334478809</v>
      </c>
      <c r="G30" s="7">
        <f t="shared" si="4"/>
        <v>-15.349369988545234</v>
      </c>
      <c r="H30" s="7">
        <f t="shared" ref="H30:M30" si="5">IF(H16="","",100-H16/$H$24*100)</f>
        <v>0.38860103626943499</v>
      </c>
      <c r="I30" s="7">
        <f t="shared" si="5"/>
        <v>0.1943005181347246</v>
      </c>
      <c r="J30" s="7">
        <f t="shared" si="5"/>
        <v>13.341968911917093</v>
      </c>
      <c r="K30" s="7">
        <f t="shared" si="5"/>
        <v>4.0155440414507808</v>
      </c>
      <c r="L30" s="7">
        <f t="shared" si="5"/>
        <v>-5.8290155440414537</v>
      </c>
      <c r="M30" s="7">
        <f t="shared" si="5"/>
        <v>-19.948186528497416</v>
      </c>
    </row>
    <row r="31" spans="1:13">
      <c r="A31" s="3" t="s">
        <v>68</v>
      </c>
      <c r="B31" s="7">
        <f t="shared" ref="B31:G31" si="6">IF(B17="","",100-B17/$B$24*100)</f>
        <v>16.380297823596791</v>
      </c>
      <c r="C31" s="7">
        <f t="shared" si="6"/>
        <v>3.7800687285223518</v>
      </c>
      <c r="D31" s="7">
        <f t="shared" si="6"/>
        <v>-1.2600229095074411</v>
      </c>
      <c r="E31" s="7">
        <f t="shared" si="6"/>
        <v>1.4891179839633537</v>
      </c>
      <c r="F31" s="7">
        <f t="shared" si="6"/>
        <v>0.34364261168384758</v>
      </c>
      <c r="G31" s="7">
        <f t="shared" si="6"/>
        <v>-19.129438717067586</v>
      </c>
      <c r="H31" s="7">
        <f t="shared" ref="H31:M31" si="7">IF(H17="","",100-H17/$H$24*100)</f>
        <v>4.2098445595854912</v>
      </c>
      <c r="I31" s="7">
        <f t="shared" si="7"/>
        <v>9.2616580310880892</v>
      </c>
      <c r="J31" s="7">
        <f t="shared" si="7"/>
        <v>11.075129533678762</v>
      </c>
      <c r="K31" s="7">
        <f t="shared" si="7"/>
        <v>7.7720207253886002</v>
      </c>
      <c r="L31" s="7">
        <f t="shared" si="7"/>
        <v>-0.97150259067358036</v>
      </c>
      <c r="M31" s="7">
        <f t="shared" si="7"/>
        <v>-20.725388601036272</v>
      </c>
    </row>
    <row r="32" spans="1:13">
      <c r="A32" s="3" t="s">
        <v>69</v>
      </c>
      <c r="B32" s="7">
        <f t="shared" ref="B32:G32" si="8">IF(B18="","",100-B18/$B$24*100)</f>
        <v>14.547537227949604</v>
      </c>
      <c r="C32" s="7">
        <f t="shared" si="8"/>
        <v>12.371134020618555</v>
      </c>
      <c r="D32" s="7">
        <f t="shared" si="8"/>
        <v>-0.57273768613974596</v>
      </c>
      <c r="E32" s="7">
        <f t="shared" si="8"/>
        <v>-3.7800687285223518</v>
      </c>
      <c r="F32" s="7">
        <f t="shared" si="8"/>
        <v>5.9564719358533864</v>
      </c>
      <c r="G32" s="7">
        <f t="shared" si="8"/>
        <v>-16.953035509736523</v>
      </c>
      <c r="H32" s="7">
        <f t="shared" ref="H32:M32" si="9">IF(H18="","",100-H18/$H$24*100)</f>
        <v>1.6191709844559625</v>
      </c>
      <c r="I32" s="7">
        <f t="shared" si="9"/>
        <v>-10.427461139896366</v>
      </c>
      <c r="J32" s="7">
        <f t="shared" si="9"/>
        <v>-3.1088082901554515</v>
      </c>
      <c r="K32" s="7">
        <f t="shared" si="9"/>
        <v>-5.5699481865284923</v>
      </c>
      <c r="L32" s="7">
        <f t="shared" si="9"/>
        <v>-5.1813471502590573</v>
      </c>
      <c r="M32" s="7">
        <f t="shared" si="9"/>
        <v>-20.207253886010363</v>
      </c>
    </row>
    <row r="33" spans="1:13">
      <c r="A33" s="3" t="s">
        <v>70</v>
      </c>
      <c r="B33" s="7">
        <f t="shared" ref="B33:G33" si="10">IF(B19="","",100-B19/$B$24*100)</f>
        <v>12.943871706758301</v>
      </c>
      <c r="C33" s="7">
        <f t="shared" si="10"/>
        <v>10.080183276059557</v>
      </c>
      <c r="D33" s="7">
        <f t="shared" si="10"/>
        <v>-5.4982817869415896</v>
      </c>
      <c r="E33" s="7">
        <f t="shared" si="10"/>
        <v>2.0618556701030997</v>
      </c>
      <c r="F33" s="7">
        <f t="shared" si="10"/>
        <v>-6.1855670103092848</v>
      </c>
      <c r="G33" s="7">
        <f t="shared" si="10"/>
        <v>-9.278350515463913</v>
      </c>
      <c r="H33" s="7">
        <f t="shared" ref="H33:M34" si="11">IF(H19="","",100-H19/$H$24*100)</f>
        <v>-9.7797927461139835</v>
      </c>
      <c r="I33" s="7">
        <f t="shared" si="11"/>
        <v>-10.233160621761655</v>
      </c>
      <c r="J33" s="7">
        <f t="shared" si="11"/>
        <v>-13.406735751295315</v>
      </c>
      <c r="K33" s="7">
        <f t="shared" si="11"/>
        <v>-20.790155440414509</v>
      </c>
      <c r="L33" s="7">
        <f t="shared" si="11"/>
        <v>-19.624352331606218</v>
      </c>
      <c r="M33" s="7">
        <f t="shared" si="11"/>
        <v>-25.064766839378237</v>
      </c>
    </row>
    <row r="34" spans="1:13">
      <c r="A34" s="3" t="s">
        <v>71</v>
      </c>
      <c r="B34" s="7">
        <f t="shared" ref="B34:G34" si="12">IF(B20="","",100-B20/$B$24*100)</f>
        <v>23.711340206185554</v>
      </c>
      <c r="C34" s="7">
        <f t="shared" si="12"/>
        <v>63.001145475372276</v>
      </c>
      <c r="D34" s="7">
        <f t="shared" si="12"/>
        <v>9.8510882016036589</v>
      </c>
      <c r="E34" s="7">
        <f t="shared" si="12"/>
        <v>4.3528064146620977</v>
      </c>
      <c r="F34" s="7">
        <f t="shared" si="12"/>
        <v>9.8510882016036589</v>
      </c>
      <c r="G34" s="7">
        <f t="shared" si="12"/>
        <v>-6.9873997709049291</v>
      </c>
      <c r="H34" s="7">
        <f>IF(H20="","",100-H20/$H$24*100)</f>
        <v>-7.6424870466321124</v>
      </c>
      <c r="I34" s="7">
        <f t="shared" si="11"/>
        <v>79.598445595854926</v>
      </c>
      <c r="J34" s="7">
        <f t="shared" si="11"/>
        <v>-14.378238341968924</v>
      </c>
      <c r="K34" s="7">
        <f t="shared" si="11"/>
        <v>-31.670984455958546</v>
      </c>
      <c r="L34" s="7">
        <f t="shared" si="11"/>
        <v>-24.158031088082893</v>
      </c>
      <c r="M34" s="7">
        <f>IF(M20="","",100-M20/$H$24*100)</f>
        <v>-36.917098445595855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  <mergeCell ref="H22:M22"/>
    <mergeCell ref="A5:B5"/>
    <mergeCell ref="A6:B6"/>
    <mergeCell ref="A7:B7"/>
    <mergeCell ref="A8:B8"/>
    <mergeCell ref="B22:G22"/>
    <mergeCell ref="A9:B9"/>
    <mergeCell ref="G5:H5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topLeftCell="A31" workbookViewId="0">
      <selection activeCell="J20" sqref="J20"/>
    </sheetView>
  </sheetViews>
  <sheetFormatPr defaultColWidth="10.85546875" defaultRowHeight="1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55</v>
      </c>
    </row>
    <row r="2" spans="1:12" s="27" customFormat="1" ht="15" customHeight="1">
      <c r="A2" s="28"/>
    </row>
    <row r="3" spans="1:12" s="27" customFormat="1" ht="15" customHeight="1">
      <c r="A3" s="29" t="s">
        <v>80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81</v>
      </c>
      <c r="B5" s="33"/>
      <c r="C5" s="21" t="str">
        <f>IF(ECHANTILLONS!C6="","",ECHANTILLONS!C6)</f>
        <v/>
      </c>
      <c r="D5" s="34"/>
      <c r="E5" s="27"/>
      <c r="F5" s="35" t="s">
        <v>82</v>
      </c>
      <c r="G5" s="36">
        <v>30</v>
      </c>
      <c r="H5" s="28"/>
      <c r="I5" s="30"/>
    </row>
    <row r="6" spans="1:12" ht="15" customHeight="1">
      <c r="A6" s="32" t="s">
        <v>59</v>
      </c>
      <c r="B6" s="33"/>
      <c r="C6" s="22" t="str">
        <f>IF(ECHANTILLONS!C7="","",ECHANTILLONS!C7)</f>
        <v/>
      </c>
      <c r="D6" s="27"/>
      <c r="E6" s="27"/>
      <c r="F6" s="27"/>
      <c r="G6" s="27"/>
      <c r="H6" s="27"/>
      <c r="I6" s="30"/>
    </row>
    <row r="7" spans="1:12" ht="15" customHeight="1">
      <c r="A7" s="32" t="s">
        <v>83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61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>
      <c r="A9" s="32" t="s">
        <v>84</v>
      </c>
      <c r="B9" s="33"/>
      <c r="C9" s="38" t="str">
        <f>IF(ECHANTILLONS!C10="","",ECHANTILLONS!C10)</f>
        <v/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72</v>
      </c>
      <c r="E12" s="73"/>
      <c r="F12" s="73" t="s">
        <v>73</v>
      </c>
      <c r="G12" s="73"/>
      <c r="H12" s="74" t="s">
        <v>85</v>
      </c>
      <c r="I12" s="27"/>
    </row>
    <row r="13" spans="1:12" ht="47.25">
      <c r="A13" s="42"/>
      <c r="B13" s="43" t="s">
        <v>8</v>
      </c>
      <c r="C13" s="43" t="s">
        <v>9</v>
      </c>
      <c r="D13" s="41" t="s">
        <v>86</v>
      </c>
      <c r="E13" s="44" t="s">
        <v>87</v>
      </c>
      <c r="F13" s="41" t="s">
        <v>86</v>
      </c>
      <c r="G13" s="44" t="s">
        <v>87</v>
      </c>
      <c r="H13" s="74"/>
      <c r="I13" s="45" t="s">
        <v>88</v>
      </c>
      <c r="J13" s="55" t="s">
        <v>89</v>
      </c>
      <c r="K13" s="54"/>
      <c r="L13" s="54"/>
    </row>
    <row r="14" spans="1:12" ht="15" customHeight="1">
      <c r="A14" s="46" t="s">
        <v>11</v>
      </c>
      <c r="B14" s="47">
        <f>IF(ECHANTILLONS!B15="","",ECHANTILLONS!B15)</f>
        <v>750</v>
      </c>
      <c r="C14" s="48">
        <f>IF(ECHANTILLONS!C15="","",ECHANTILLONS!C15)</f>
        <v>2503022</v>
      </c>
      <c r="D14" s="49">
        <f>IF('450-600 nm'!F27="","",'450-600 nm'!F27)</f>
        <v>-15.69301260022911</v>
      </c>
      <c r="E14" s="49" t="str">
        <f>IF(D14="","",IF(D14&gt;=$G$5,"POS","NEG"))</f>
        <v>NEG</v>
      </c>
      <c r="F14" s="49">
        <f>IF('450-600 nm'!L27="","",'450-600 nm'!L27)</f>
        <v>-13.406735751295315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/>
    </row>
    <row r="15" spans="1:12" ht="15" customHeight="1">
      <c r="A15" s="36" t="s">
        <v>12</v>
      </c>
      <c r="B15" s="47">
        <f>IF(ECHANTILLONS!B16="","",ECHANTILLONS!B16)</f>
        <v>751</v>
      </c>
      <c r="C15" s="51">
        <f>IF(ECHANTILLONS!C16="","",ECHANTILLONS!C16)</f>
        <v>2500085</v>
      </c>
      <c r="D15" s="52">
        <f>IF('450-600 nm'!G27="","",'450-600 nm'!G27)</f>
        <v>69.530355097365401</v>
      </c>
      <c r="E15" s="49" t="str">
        <f t="shared" ref="E15:E57" si="0">IF(D15="","",IF(D15&gt;=$G$5,"POS","NEG"))</f>
        <v>POS</v>
      </c>
      <c r="F15" s="52">
        <f>IF('450-600 nm'!M27="","",'450-600 nm'!M27)</f>
        <v>43.782383419689118</v>
      </c>
      <c r="G15" s="49" t="str">
        <f t="shared" ref="G15:G57" si="1">IF(F15="","",IF(F15&gt;=$G$5,"POS","NEG"))</f>
        <v>POS</v>
      </c>
      <c r="H15" s="49" t="str">
        <f t="shared" ref="H15:H57" si="2">IF(AND(E15="NEG",G15="NEG"),"N",IF(E15="POS","P",IF(G15="POS","P","")))</f>
        <v>P</v>
      </c>
      <c r="I15" s="50" t="str">
        <f>IF(ECHANTILLONS!D16="","",ECHANTILLONS!D16)</f>
        <v/>
      </c>
      <c r="J15" s="50"/>
    </row>
    <row r="16" spans="1:12" ht="15" customHeight="1">
      <c r="A16" s="36" t="s">
        <v>13</v>
      </c>
      <c r="B16" s="47">
        <f>IF(ECHANTILLONS!B17="","",ECHANTILLONS!B17)</f>
        <v>752</v>
      </c>
      <c r="C16" s="51">
        <f>IF(ECHANTILLONS!C17="","",ECHANTILLONS!C17)</f>
        <v>2402280</v>
      </c>
      <c r="D16" s="52">
        <f>IF('450-600 nm'!B28="","",'450-600 nm'!B28)</f>
        <v>78.121420389461633</v>
      </c>
      <c r="E16" s="49" t="str">
        <f t="shared" si="0"/>
        <v>POS</v>
      </c>
      <c r="F16" s="52">
        <f>IF('450-600 nm'!H28="","",'450-600 nm'!H28)</f>
        <v>49.676165803108809</v>
      </c>
      <c r="G16" s="49" t="str">
        <f t="shared" si="1"/>
        <v>POS</v>
      </c>
      <c r="H16" s="49" t="str">
        <f t="shared" si="2"/>
        <v>P</v>
      </c>
      <c r="I16" s="50" t="str">
        <f>IF(ECHANTILLONS!D17="","",ECHANTILLONS!D17)</f>
        <v/>
      </c>
      <c r="J16" s="50"/>
    </row>
    <row r="17" spans="1:10" ht="15" customHeight="1">
      <c r="A17" s="36" t="s">
        <v>14</v>
      </c>
      <c r="B17" s="47">
        <f>IF(ECHANTILLONS!B18="","",ECHANTILLONS!B18)</f>
        <v>753</v>
      </c>
      <c r="C17" s="51">
        <f>IF(ECHANTILLONS!C18="","",ECHANTILLONS!C18)</f>
        <v>2502708</v>
      </c>
      <c r="D17" s="52">
        <f>IF('450-600 nm'!C28="","",'450-600 nm'!C28)</f>
        <v>-3.4364261168385042</v>
      </c>
      <c r="E17" s="49" t="str">
        <f t="shared" si="0"/>
        <v>NEG</v>
      </c>
      <c r="F17" s="52">
        <f>IF('450-600 nm'!I28="","",'450-600 nm'!I28)</f>
        <v>1.1010362694300539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/>
    </row>
    <row r="18" spans="1:10" ht="15" customHeight="1">
      <c r="A18" s="36" t="s">
        <v>15</v>
      </c>
      <c r="B18" s="47">
        <f>IF(ECHANTILLONS!B19="","",ECHANTILLONS!B19)</f>
        <v>754</v>
      </c>
      <c r="C18" s="51">
        <f>IF(ECHANTILLONS!C19="","",ECHANTILLONS!C19)</f>
        <v>2502745</v>
      </c>
      <c r="D18" s="52">
        <f>IF('450-600 nm'!D28="","",'450-600 nm'!D28)</f>
        <v>-10.194730813287507</v>
      </c>
      <c r="E18" s="49" t="str">
        <f t="shared" si="0"/>
        <v>NEG</v>
      </c>
      <c r="F18" s="52">
        <f>IF('450-600 nm'!J28="","",'450-600 nm'!J28)</f>
        <v>7.6424870466321266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/>
    </row>
    <row r="19" spans="1:10" ht="15" customHeight="1">
      <c r="A19" s="36" t="s">
        <v>16</v>
      </c>
      <c r="B19" s="47">
        <f>IF(ECHANTILLONS!B20="","",ECHANTILLONS!B20)</f>
        <v>755</v>
      </c>
      <c r="C19" s="51">
        <f>IF(ECHANTILLONS!C20="","",ECHANTILLONS!C20)</f>
        <v>2502787</v>
      </c>
      <c r="D19" s="52">
        <f>IF('450-600 nm'!E28="","",'450-600 nm'!E28)</f>
        <v>-5.8419243986254372</v>
      </c>
      <c r="E19" s="49" t="str">
        <f t="shared" si="0"/>
        <v>NEG</v>
      </c>
      <c r="F19" s="52">
        <f>IF('450-600 nm'!K28="","",'450-600 nm'!K28)</f>
        <v>9.326424870466326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/>
    </row>
    <row r="20" spans="1:10" ht="15" customHeight="1">
      <c r="A20" s="36" t="s">
        <v>17</v>
      </c>
      <c r="B20" s="47">
        <f>IF(ECHANTILLONS!B21="","",ECHANTILLONS!B21)</f>
        <v>756</v>
      </c>
      <c r="C20" s="51">
        <f>IF(ECHANTILLONS!C21="","",ECHANTILLONS!C21)</f>
        <v>250273</v>
      </c>
      <c r="D20" s="52">
        <f>IF('450-600 nm'!F28="","",'450-600 nm'!F28)</f>
        <v>-0.11454753722794919</v>
      </c>
      <c r="E20" s="49" t="str">
        <f t="shared" si="0"/>
        <v>NEG</v>
      </c>
      <c r="F20" s="52">
        <f>IF('450-600 nm'!L28="","",'450-600 nm'!L28)</f>
        <v>2.4611398963730551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/>
    </row>
    <row r="21" spans="1:10" ht="15" customHeight="1">
      <c r="A21" s="36" t="s">
        <v>18</v>
      </c>
      <c r="B21" s="47">
        <f>IF(ECHANTILLONS!B22="","",ECHANTILLONS!B22)</f>
        <v>757</v>
      </c>
      <c r="C21" s="51">
        <f>IF(ECHANTILLONS!C22="","",ECHANTILLONS!C22)</f>
        <v>2502784</v>
      </c>
      <c r="D21" s="52">
        <f>IF('450-600 nm'!G28="","",'450-600 nm'!G28)</f>
        <v>-26.345933562428399</v>
      </c>
      <c r="E21" s="49" t="str">
        <f t="shared" si="0"/>
        <v>NEG</v>
      </c>
      <c r="F21" s="52">
        <f>IF('450-600 nm'!M28="","",'450-600 nm'!M28)</f>
        <v>-12.30569948186529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/>
    </row>
    <row r="22" spans="1:10" ht="15" customHeight="1">
      <c r="A22" s="36" t="s">
        <v>19</v>
      </c>
      <c r="B22" s="47">
        <f>IF(ECHANTILLONS!B23="","",ECHANTILLONS!B23)</f>
        <v>758</v>
      </c>
      <c r="C22" s="51">
        <f>IF(ECHANTILLONS!C23="","",ECHANTILLONS!C23)</f>
        <v>2502710</v>
      </c>
      <c r="D22" s="52">
        <f>IF('450-600 nm'!B29="","",'450-600 nm'!B29)</f>
        <v>9.6219931271477606</v>
      </c>
      <c r="E22" s="49" t="str">
        <f t="shared" si="0"/>
        <v>NEG</v>
      </c>
      <c r="F22" s="52">
        <f>IF('450-600 nm'!H29="","",'450-600 nm'!H29)</f>
        <v>-3.4974093264248864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/>
    </row>
    <row r="23" spans="1:10" ht="15" customHeight="1">
      <c r="A23" s="36" t="s">
        <v>20</v>
      </c>
      <c r="B23" s="47">
        <f>IF(ECHANTILLONS!B24="","",ECHANTILLONS!B24)</f>
        <v>759</v>
      </c>
      <c r="C23" s="51">
        <f>IF(ECHANTILLONS!C24="","",ECHANTILLONS!C24)</f>
        <v>2502711</v>
      </c>
      <c r="D23" s="52">
        <f>IF('450-600 nm'!C29="","",'450-600 nm'!C29)</f>
        <v>5.1546391752577421</v>
      </c>
      <c r="E23" s="49" t="str">
        <f t="shared" si="0"/>
        <v>NEG</v>
      </c>
      <c r="F23" s="52">
        <f>IF('450-600 nm'!I29="","",'450-600 nm'!I29)</f>
        <v>1.0362694300518172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/>
    </row>
    <row r="24" spans="1:10" ht="15" customHeight="1">
      <c r="A24" s="36" t="s">
        <v>21</v>
      </c>
      <c r="B24" s="47">
        <f>IF(ECHANTILLONS!B25="","",ECHANTILLONS!B25)</f>
        <v>760</v>
      </c>
      <c r="C24" s="51">
        <f>IF(ECHANTILLONS!C25="","",ECHANTILLONS!C25)</f>
        <v>2502738</v>
      </c>
      <c r="D24" s="52">
        <f>IF('450-600 nm'!D29="","",'450-600 nm'!D29)</f>
        <v>-13.745704467353946</v>
      </c>
      <c r="E24" s="49" t="str">
        <f t="shared" si="0"/>
        <v>NEG</v>
      </c>
      <c r="F24" s="52">
        <f>IF('450-600 nm'!J29="","",'450-600 nm'!J29)</f>
        <v>7.0595854922279813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/>
    </row>
    <row r="25" spans="1:10" ht="15" customHeight="1">
      <c r="A25" s="36" t="s">
        <v>22</v>
      </c>
      <c r="B25" s="47">
        <f>IF(ECHANTILLONS!B26="","",ECHANTILLONS!B26)</f>
        <v>761</v>
      </c>
      <c r="C25" s="51">
        <f>IF(ECHANTILLONS!C26="","",ECHANTILLONS!C26)</f>
        <v>2502786</v>
      </c>
      <c r="D25" s="52">
        <f>IF('450-600 nm'!E29="","",'450-600 nm'!E29)</f>
        <v>-2.749140893470809</v>
      </c>
      <c r="E25" s="49" t="str">
        <f t="shared" si="0"/>
        <v>NEG</v>
      </c>
      <c r="F25" s="52">
        <f>IF('450-600 nm'!K29="","",'450-600 nm'!K29)</f>
        <v>10.945595854922288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/>
    </row>
    <row r="26" spans="1:10" ht="15" customHeight="1">
      <c r="A26" s="36" t="s">
        <v>23</v>
      </c>
      <c r="B26" s="47">
        <f>IF(ECHANTILLONS!B27="","",ECHANTILLONS!B27)</f>
        <v>762</v>
      </c>
      <c r="C26" s="51">
        <f>IF(ECHANTILLONS!C27="","",ECHANTILLONS!C27)</f>
        <v>2502727</v>
      </c>
      <c r="D26" s="52">
        <f>IF('450-600 nm'!F29="","",'450-600 nm'!F29)</f>
        <v>-11.569301260022911</v>
      </c>
      <c r="E26" s="49" t="str">
        <f t="shared" si="0"/>
        <v>NEG</v>
      </c>
      <c r="F26" s="52">
        <f>IF('450-600 nm'!L29="","",'450-600 nm'!L29)</f>
        <v>-7.2538860103626774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/>
    </row>
    <row r="27" spans="1:10" ht="15" customHeight="1">
      <c r="A27" s="36" t="s">
        <v>24</v>
      </c>
      <c r="B27" s="47">
        <f>IF(ECHANTILLONS!B28="","",ECHANTILLONS!B28)</f>
        <v>763</v>
      </c>
      <c r="C27" s="51">
        <f>IF(ECHANTILLONS!C28="","",ECHANTILLONS!C28)</f>
        <v>2502722</v>
      </c>
      <c r="D27" s="52">
        <f>IF('450-600 nm'!G29="","",'450-600 nm'!G29)</f>
        <v>-10.080183276059557</v>
      </c>
      <c r="E27" s="49" t="str">
        <f t="shared" si="0"/>
        <v>NEG</v>
      </c>
      <c r="F27" s="52">
        <f>IF('450-600 nm'!M29="","",'450-600 nm'!M29)</f>
        <v>-2.4611398963730693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/>
    </row>
    <row r="28" spans="1:10" ht="15" customHeight="1">
      <c r="A28" s="36" t="s">
        <v>25</v>
      </c>
      <c r="B28" s="47">
        <f>IF(ECHANTILLONS!B29="","",ECHANTILLONS!B29)</f>
        <v>764</v>
      </c>
      <c r="C28" s="51">
        <f>IF(ECHANTILLONS!C29="","",ECHANTILLONS!C29)</f>
        <v>2502726</v>
      </c>
      <c r="D28" s="52">
        <f>IF('450-600 nm'!B30="","",'450-600 nm'!B30)</f>
        <v>10.652920962199303</v>
      </c>
      <c r="E28" s="49" t="str">
        <f t="shared" si="0"/>
        <v>NEG</v>
      </c>
      <c r="F28" s="52">
        <f>IF('450-600 nm'!H30="","",'450-600 nm'!H30)</f>
        <v>0.38860103626943499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/>
    </row>
    <row r="29" spans="1:10" ht="15" customHeight="1">
      <c r="A29" s="36" t="s">
        <v>26</v>
      </c>
      <c r="B29" s="47">
        <f>IF(ECHANTILLONS!B30="","",ECHANTILLONS!B30)</f>
        <v>765</v>
      </c>
      <c r="C29" s="51">
        <f>IF(ECHANTILLONS!C30="","",ECHANTILLONS!C30)</f>
        <v>2502724</v>
      </c>
      <c r="D29" s="52">
        <f>IF('450-600 nm'!C30="","",'450-600 nm'!C30)</f>
        <v>-1.2600229095074411</v>
      </c>
      <c r="E29" s="49" t="str">
        <f t="shared" si="0"/>
        <v>NEG</v>
      </c>
      <c r="F29" s="52">
        <f>IF('450-600 nm'!I30="","",'450-600 nm'!I30)</f>
        <v>0.1943005181347246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/>
    </row>
    <row r="30" spans="1:10" ht="15" customHeight="1">
      <c r="A30" s="36" t="s">
        <v>27</v>
      </c>
      <c r="B30" s="47">
        <f>IF(ECHANTILLONS!B31="","",ECHANTILLONS!B31)</f>
        <v>766</v>
      </c>
      <c r="C30" s="51">
        <f>IF(ECHANTILLONS!C31="","",ECHANTILLONS!C31)</f>
        <v>250272</v>
      </c>
      <c r="D30" s="52">
        <f>IF('450-600 nm'!D30="","",'450-600 nm'!D30)</f>
        <v>1.3745704467354045</v>
      </c>
      <c r="E30" s="49" t="str">
        <f t="shared" si="0"/>
        <v>NEG</v>
      </c>
      <c r="F30" s="52">
        <f>IF('450-600 nm'!J30="","",'450-600 nm'!J30)</f>
        <v>13.341968911917093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/>
    </row>
    <row r="31" spans="1:10" ht="15" customHeight="1">
      <c r="A31" s="36" t="s">
        <v>28</v>
      </c>
      <c r="B31" s="47">
        <f>IF(ECHANTILLONS!B32="","",ECHANTILLONS!B32)</f>
        <v>767</v>
      </c>
      <c r="C31" s="51">
        <f>IF(ECHANTILLONS!C32="","",ECHANTILLONS!C32)</f>
        <v>2502725</v>
      </c>
      <c r="D31" s="52">
        <f>IF('450-600 nm'!E30="","",'450-600 nm'!E30)</f>
        <v>-0.45819014891179677</v>
      </c>
      <c r="E31" s="49" t="str">
        <f t="shared" si="0"/>
        <v>NEG</v>
      </c>
      <c r="F31" s="52">
        <f>IF('450-600 nm'!K30="","",'450-600 nm'!K30)</f>
        <v>4.0155440414507808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/>
    </row>
    <row r="32" spans="1:10" ht="15" customHeight="1">
      <c r="A32" s="36" t="s">
        <v>29</v>
      </c>
      <c r="B32" s="47">
        <f>IF(ECHANTILLONS!B33="","",ECHANTILLONS!B33)</f>
        <v>768</v>
      </c>
      <c r="C32" s="51">
        <f>IF(ECHANTILLONS!C33="","",ECHANTILLONS!C33)</f>
        <v>2502701</v>
      </c>
      <c r="D32" s="52">
        <f>IF('450-600 nm'!F30="","",'450-600 nm'!F30)</f>
        <v>-11.798396334478809</v>
      </c>
      <c r="E32" s="49" t="str">
        <f t="shared" si="0"/>
        <v>NEG</v>
      </c>
      <c r="F32" s="52">
        <f>IF('450-600 nm'!L30="","",'450-600 nm'!L30)</f>
        <v>-5.8290155440414537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/>
    </row>
    <row r="33" spans="1:10" ht="15" customHeight="1">
      <c r="A33" s="36" t="s">
        <v>30</v>
      </c>
      <c r="B33" s="47">
        <f>IF(ECHANTILLONS!B34="","",ECHANTILLONS!B34)</f>
        <v>769</v>
      </c>
      <c r="C33" s="51">
        <f>IF(ECHANTILLONS!C34="","",ECHANTILLONS!C34)</f>
        <v>2502751</v>
      </c>
      <c r="D33" s="52">
        <f>IF('450-600 nm'!G30="","",'450-600 nm'!G30)</f>
        <v>-15.349369988545234</v>
      </c>
      <c r="E33" s="49" t="str">
        <f t="shared" si="0"/>
        <v>NEG</v>
      </c>
      <c r="F33" s="52">
        <f>IF('450-600 nm'!M30="","",'450-600 nm'!M30)</f>
        <v>-19.948186528497416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/>
    </row>
    <row r="34" spans="1:10" ht="15" customHeight="1">
      <c r="A34" s="36" t="s">
        <v>31</v>
      </c>
      <c r="B34" s="47">
        <f>IF(ECHANTILLONS!B35="","",ECHANTILLONS!B35)</f>
        <v>770</v>
      </c>
      <c r="C34" s="51">
        <f>IF(ECHANTILLONS!C35="","",ECHANTILLONS!C35)</f>
        <v>2502718</v>
      </c>
      <c r="D34" s="52">
        <f>IF('450-600 nm'!B31="","",'450-600 nm'!B31)</f>
        <v>16.380297823596791</v>
      </c>
      <c r="E34" s="49" t="str">
        <f t="shared" si="0"/>
        <v>NEG</v>
      </c>
      <c r="F34" s="52">
        <f>IF('450-600 nm'!H31="","",'450-600 nm'!H31)</f>
        <v>4.2098445595854912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/>
    </row>
    <row r="35" spans="1:10" ht="15" customHeight="1">
      <c r="A35" s="36" t="s">
        <v>32</v>
      </c>
      <c r="B35" s="47">
        <f>IF(ECHANTILLONS!B36="","",ECHANTILLONS!B36)</f>
        <v>771</v>
      </c>
      <c r="C35" s="51">
        <f>IF(ECHANTILLONS!C36="","",ECHANTILLONS!C36)</f>
        <v>2503014</v>
      </c>
      <c r="D35" s="52">
        <f>IF('450-600 nm'!C31="","",'450-600 nm'!C31)</f>
        <v>3.7800687285223518</v>
      </c>
      <c r="E35" s="49" t="str">
        <f t="shared" si="0"/>
        <v>NEG</v>
      </c>
      <c r="F35" s="52">
        <f>IF('450-600 nm'!I31="","",'450-600 nm'!I31)</f>
        <v>9.2616580310880892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/>
    </row>
    <row r="36" spans="1:10" ht="15" customHeight="1">
      <c r="A36" s="36" t="s">
        <v>33</v>
      </c>
      <c r="B36" s="47">
        <f>IF(ECHANTILLONS!B37="","",ECHANTILLONS!B37)</f>
        <v>772</v>
      </c>
      <c r="C36" s="51">
        <f>IF(ECHANTILLONS!C37="","",ECHANTILLONS!C37)</f>
        <v>2503036</v>
      </c>
      <c r="D36" s="52">
        <f>IF('450-600 nm'!D31="","",'450-600 nm'!D31)</f>
        <v>-1.2600229095074411</v>
      </c>
      <c r="E36" s="49" t="str">
        <f t="shared" si="0"/>
        <v>NEG</v>
      </c>
      <c r="F36" s="52">
        <f>IF('450-600 nm'!J31="","",'450-600 nm'!J31)</f>
        <v>11.075129533678762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/>
    </row>
    <row r="37" spans="1:10" ht="15" customHeight="1">
      <c r="A37" s="36" t="s">
        <v>34</v>
      </c>
      <c r="B37" s="47">
        <f>IF(ECHANTILLONS!B38="","",ECHANTILLONS!B38)</f>
        <v>773</v>
      </c>
      <c r="C37" s="51">
        <f>IF(ECHANTILLONS!C38="","",ECHANTILLONS!C38)</f>
        <v>2503048</v>
      </c>
      <c r="D37" s="52">
        <f>IF('450-600 nm'!E31="","",'450-600 nm'!E31)</f>
        <v>1.4891179839633537</v>
      </c>
      <c r="E37" s="49" t="str">
        <f t="shared" si="0"/>
        <v>NEG</v>
      </c>
      <c r="F37" s="52">
        <f>IF('450-600 nm'!K31="","",'450-600 nm'!K31)</f>
        <v>7.7720207253886002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/>
    </row>
    <row r="38" spans="1:10" ht="15" customHeight="1">
      <c r="A38" s="36" t="s">
        <v>35</v>
      </c>
      <c r="B38" s="47">
        <f>IF(ECHANTILLONS!B39="","",ECHANTILLONS!B39)</f>
        <v>774</v>
      </c>
      <c r="C38" s="51">
        <f>IF(ECHANTILLONS!C39="","",ECHANTILLONS!C39)</f>
        <v>2503050</v>
      </c>
      <c r="D38" s="52">
        <f>IF('450-600 nm'!F31="","",'450-600 nm'!F31)</f>
        <v>0.34364261168384758</v>
      </c>
      <c r="E38" s="49" t="str">
        <f t="shared" si="0"/>
        <v>NEG</v>
      </c>
      <c r="F38" s="52">
        <f>IF('450-600 nm'!L31="","",'450-600 nm'!L31)</f>
        <v>-0.97150259067358036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/>
    </row>
    <row r="39" spans="1:10" ht="15" customHeight="1">
      <c r="A39" s="36" t="s">
        <v>36</v>
      </c>
      <c r="B39" s="47">
        <f>IF(ECHANTILLONS!B40="","",ECHANTILLONS!B40)</f>
        <v>775</v>
      </c>
      <c r="C39" s="51">
        <f>IF(ECHANTILLONS!C40="","",ECHANTILLONS!C40)</f>
        <v>2503058</v>
      </c>
      <c r="D39" s="52">
        <f>IF('450-600 nm'!G31="","",'450-600 nm'!G31)</f>
        <v>-19.129438717067586</v>
      </c>
      <c r="E39" s="49" t="str">
        <f t="shared" si="0"/>
        <v>NEG</v>
      </c>
      <c r="F39" s="52">
        <f>IF('450-600 nm'!M31="","",'450-600 nm'!M31)</f>
        <v>-20.725388601036272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/>
    </row>
    <row r="40" spans="1:10" ht="15" customHeight="1">
      <c r="A40" s="36" t="s">
        <v>37</v>
      </c>
      <c r="B40" s="47">
        <f>IF(ECHANTILLONS!B41="","",ECHANTILLONS!B41)</f>
        <v>776</v>
      </c>
      <c r="C40" s="51">
        <f>IF(ECHANTILLONS!C41="","",ECHANTILLONS!C41)</f>
        <v>2503029</v>
      </c>
      <c r="D40" s="52">
        <f>IF('450-600 nm'!B32="","",'450-600 nm'!B32)</f>
        <v>14.547537227949604</v>
      </c>
      <c r="E40" s="49" t="str">
        <f t="shared" si="0"/>
        <v>NEG</v>
      </c>
      <c r="F40" s="52">
        <f>IF('450-600 nm'!H32="","",'450-600 nm'!H32)</f>
        <v>1.6191709844559625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/>
    </row>
    <row r="41" spans="1:10" ht="15" customHeight="1">
      <c r="A41" s="36" t="s">
        <v>38</v>
      </c>
      <c r="B41" s="47">
        <f>IF(ECHANTILLONS!B42="","",ECHANTILLONS!B42)</f>
        <v>777</v>
      </c>
      <c r="C41" s="51">
        <f>IF(ECHANTILLONS!C42="","",ECHANTILLONS!C42)</f>
        <v>2503008</v>
      </c>
      <c r="D41" s="52">
        <f>IF('450-600 nm'!C32="","",'450-600 nm'!C32)</f>
        <v>12.371134020618555</v>
      </c>
      <c r="E41" s="49" t="str">
        <f t="shared" si="0"/>
        <v>NEG</v>
      </c>
      <c r="F41" s="52">
        <f>IF('450-600 nm'!I32="","",'450-600 nm'!I32)</f>
        <v>-10.427461139896366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/>
    </row>
    <row r="42" spans="1:10" ht="15" customHeight="1">
      <c r="A42" s="36" t="s">
        <v>39</v>
      </c>
      <c r="B42" s="47">
        <f>IF(ECHANTILLONS!B43="","",ECHANTILLONS!B43)</f>
        <v>778</v>
      </c>
      <c r="C42" s="51">
        <f>IF(ECHANTILLONS!C43="","",ECHANTILLONS!C43)</f>
        <v>2503071</v>
      </c>
      <c r="D42" s="52">
        <f>IF('450-600 nm'!D32="","",'450-600 nm'!D32)</f>
        <v>-0.57273768613974596</v>
      </c>
      <c r="E42" s="49" t="str">
        <f t="shared" si="0"/>
        <v>NEG</v>
      </c>
      <c r="F42" s="52">
        <f>IF('450-600 nm'!J32="","",'450-600 nm'!J32)</f>
        <v>-3.1088082901554515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/>
    </row>
    <row r="43" spans="1:10" ht="15" customHeight="1">
      <c r="A43" s="36" t="s">
        <v>40</v>
      </c>
      <c r="B43" s="47">
        <f>IF(ECHANTILLONS!B44="","",ECHANTILLONS!B44)</f>
        <v>779</v>
      </c>
      <c r="C43" s="51">
        <f>IF(ECHANTILLONS!C44="","",ECHANTILLONS!C44)</f>
        <v>2503042</v>
      </c>
      <c r="D43" s="52">
        <f>IF('450-600 nm'!E32="","",'450-600 nm'!E32)</f>
        <v>-3.7800687285223518</v>
      </c>
      <c r="E43" s="49" t="str">
        <f t="shared" si="0"/>
        <v>NEG</v>
      </c>
      <c r="F43" s="52">
        <f>IF('450-600 nm'!K32="","",'450-600 nm'!K32)</f>
        <v>-5.5699481865284923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/>
    </row>
    <row r="44" spans="1:10" ht="15" customHeight="1">
      <c r="A44" s="36" t="s">
        <v>41</v>
      </c>
      <c r="B44" s="47">
        <f>IF(ECHANTILLONS!B45="","",ECHANTILLONS!B45)</f>
        <v>780</v>
      </c>
      <c r="C44" s="51">
        <f>IF(ECHANTILLONS!C45="","",ECHANTILLONS!C45)</f>
        <v>2503059</v>
      </c>
      <c r="D44" s="52">
        <f>IF('450-600 nm'!F32="","",'450-600 nm'!F32)</f>
        <v>5.9564719358533864</v>
      </c>
      <c r="E44" s="49" t="str">
        <f t="shared" si="0"/>
        <v>NEG</v>
      </c>
      <c r="F44" s="52">
        <f>IF('450-600 nm'!L32="","",'450-600 nm'!L32)</f>
        <v>-5.1813471502590573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/>
    </row>
    <row r="45" spans="1:10" ht="15" customHeight="1">
      <c r="A45" s="36" t="s">
        <v>42</v>
      </c>
      <c r="B45" s="47">
        <f>IF(ECHANTILLONS!B46="","",ECHANTILLONS!B46)</f>
        <v>781</v>
      </c>
      <c r="C45" s="51">
        <f>IF(ECHANTILLONS!C46="","",ECHANTILLONS!C46)</f>
        <v>2501954</v>
      </c>
      <c r="D45" s="52">
        <f>IF('450-600 nm'!G32="","",'450-600 nm'!G32)</f>
        <v>-16.953035509736523</v>
      </c>
      <c r="E45" s="49" t="str">
        <f t="shared" si="0"/>
        <v>NEG</v>
      </c>
      <c r="F45" s="52">
        <f>IF('450-600 nm'!M32="","",'450-600 nm'!M32)</f>
        <v>-20.207253886010363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/>
    </row>
    <row r="46" spans="1:10" ht="15" customHeight="1">
      <c r="A46" s="36" t="s">
        <v>43</v>
      </c>
      <c r="B46" s="47">
        <f>IF(ECHANTILLONS!B47="","",ECHANTILLONS!B47)</f>
        <v>782</v>
      </c>
      <c r="C46" s="51">
        <f>IF(ECHANTILLONS!C47="","",ECHANTILLONS!C47)</f>
        <v>2503075</v>
      </c>
      <c r="D46" s="52">
        <f>IF('450-600 nm'!B33="","",'450-600 nm'!B33)</f>
        <v>12.943871706758301</v>
      </c>
      <c r="E46" s="49" t="str">
        <f t="shared" si="0"/>
        <v>NEG</v>
      </c>
      <c r="F46" s="52">
        <f>IF('450-600 nm'!H33="","",'450-600 nm'!H33)</f>
        <v>-9.7797927461139835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/>
    </row>
    <row r="47" spans="1:10" ht="15" customHeight="1">
      <c r="A47" s="36" t="s">
        <v>44</v>
      </c>
      <c r="B47" s="47">
        <f>IF(ECHANTILLONS!B48="","",ECHANTILLONS!B48)</f>
        <v>783</v>
      </c>
      <c r="C47" s="51">
        <f>IF(ECHANTILLONS!C48="","",ECHANTILLONS!C48)</f>
        <v>2400944</v>
      </c>
      <c r="D47" s="52">
        <f>IF('450-600 nm'!C33="","",'450-600 nm'!C33)</f>
        <v>10.080183276059557</v>
      </c>
      <c r="E47" s="49" t="str">
        <f t="shared" si="0"/>
        <v>NEG</v>
      </c>
      <c r="F47" s="52">
        <f>IF('450-600 nm'!I33="","",'450-600 nm'!I33)</f>
        <v>-10.233160621761655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/>
    </row>
    <row r="48" spans="1:10" ht="15" customHeight="1">
      <c r="A48" s="36" t="s">
        <v>45</v>
      </c>
      <c r="B48" s="47">
        <f>IF(ECHANTILLONS!B49="","",ECHANTILLONS!B49)</f>
        <v>784</v>
      </c>
      <c r="C48" s="51">
        <f>IF(ECHANTILLONS!C49="","",ECHANTILLONS!C49)</f>
        <v>2503003</v>
      </c>
      <c r="D48" s="52">
        <f>IF('450-600 nm'!D33="","",'450-600 nm'!D33)</f>
        <v>-5.4982817869415896</v>
      </c>
      <c r="E48" s="49" t="str">
        <f t="shared" si="0"/>
        <v>NEG</v>
      </c>
      <c r="F48" s="52">
        <f>IF('450-600 nm'!J33="","",'450-600 nm'!J33)</f>
        <v>-13.406735751295315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/>
    </row>
    <row r="49" spans="1:10" ht="15" customHeight="1">
      <c r="A49" s="36" t="s">
        <v>46</v>
      </c>
      <c r="B49" s="47">
        <f>IF(ECHANTILLONS!B50="","",ECHANTILLONS!B50)</f>
        <v>785</v>
      </c>
      <c r="C49" s="51">
        <f>IF(ECHANTILLONS!C50="","",ECHANTILLONS!C50)</f>
        <v>2501994</v>
      </c>
      <c r="D49" s="52">
        <f>IF('450-600 nm'!E33="","",'450-600 nm'!E33)</f>
        <v>2.0618556701030997</v>
      </c>
      <c r="E49" s="49" t="str">
        <f t="shared" si="0"/>
        <v>NEG</v>
      </c>
      <c r="F49" s="52">
        <f>IF('450-600 nm'!K33="","",'450-600 nm'!K33)</f>
        <v>-20.790155440414509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/>
    </row>
    <row r="50" spans="1:10" ht="15" customHeight="1">
      <c r="A50" s="36" t="s">
        <v>47</v>
      </c>
      <c r="B50" s="47">
        <f>IF(ECHANTILLONS!B51="","",ECHANTILLONS!B51)</f>
        <v>786</v>
      </c>
      <c r="C50" s="51">
        <f>IF(ECHANTILLONS!C51="","",ECHANTILLONS!C51)</f>
        <v>2400433</v>
      </c>
      <c r="D50" s="52">
        <f>IF('450-600 nm'!F33="","",'450-600 nm'!F33)</f>
        <v>-6.1855670103092848</v>
      </c>
      <c r="E50" s="49" t="str">
        <f t="shared" si="0"/>
        <v>NEG</v>
      </c>
      <c r="F50" s="52">
        <f>IF('450-600 nm'!L33="","",'450-600 nm'!L33)</f>
        <v>-19.624352331606218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/>
    </row>
    <row r="51" spans="1:10" ht="15" customHeight="1">
      <c r="A51" s="36" t="s">
        <v>48</v>
      </c>
      <c r="B51" s="47">
        <f>IF(ECHANTILLONS!B52="","",ECHANTILLONS!B52)</f>
        <v>787</v>
      </c>
      <c r="C51" s="51">
        <f>IF(ECHANTILLONS!C52="","",ECHANTILLONS!C52)</f>
        <v>2501949</v>
      </c>
      <c r="D51" s="52">
        <f>IF('450-600 nm'!G33="","",'450-600 nm'!G33)</f>
        <v>-9.278350515463913</v>
      </c>
      <c r="E51" s="49" t="str">
        <f t="shared" si="0"/>
        <v>NEG</v>
      </c>
      <c r="F51" s="52">
        <f>IF('450-600 nm'!M33="","",'450-600 nm'!M33)</f>
        <v>-25.064766839378237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/>
    </row>
    <row r="52" spans="1:10" ht="15" customHeight="1">
      <c r="A52" s="36" t="s">
        <v>49</v>
      </c>
      <c r="B52" s="47">
        <f>IF(ECHANTILLONS!B53="","",ECHANTILLONS!B53)</f>
        <v>788</v>
      </c>
      <c r="C52" s="51">
        <f>IF(ECHANTILLONS!C53="","",ECHANTILLONS!C53)</f>
        <v>2501952</v>
      </c>
      <c r="D52" s="52">
        <f>IF('450-600 nm'!B34="","",'450-600 nm'!B34)</f>
        <v>23.711340206185554</v>
      </c>
      <c r="E52" s="49" t="str">
        <f t="shared" si="0"/>
        <v>NEG</v>
      </c>
      <c r="F52" s="52">
        <f>IF('450-600 nm'!H34="","",'450-600 nm'!H34)</f>
        <v>-7.6424870466321124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/>
    </row>
    <row r="53" spans="1:10" ht="15" customHeight="1">
      <c r="A53" s="36" t="s">
        <v>50</v>
      </c>
      <c r="B53" s="47">
        <f>IF(ECHANTILLONS!B54="","",ECHANTILLONS!B54)</f>
        <v>789</v>
      </c>
      <c r="C53" s="51">
        <f>IF(ECHANTILLONS!C54="","",ECHANTILLONS!C54)</f>
        <v>2501920</v>
      </c>
      <c r="D53" s="52">
        <f>IF('450-600 nm'!C34="","",'450-600 nm'!C34)</f>
        <v>63.001145475372276</v>
      </c>
      <c r="E53" s="49" t="str">
        <f t="shared" si="0"/>
        <v>POS</v>
      </c>
      <c r="F53" s="52">
        <f>IF('450-600 nm'!I34="","",'450-600 nm'!I34)</f>
        <v>79.598445595854926</v>
      </c>
      <c r="G53" s="49" t="str">
        <f t="shared" si="1"/>
        <v>POS</v>
      </c>
      <c r="H53" s="49" t="str">
        <f t="shared" si="2"/>
        <v>P</v>
      </c>
      <c r="I53" s="50" t="str">
        <f>IF(ECHANTILLONS!D54="","",ECHANTILLONS!D54)</f>
        <v/>
      </c>
      <c r="J53" s="50"/>
    </row>
    <row r="54" spans="1:10" ht="15" customHeight="1">
      <c r="A54" s="36" t="s">
        <v>51</v>
      </c>
      <c r="B54" s="47">
        <f>IF(ECHANTILLONS!B55="","",ECHANTILLONS!B55)</f>
        <v>790</v>
      </c>
      <c r="C54" s="51">
        <f>IF(ECHANTILLONS!C55="","",ECHANTILLONS!C55)</f>
        <v>2501915</v>
      </c>
      <c r="D54" s="52">
        <f>IF('450-600 nm'!D34="","",'450-600 nm'!D34)</f>
        <v>9.8510882016036589</v>
      </c>
      <c r="E54" s="49" t="str">
        <f t="shared" si="0"/>
        <v>NEG</v>
      </c>
      <c r="F54" s="52">
        <f>IF('450-600 nm'!J34="","",'450-600 nm'!J34)</f>
        <v>-14.378238341968924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/>
    </row>
    <row r="55" spans="1:10" ht="15" customHeight="1">
      <c r="A55" s="36" t="s">
        <v>52</v>
      </c>
      <c r="B55" s="47">
        <f>IF(ECHANTILLONS!B56="","",ECHANTILLONS!B56)</f>
        <v>791</v>
      </c>
      <c r="C55" s="51">
        <f>IF(ECHANTILLONS!C56="","",ECHANTILLONS!C56)</f>
        <v>2501950</v>
      </c>
      <c r="D55" s="52">
        <f>IF('450-600 nm'!E34="","",'450-600 nm'!E34)</f>
        <v>4.3528064146620977</v>
      </c>
      <c r="E55" s="49" t="str">
        <f t="shared" si="0"/>
        <v>NEG</v>
      </c>
      <c r="F55" s="52">
        <f>IF('450-600 nm'!K34="","",'450-600 nm'!K34)</f>
        <v>-31.670984455958546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/>
    </row>
    <row r="56" spans="1:10" ht="15" customHeight="1">
      <c r="A56" s="36" t="s">
        <v>53</v>
      </c>
      <c r="B56" s="47">
        <f>IF(ECHANTILLONS!B57="","",ECHANTILLONS!B57)</f>
        <v>792</v>
      </c>
      <c r="C56" s="51">
        <f>IF(ECHANTILLONS!C57="","",ECHANTILLONS!C57)</f>
        <v>2500744</v>
      </c>
      <c r="D56" s="52">
        <f>IF('450-600 nm'!F34="","",'450-600 nm'!F34)</f>
        <v>9.8510882016036589</v>
      </c>
      <c r="E56" s="49" t="str">
        <f t="shared" si="0"/>
        <v>NEG</v>
      </c>
      <c r="F56" s="52">
        <f>IF('450-600 nm'!L34="","",'450-600 nm'!L34)</f>
        <v>-24.158031088082893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/>
    </row>
    <row r="57" spans="1:10" ht="15" customHeight="1">
      <c r="A57" s="36" t="s">
        <v>54</v>
      </c>
      <c r="B57" s="47">
        <f>IF(ECHANTILLONS!B58="","",ECHANTILLONS!B58)</f>
        <v>793</v>
      </c>
      <c r="C57" s="51">
        <f>IF(ECHANTILLONS!C58="","",ECHANTILLONS!C58)</f>
        <v>2501338</v>
      </c>
      <c r="D57" s="52">
        <f>IF('450-600 nm'!G34="","",'450-600 nm'!G34)</f>
        <v>-6.9873997709049291</v>
      </c>
      <c r="E57" s="49" t="str">
        <f t="shared" si="0"/>
        <v>NEG</v>
      </c>
      <c r="F57" s="52">
        <f>IF('450-600 nm'!M34="","",'450-600 nm'!M34)</f>
        <v>-36.917098445595855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/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2026-02-23T09:00:03+00:00</Uploaded>
  </documentManagement>
</p:properties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55EE487F-AC48-4138-B6FB-0D4AFA1F3844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2026-02-23T11:30:13Z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