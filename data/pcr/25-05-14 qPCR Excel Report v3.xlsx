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BF8BA7C3-A814-4B4C-A2ED-91582DDEB265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0" yWindow="0" windowWidth="14400" windowHeight="1560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<sst xmlns="http://schemas.openxmlformats.org/spreadsheetml/2006/main" count="433" uniqueCount="76">
  <si>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</si>
  <si>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</si>
  <si>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</si>
  <si>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</si>
  <si>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</si>
  <si>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</si>
  <si>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</si>
  <si>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</si>
  <si>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</si>
  <si>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</si>
  <si>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</si>
  <si>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</si>
  <si>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</si>
  <si>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</si>
  <si>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</si>
  <si>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</si>
  <si>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</si>
  <si>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</si>
  <si>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</si>
  <si>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</si>
  <si>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</si>
  <si>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</si>
  <si>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</si>
  <si>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</si>
  <si>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</si>
  <si>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</si>
  <si>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</si>
  <si>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</si>
  <si>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</si>
  <si>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</si>
  <si>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</si>
  <si>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</si>
  <si>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</si>
  <si>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</si>
  <si>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</si>
  <si>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</si>
  <si>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</si>
  <si>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</si>
  <si>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</si>
  <si>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</si>
  <si>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</si>
  <si>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</si>
  <si>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</si>
  <si>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Dieudo,Louis,Henriette</t>
  </si>
  <si>
    <t>Qrun file name</t>
  </si>
  <si>
    <t>2025-05-14 11.06.16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</si>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</sst>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2" xfId="0" applyNumberFormat="1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31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31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31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31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32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32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32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32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33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33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33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33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34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34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34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34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35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35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35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35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36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36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36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36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37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37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37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37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38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38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38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38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39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39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39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39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40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40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40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40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21.489077013742499</v>
      </c>
      <c r="D42" s="8">
        <v>0.72376193489181395</v>
      </c>
      <c r="E42" s="8">
        <v>0.99990999999999997</v>
      </c>
      <c r="F42" s="8"/>
    </row>
    <row r="43" spans="1:6">
      <c r="A43" s="8">
        <v>42</v>
      </c>
      <c r="B43" s="8" t="s">
        <v>7</v>
      </c>
      <c r="C43" s="8">
        <v>22.0473379597085</v>
      </c>
      <c r="D43" s="8">
        <v>0.83729226604337803</v>
      </c>
      <c r="E43" s="8">
        <v>0.99997000000000003</v>
      </c>
      <c r="F43" s="8"/>
    </row>
    <row r="44" spans="1:6">
      <c r="A44" s="8">
        <v>43</v>
      </c>
      <c r="B44" s="8" t="s">
        <v>7</v>
      </c>
      <c r="C44" s="8">
        <v>22.251367115756501</v>
      </c>
      <c r="D44" s="8">
        <v>0.89525553277311298</v>
      </c>
      <c r="E44" s="8">
        <v>0.99997000000000003</v>
      </c>
      <c r="F44" s="8"/>
    </row>
    <row r="45" spans="1:6">
      <c r="A45" s="8">
        <v>44</v>
      </c>
      <c r="B45" s="8" t="s">
        <v>7</v>
      </c>
      <c r="C45" s="8">
        <v>22.422416019880998</v>
      </c>
      <c r="D45" s="8">
        <v>0.862412361732252</v>
      </c>
      <c r="E45" s="8">
        <v>0.99990000000000001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31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31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31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31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32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32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32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32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33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33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33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33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34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34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34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34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35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35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35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35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36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36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36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36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37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37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37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37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38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38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38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38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39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39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39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39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40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40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40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40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20.169218055417399</v>
      </c>
      <c r="D42" s="9">
        <v>0.81594359497894597</v>
      </c>
      <c r="E42" s="9">
        <v>0.99809999999999999</v>
      </c>
      <c r="F42" s="9"/>
    </row>
    <row r="43" spans="1:6">
      <c r="A43" s="9">
        <v>42</v>
      </c>
      <c r="B43" s="9" t="s">
        <v>7</v>
      </c>
      <c r="C43" s="9">
        <v>20.506327609168299</v>
      </c>
      <c r="D43" s="9">
        <v>0.79015947186772995</v>
      </c>
      <c r="E43" s="9">
        <v>0.99844999999999995</v>
      </c>
      <c r="F43" s="9"/>
    </row>
    <row r="44" spans="1:6">
      <c r="A44" s="9">
        <v>43</v>
      </c>
      <c r="B44" s="9" t="s">
        <v>7</v>
      </c>
      <c r="C44" s="9">
        <v>20.6444155354815</v>
      </c>
      <c r="D44" s="9">
        <v>0.79554213903730298</v>
      </c>
      <c r="E44" s="9">
        <v>0.99860000000000004</v>
      </c>
      <c r="F44" s="9"/>
    </row>
    <row r="45" spans="1:6">
      <c r="A45" s="9">
        <v>44</v>
      </c>
      <c r="B45" s="9" t="s">
        <v>7</v>
      </c>
      <c r="C45" s="9">
        <v>20.7680052359391</v>
      </c>
      <c r="D45" s="9">
        <v>0.82301939870820295</v>
      </c>
      <c r="E45" s="9">
        <v>0.99778999999999995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31</v>
      </c>
      <c r="C2" s="10">
        <v>24.525970113153601</v>
      </c>
      <c r="D2" s="10">
        <v>0.94604640414998398</v>
      </c>
      <c r="E2" s="10">
        <v>0.99865000000000004</v>
      </c>
      <c r="F2" s="10"/>
    </row>
    <row r="3" spans="1:6">
      <c r="A3" s="10">
        <v>2</v>
      </c>
      <c r="B3" s="10">
        <v>31</v>
      </c>
      <c r="C3" s="10">
        <v>24.701289298670101</v>
      </c>
      <c r="D3" s="10">
        <v>0.93882030815613504</v>
      </c>
      <c r="E3" s="10">
        <v>0.99848000000000003</v>
      </c>
      <c r="F3" s="10"/>
    </row>
    <row r="4" spans="1:6">
      <c r="A4" s="10">
        <v>3</v>
      </c>
      <c r="B4" s="10">
        <v>31</v>
      </c>
      <c r="C4" s="10">
        <v>24.667135729307699</v>
      </c>
      <c r="D4" s="10">
        <v>0.94708875159431005</v>
      </c>
      <c r="E4" s="10">
        <v>0.99846999999999997</v>
      </c>
      <c r="F4" s="10"/>
    </row>
    <row r="5" spans="1:6">
      <c r="A5" s="10">
        <v>4</v>
      </c>
      <c r="B5" s="10">
        <v>31</v>
      </c>
      <c r="C5" s="10">
        <v>24.5705636001199</v>
      </c>
      <c r="D5" s="10">
        <v>0.95800024637978298</v>
      </c>
      <c r="E5" s="10">
        <v>0.99846000000000001</v>
      </c>
      <c r="F5" s="10"/>
    </row>
    <row r="6" spans="1:6">
      <c r="A6" s="10">
        <v>5</v>
      </c>
      <c r="B6" s="10">
        <v>32</v>
      </c>
      <c r="C6" s="10">
        <v>23.238476249306299</v>
      </c>
      <c r="D6" s="10">
        <v>0.88079802088030201</v>
      </c>
      <c r="E6" s="10">
        <v>0.99922999999999995</v>
      </c>
      <c r="F6" s="10"/>
    </row>
    <row r="7" spans="1:6">
      <c r="A7" s="10">
        <v>6</v>
      </c>
      <c r="B7" s="10">
        <v>32</v>
      </c>
      <c r="C7" s="10">
        <v>23.224900746836401</v>
      </c>
      <c r="D7" s="10">
        <v>0.90679638029464105</v>
      </c>
      <c r="E7" s="10">
        <v>0.99885999999999997</v>
      </c>
      <c r="F7" s="10"/>
    </row>
    <row r="8" spans="1:6">
      <c r="A8" s="10">
        <v>7</v>
      </c>
      <c r="B8" s="10">
        <v>32</v>
      </c>
      <c r="C8" s="10">
        <v>23.2414831118815</v>
      </c>
      <c r="D8" s="10">
        <v>0.90571180902536796</v>
      </c>
      <c r="E8" s="10">
        <v>0.99885000000000002</v>
      </c>
      <c r="F8" s="10"/>
    </row>
    <row r="9" spans="1:6">
      <c r="A9" s="10">
        <v>8</v>
      </c>
      <c r="B9" s="10">
        <v>32</v>
      </c>
      <c r="C9" s="10">
        <v>23.170724882426001</v>
      </c>
      <c r="D9" s="10">
        <v>0.91329420207535905</v>
      </c>
      <c r="E9" s="10">
        <v>0.99868000000000001</v>
      </c>
      <c r="F9" s="10"/>
    </row>
    <row r="10" spans="1:6">
      <c r="A10" s="10">
        <v>9</v>
      </c>
      <c r="B10" s="10">
        <v>33</v>
      </c>
      <c r="C10" s="10">
        <v>20.269608250954999</v>
      </c>
      <c r="D10" s="10">
        <v>0.89877808883412202</v>
      </c>
      <c r="E10" s="10">
        <v>0.99907000000000001</v>
      </c>
      <c r="F10" s="10"/>
    </row>
    <row r="11" spans="1:6">
      <c r="A11" s="10">
        <v>10</v>
      </c>
      <c r="B11" s="10">
        <v>33</v>
      </c>
      <c r="C11" s="10">
        <v>20.227826885288401</v>
      </c>
      <c r="D11" s="10">
        <v>0.87884985910243696</v>
      </c>
      <c r="E11" s="10">
        <v>0.99917</v>
      </c>
      <c r="F11" s="10"/>
    </row>
    <row r="12" spans="1:6">
      <c r="A12" s="10">
        <v>11</v>
      </c>
      <c r="B12" s="10">
        <v>33</v>
      </c>
      <c r="C12" s="10">
        <v>20.305688299134001</v>
      </c>
      <c r="D12" s="10">
        <v>0.88404111037871502</v>
      </c>
      <c r="E12" s="10">
        <v>0.99892999999999998</v>
      </c>
      <c r="F12" s="10"/>
    </row>
    <row r="13" spans="1:6">
      <c r="A13" s="10">
        <v>12</v>
      </c>
      <c r="B13" s="10">
        <v>33</v>
      </c>
      <c r="C13" s="10">
        <v>20.2352967308438</v>
      </c>
      <c r="D13" s="10">
        <v>0.87456082962769499</v>
      </c>
      <c r="E13" s="10">
        <v>0.99922</v>
      </c>
      <c r="F13" s="10"/>
    </row>
    <row r="14" spans="1:6">
      <c r="A14" s="10">
        <v>13</v>
      </c>
      <c r="B14" s="10">
        <v>34</v>
      </c>
      <c r="C14" s="10">
        <v>20.406944409904298</v>
      </c>
      <c r="D14" s="10">
        <v>0.912571314019473</v>
      </c>
      <c r="E14" s="10">
        <v>0.99868000000000001</v>
      </c>
      <c r="F14" s="10"/>
    </row>
    <row r="15" spans="1:6">
      <c r="A15" s="10">
        <v>14</v>
      </c>
      <c r="B15" s="10">
        <v>34</v>
      </c>
      <c r="C15" s="10">
        <v>20.229387217755601</v>
      </c>
      <c r="D15" s="10">
        <v>0.90981737728413203</v>
      </c>
      <c r="E15" s="10">
        <v>0.99880000000000002</v>
      </c>
      <c r="F15" s="10"/>
    </row>
    <row r="16" spans="1:6">
      <c r="A16" s="10">
        <v>15</v>
      </c>
      <c r="B16" s="10">
        <v>34</v>
      </c>
      <c r="C16" s="10">
        <v>20.313694667326502</v>
      </c>
      <c r="D16" s="10">
        <v>0.87853791829167804</v>
      </c>
      <c r="E16" s="10">
        <v>0.99904999999999999</v>
      </c>
      <c r="F16" s="10"/>
    </row>
    <row r="17" spans="1:6">
      <c r="A17" s="10">
        <v>16</v>
      </c>
      <c r="B17" s="10">
        <v>34</v>
      </c>
      <c r="C17" s="10">
        <v>20.2692884082993</v>
      </c>
      <c r="D17" s="10">
        <v>0.88714177389152105</v>
      </c>
      <c r="E17" s="10">
        <v>0.99912000000000001</v>
      </c>
      <c r="F17" s="10"/>
    </row>
    <row r="18" spans="1:6">
      <c r="A18" s="10">
        <v>17</v>
      </c>
      <c r="B18" s="10">
        <v>35</v>
      </c>
      <c r="C18" s="10">
        <v>20.9605494505373</v>
      </c>
      <c r="D18" s="10">
        <v>0.95230476906206396</v>
      </c>
      <c r="E18" s="10">
        <v>0.99880999999999998</v>
      </c>
      <c r="F18" s="10"/>
    </row>
    <row r="19" spans="1:6">
      <c r="A19" s="10">
        <v>18</v>
      </c>
      <c r="B19" s="10">
        <v>35</v>
      </c>
      <c r="C19" s="10">
        <v>21.062273071238899</v>
      </c>
      <c r="D19" s="10">
        <v>0.92334728461134097</v>
      </c>
      <c r="E19" s="10">
        <v>0.99833000000000005</v>
      </c>
      <c r="F19" s="10"/>
    </row>
    <row r="20" spans="1:6">
      <c r="A20" s="10">
        <v>19</v>
      </c>
      <c r="B20" s="10">
        <v>35</v>
      </c>
      <c r="C20" s="10">
        <v>21.094848107840999</v>
      </c>
      <c r="D20" s="10">
        <v>0.92602484889356595</v>
      </c>
      <c r="E20" s="10">
        <v>0.99822</v>
      </c>
      <c r="F20" s="10"/>
    </row>
    <row r="21" spans="1:6">
      <c r="A21" s="10">
        <v>20</v>
      </c>
      <c r="B21" s="10">
        <v>35</v>
      </c>
      <c r="C21" s="10">
        <v>20.902275826983502</v>
      </c>
      <c r="D21" s="10">
        <v>0.93638793347390503</v>
      </c>
      <c r="E21" s="10">
        <v>0.99880999999999998</v>
      </c>
      <c r="F21" s="10"/>
    </row>
    <row r="22" spans="1:6">
      <c r="A22" s="10">
        <v>21</v>
      </c>
      <c r="B22" s="10">
        <v>36</v>
      </c>
      <c r="C22" s="10">
        <v>20.860270588977201</v>
      </c>
      <c r="D22" s="10">
        <v>0.94675560018468896</v>
      </c>
      <c r="E22" s="10">
        <v>0.99860000000000004</v>
      </c>
      <c r="F22" s="10"/>
    </row>
    <row r="23" spans="1:6">
      <c r="A23" s="10">
        <v>22</v>
      </c>
      <c r="B23" s="10">
        <v>36</v>
      </c>
      <c r="C23" s="10">
        <v>20.997882664471799</v>
      </c>
      <c r="D23" s="10">
        <v>0.94399035307378398</v>
      </c>
      <c r="E23" s="10">
        <v>0.99853000000000003</v>
      </c>
      <c r="F23" s="10"/>
    </row>
    <row r="24" spans="1:6">
      <c r="A24" s="10">
        <v>23</v>
      </c>
      <c r="B24" s="10">
        <v>36</v>
      </c>
      <c r="C24" s="10">
        <v>20.996683506476302</v>
      </c>
      <c r="D24" s="10">
        <v>0.93181138300734501</v>
      </c>
      <c r="E24" s="10">
        <v>0.99865999999999999</v>
      </c>
      <c r="F24" s="10"/>
    </row>
    <row r="25" spans="1:6">
      <c r="A25" s="10">
        <v>24</v>
      </c>
      <c r="B25" s="10">
        <v>36</v>
      </c>
      <c r="C25" s="10">
        <v>20.898742905528501</v>
      </c>
      <c r="D25" s="10">
        <v>0.92079836781063995</v>
      </c>
      <c r="E25" s="10">
        <v>0.99890999999999996</v>
      </c>
      <c r="F25" s="10"/>
    </row>
    <row r="26" spans="1:6">
      <c r="A26" s="10">
        <v>25</v>
      </c>
      <c r="B26" s="10">
        <v>37</v>
      </c>
      <c r="C26" s="10">
        <v>25.018369909805202</v>
      </c>
      <c r="D26" s="10">
        <v>0.88262020973062405</v>
      </c>
      <c r="E26" s="10">
        <v>0.99936999999999998</v>
      </c>
      <c r="F26" s="10"/>
    </row>
    <row r="27" spans="1:6">
      <c r="A27" s="10">
        <v>26</v>
      </c>
      <c r="B27" s="10">
        <v>37</v>
      </c>
      <c r="C27" s="10">
        <v>25.028949263244598</v>
      </c>
      <c r="D27" s="10">
        <v>0.90757646587015295</v>
      </c>
      <c r="E27" s="10">
        <v>0.999</v>
      </c>
      <c r="F27" s="10"/>
    </row>
    <row r="28" spans="1:6">
      <c r="A28" s="10">
        <v>27</v>
      </c>
      <c r="B28" s="10">
        <v>37</v>
      </c>
      <c r="C28" s="10">
        <v>25.059854141234599</v>
      </c>
      <c r="D28" s="10">
        <v>0.90421442743520097</v>
      </c>
      <c r="E28" s="10">
        <v>0.99900999999999995</v>
      </c>
      <c r="F28" s="10"/>
    </row>
    <row r="29" spans="1:6">
      <c r="A29" s="10">
        <v>28</v>
      </c>
      <c r="B29" s="10">
        <v>37</v>
      </c>
      <c r="C29" s="10">
        <v>25.0488347433621</v>
      </c>
      <c r="D29" s="10">
        <v>0.90789559272245202</v>
      </c>
      <c r="E29" s="10">
        <v>0.99900999999999995</v>
      </c>
      <c r="F29" s="10"/>
    </row>
    <row r="30" spans="1:6">
      <c r="A30" s="10">
        <v>29</v>
      </c>
      <c r="B30" s="10">
        <v>38</v>
      </c>
      <c r="C30" s="10">
        <v>22.759453764532601</v>
      </c>
      <c r="D30" s="10">
        <v>0.92828271203624602</v>
      </c>
      <c r="E30" s="10">
        <v>0.99890000000000001</v>
      </c>
      <c r="F30" s="10"/>
    </row>
    <row r="31" spans="1:6">
      <c r="A31" s="10">
        <v>30</v>
      </c>
      <c r="B31" s="10">
        <v>38</v>
      </c>
      <c r="C31" s="10">
        <v>23.001719868248902</v>
      </c>
      <c r="D31" s="10">
        <v>0.91946909700655299</v>
      </c>
      <c r="E31" s="10">
        <v>0.99880000000000002</v>
      </c>
      <c r="F31" s="10"/>
    </row>
    <row r="32" spans="1:6">
      <c r="A32" s="10">
        <v>31</v>
      </c>
      <c r="B32" s="10">
        <v>38</v>
      </c>
      <c r="C32" s="10">
        <v>22.993397085802901</v>
      </c>
      <c r="D32" s="10">
        <v>0.91722658420550796</v>
      </c>
      <c r="E32" s="10">
        <v>0.99875999999999998</v>
      </c>
      <c r="F32" s="10"/>
    </row>
    <row r="33" spans="1:6">
      <c r="A33" s="10">
        <v>32</v>
      </c>
      <c r="B33" s="10">
        <v>38</v>
      </c>
      <c r="C33" s="10">
        <v>23.1013729224189</v>
      </c>
      <c r="D33" s="10">
        <v>0.92984517149564305</v>
      </c>
      <c r="E33" s="10">
        <v>0.99856999999999996</v>
      </c>
      <c r="F33" s="10"/>
    </row>
    <row r="34" spans="1:6">
      <c r="A34" s="10">
        <v>33</v>
      </c>
      <c r="B34" s="10">
        <v>39</v>
      </c>
      <c r="C34" s="10">
        <v>21.1084160775473</v>
      </c>
      <c r="D34" s="10">
        <v>0.91604874206179998</v>
      </c>
      <c r="E34" s="10">
        <v>0.99865000000000004</v>
      </c>
      <c r="F34" s="10"/>
    </row>
    <row r="35" spans="1:6">
      <c r="A35" s="10">
        <v>34</v>
      </c>
      <c r="B35" s="10">
        <v>39</v>
      </c>
      <c r="C35" s="10">
        <v>21.1176548332556</v>
      </c>
      <c r="D35" s="10">
        <v>0.91395600676144095</v>
      </c>
      <c r="E35" s="10">
        <v>0.99843000000000004</v>
      </c>
      <c r="F35" s="10"/>
    </row>
    <row r="36" spans="1:6">
      <c r="A36" s="10">
        <v>35</v>
      </c>
      <c r="B36" s="10">
        <v>39</v>
      </c>
      <c r="C36" s="10">
        <v>21.056776820308801</v>
      </c>
      <c r="D36" s="10">
        <v>0.91093433396083001</v>
      </c>
      <c r="E36" s="10">
        <v>0.99858000000000002</v>
      </c>
      <c r="F36" s="10"/>
    </row>
    <row r="37" spans="1:6">
      <c r="A37" s="10">
        <v>36</v>
      </c>
      <c r="B37" s="10">
        <v>39</v>
      </c>
      <c r="C37" s="10">
        <v>21.000709499599399</v>
      </c>
      <c r="D37" s="10">
        <v>0.91563484907466597</v>
      </c>
      <c r="E37" s="10">
        <v>0.99902000000000002</v>
      </c>
      <c r="F37" s="10"/>
    </row>
    <row r="38" spans="1:6">
      <c r="A38" s="10">
        <v>37</v>
      </c>
      <c r="B38" s="10">
        <v>40</v>
      </c>
      <c r="C38" s="10">
        <v>23.000173204753601</v>
      </c>
      <c r="D38" s="10">
        <v>0.92015260403628096</v>
      </c>
      <c r="E38" s="10">
        <v>0.99912999999999996</v>
      </c>
      <c r="F38" s="10"/>
    </row>
    <row r="39" spans="1:6">
      <c r="A39" s="10">
        <v>38</v>
      </c>
      <c r="B39" s="10">
        <v>40</v>
      </c>
      <c r="C39" s="10">
        <v>23.107580164559899</v>
      </c>
      <c r="D39" s="10">
        <v>0.90692108162967899</v>
      </c>
      <c r="E39" s="10">
        <v>0.99870000000000003</v>
      </c>
      <c r="F39" s="10"/>
    </row>
    <row r="40" spans="1:6">
      <c r="A40" s="10">
        <v>39</v>
      </c>
      <c r="B40" s="10">
        <v>40</v>
      </c>
      <c r="C40" s="10">
        <v>23.087716800366099</v>
      </c>
      <c r="D40" s="10">
        <v>0.89500090824728695</v>
      </c>
      <c r="E40" s="10">
        <v>0.99888999999999994</v>
      </c>
      <c r="F40" s="10"/>
    </row>
    <row r="41" spans="1:6">
      <c r="A41" s="10">
        <v>40</v>
      </c>
      <c r="B41" s="10">
        <v>40</v>
      </c>
      <c r="C41" s="10">
        <v>23.162607510449899</v>
      </c>
      <c r="D41" s="10">
        <v>0.90752890374858797</v>
      </c>
      <c r="E41" s="10">
        <v>0.99885000000000002</v>
      </c>
      <c r="F41" s="10"/>
    </row>
    <row r="42" spans="1:6">
      <c r="A42" s="10">
        <v>41</v>
      </c>
      <c r="B42" s="10" t="s">
        <v>7</v>
      </c>
      <c r="C42" s="10">
        <v>34.341922479360598</v>
      </c>
      <c r="D42" s="10">
        <v>0.58353992154310197</v>
      </c>
      <c r="E42" s="10">
        <v>0.99816000000000005</v>
      </c>
      <c r="F42" s="10"/>
    </row>
    <row r="43" spans="1:6">
      <c r="A43" s="10">
        <v>42</v>
      </c>
      <c r="B43" s="10" t="s">
        <v>7</v>
      </c>
      <c r="C43" s="10">
        <v>34.971471145783298</v>
      </c>
      <c r="D43" s="10">
        <v>0.57066229897895304</v>
      </c>
      <c r="E43" s="10">
        <v>0.99726999999999999</v>
      </c>
      <c r="F43" s="10"/>
    </row>
    <row r="44" spans="1:6">
      <c r="A44" s="10">
        <v>43</v>
      </c>
      <c r="B44" s="10" t="s">
        <v>7</v>
      </c>
      <c r="C44" s="10">
        <v>32.441119387828898</v>
      </c>
      <c r="D44" s="10">
        <v>0.69380890246420002</v>
      </c>
      <c r="E44" s="10">
        <v>0.99934999999999996</v>
      </c>
      <c r="F44" s="10"/>
    </row>
    <row r="45" spans="1:6">
      <c r="A45" s="10">
        <v>44</v>
      </c>
      <c r="B45" s="10" t="s">
        <v>7</v>
      </c>
      <c r="C45" s="10">
        <v>36.009344150474902</v>
      </c>
      <c r="D45" s="10">
        <v>0.50576014334046604</v>
      </c>
      <c r="E45" s="10">
        <v>0.99453000000000003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31</v>
      </c>
      <c r="B2">
        <f>IF('177T'!C2="", "", '177T'!C2)</f>
        <v>-1</v>
      </c>
      <c r="C2">
        <f>IF('18S2'!C2="", "", '18S2'!C2)</f>
        <v>-1</v>
      </c>
      <c r="D2">
        <f>IF(RNAseP!C2="", "", RNAseP!C2)</f>
        <v>24.525970113153601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31</v>
      </c>
      <c r="B3">
        <f>IF('177T'!C3="", "", '177T'!C3)</f>
        <v>-1</v>
      </c>
      <c r="C3">
        <f>IF('18S2'!C3="", "", '18S2'!C3)</f>
        <v>-1</v>
      </c>
      <c r="D3">
        <f>IF(RNAseP!C3="", "", RNAseP!C3)</f>
        <v>24.701289298670101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31</v>
      </c>
      <c r="B4">
        <f>IF('177T'!C4="", "", '177T'!C4)</f>
        <v>-1</v>
      </c>
      <c r="C4">
        <f>IF('18S2'!C4="", "", '18S2'!C4)</f>
        <v>-1</v>
      </c>
      <c r="D4">
        <f>IF(RNAseP!C4="", "", RNAseP!C4)</f>
        <v>24.667135729307699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31</v>
      </c>
      <c r="B5">
        <f>IF('177T'!C5="", "", '177T'!C5)</f>
        <v>-1</v>
      </c>
      <c r="C5">
        <f>IF('18S2'!C5="", "", '18S2'!C5)</f>
        <v>-1</v>
      </c>
      <c r="D5">
        <f>IF(RNAseP!C5="", "", RNAseP!C5)</f>
        <v>24.5705636001199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32</v>
      </c>
      <c r="B6">
        <f>IF('177T'!C6="", "", '177T'!C6)</f>
        <v>-1</v>
      </c>
      <c r="C6">
        <f>IF('18S2'!C6="", "", '18S2'!C6)</f>
        <v>-1</v>
      </c>
      <c r="D6">
        <f>IF(RNAseP!C6="", "", RNAseP!C6)</f>
        <v>23.238476249306299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32</v>
      </c>
      <c r="B7">
        <f>IF('177T'!C7="", "", '177T'!C7)</f>
        <v>-1</v>
      </c>
      <c r="C7">
        <f>IF('18S2'!C7="", "", '18S2'!C7)</f>
        <v>-1</v>
      </c>
      <c r="D7">
        <f>IF(RNAseP!C7="", "", RNAseP!C7)</f>
        <v>23.224900746836401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32</v>
      </c>
      <c r="B8">
        <f>IF('177T'!C8="", "", '177T'!C8)</f>
        <v>-1</v>
      </c>
      <c r="C8">
        <f>IF('18S2'!C8="", "", '18S2'!C8)</f>
        <v>-1</v>
      </c>
      <c r="D8">
        <f>IF(RNAseP!C8="", "", RNAseP!C8)</f>
        <v>23.2414831118815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32</v>
      </c>
      <c r="B9">
        <f>IF('177T'!C9="", "", '177T'!C9)</f>
        <v>-1</v>
      </c>
      <c r="C9">
        <f>IF('18S2'!C9="", "", '18S2'!C9)</f>
        <v>-1</v>
      </c>
      <c r="D9">
        <f>IF(RNAseP!C9="", "", RNAseP!C9)</f>
        <v>23.170724882426001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33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20.269608250954999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33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20.227826885288401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33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20.305688299134001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33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20.2352967308438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34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20.406944409904298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34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20.229387217755601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34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20.313694667326502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34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20.2692884082993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35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20.9605494505373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35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21.062273071238899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35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21.094848107840999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35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20.902275826983502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36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20.860270588977201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36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20.997882664471799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36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20.996683506476302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36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20.898742905528501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37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25.018369909805202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37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25.028949263244598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37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25.059854141234599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37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25.0488347433621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38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22.759453764532601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38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23.001719868248902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38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22.993397085802901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38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23.1013729224189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39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21.1084160775473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39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21.1176548332556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39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21.056776820308801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39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21.000709499599399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40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23.000173204753601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40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23.107580164559899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40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23.087716800366099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40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23.162607510449899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21.489077013742499</v>
      </c>
      <c r="C42">
        <f>IF('18S2'!C42="", "", '18S2'!C42)</f>
        <v>20.169218055417399</v>
      </c>
      <c r="D42">
        <f>IF(RNAseP!C42="", "", RNAseP!C42)</f>
        <v>34.341922479360598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22.0473379597085</v>
      </c>
      <c r="C43">
        <f>IF('18S2'!C43="", "", '18S2'!C43)</f>
        <v>20.506327609168299</v>
      </c>
      <c r="D43">
        <f>IF(RNAseP!C43="", "", RNAseP!C43)</f>
        <v>34.971471145783298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22.251367115756501</v>
      </c>
      <c r="C44">
        <f>IF('18S2'!C44="", "", '18S2'!C44)</f>
        <v>20.6444155354815</v>
      </c>
      <c r="D44">
        <f>IF(RNAseP!C44="", "", RNAseP!C44)</f>
        <v>32.441119387828898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22.422416019880998</v>
      </c>
      <c r="C45">
        <f>IF('18S2'!C45="", "", '18S2'!C45)</f>
        <v>20.7680052359391</v>
      </c>
      <c r="D45">
        <f>IF(RNAseP!C45="", "", RNAseP!C45)</f>
        <v>36.009344150474902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B16" sqref="B16:B2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8" width="13.42578125" style="12" customWidth="1"/>
    <col min="9" max="16384" width="9.140625" style="12"/>
  </cols>
  <sheetData>
    <row r="1" spans="1:8" ht="18.75">
      <c r="A1" s="29" t="s">
        <v>40</v>
      </c>
      <c r="B1" s="29"/>
    </row>
    <row r="3" spans="1:8">
      <c r="A3" s="23" t="s">
        <v>41</v>
      </c>
      <c r="B3" s="24"/>
      <c r="C3" s="25">
        <v>45791</v>
      </c>
      <c r="D3" s="26"/>
      <c r="E3" s="26"/>
      <c r="F3" s="27"/>
    </row>
    <row r="4" spans="1:8">
      <c r="A4" s="23" t="s">
        <v>42</v>
      </c>
      <c r="B4" s="24"/>
      <c r="C4" s="28" t="s">
        <v>43</v>
      </c>
      <c r="D4" s="26"/>
      <c r="E4" s="26"/>
      <c r="F4" s="27"/>
    </row>
    <row r="5" spans="1:8">
      <c r="A5" s="23" t="s">
        <v>44</v>
      </c>
      <c r="B5" s="24"/>
      <c r="C5" s="28" t="s">
        <v>45</v>
      </c>
      <c r="D5" s="26"/>
      <c r="E5" s="26"/>
      <c r="F5" s="27"/>
    </row>
    <row r="6" spans="1:8">
      <c r="A6" s="23" t="s">
        <v>46</v>
      </c>
      <c r="B6" s="24"/>
      <c r="C6" s="28">
        <v>301</v>
      </c>
      <c r="D6" s="26"/>
      <c r="E6" s="26"/>
      <c r="F6" s="27"/>
    </row>
    <row r="7" spans="1:8">
      <c r="A7" s="23" t="s">
        <v>47</v>
      </c>
      <c r="B7" s="24"/>
      <c r="C7" s="28">
        <v>66262118</v>
      </c>
      <c r="D7" s="26"/>
      <c r="E7" s="26"/>
      <c r="F7" s="27"/>
    </row>
    <row r="8" spans="1:8">
      <c r="A8" s="23" t="s">
        <v>48</v>
      </c>
      <c r="B8" s="24"/>
      <c r="C8" s="25">
        <v>45771</v>
      </c>
      <c r="D8" s="26"/>
      <c r="E8" s="26"/>
      <c r="F8" s="27"/>
    </row>
    <row r="9" spans="1:8">
      <c r="A9" s="23" t="s">
        <v>49</v>
      </c>
      <c r="B9" s="24"/>
      <c r="C9" s="25">
        <v>45771</v>
      </c>
      <c r="D9" s="26"/>
      <c r="E9" s="26"/>
      <c r="F9" s="27"/>
    </row>
    <row r="10" spans="1:8">
      <c r="A10" s="23" t="s">
        <v>50</v>
      </c>
      <c r="B10" s="24"/>
      <c r="C10" s="25">
        <v>45771</v>
      </c>
      <c r="D10" s="26"/>
      <c r="E10" s="26"/>
      <c r="F10" s="27"/>
    </row>
    <row r="11" spans="1:8">
      <c r="A11" s="23" t="s">
        <v>51</v>
      </c>
      <c r="B11" s="24"/>
      <c r="C11" s="28">
        <v>2311257</v>
      </c>
      <c r="D11" s="26"/>
      <c r="E11" s="26"/>
      <c r="F11" s="27"/>
    </row>
    <row r="12" spans="1:8">
      <c r="A12" s="23" t="s">
        <v>52</v>
      </c>
      <c r="B12" s="24"/>
      <c r="C12" s="25">
        <v>45771</v>
      </c>
      <c r="D12" s="26"/>
      <c r="E12" s="26"/>
      <c r="F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12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31</v>
      </c>
      <c r="B16" s="11">
        <v>2402800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24,6 +/- 0,1</v>
      </c>
      <c r="G16" s="12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32</v>
      </c>
      <c r="B17" s="11">
        <v>2402825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23,2 +/- 0</v>
      </c>
      <c r="G17" s="12" t="s">
        <v>56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33</v>
      </c>
      <c r="B18" s="11">
        <v>2401082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20,3 +/- 0</v>
      </c>
      <c r="G18" s="12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34</v>
      </c>
      <c r="B19" s="11">
        <v>2402834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20,3 +/- 0,1</v>
      </c>
      <c r="G19" s="12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35</v>
      </c>
      <c r="B20" s="11">
        <v>2402776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 +/- 0,1</v>
      </c>
      <c r="G20" s="12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36</v>
      </c>
      <c r="B21" s="11">
        <v>2500019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20,9 +/- 0,1</v>
      </c>
      <c r="G21" s="12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37</v>
      </c>
      <c r="B22" s="11">
        <v>2402586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 +/- 0</v>
      </c>
      <c r="G22" s="12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38</v>
      </c>
      <c r="B23" s="11">
        <v>2402831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 +/- 0,1</v>
      </c>
      <c r="G23" s="12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39</v>
      </c>
      <c r="B24" s="11">
        <v>2400780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21,1 +/- 0,1</v>
      </c>
      <c r="G24" s="12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40</v>
      </c>
      <c r="B25" s="11">
        <v>2400818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23,1 +/- 0,1</v>
      </c>
      <c r="G25" s="12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22,1 +/- 0,4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20,5 +/- 0,3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34,4 +/- 1,5</v>
      </c>
      <c r="G26" s="12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  <c r="G27" s="12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31" t="s">
        <v>59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30" t="s">
        <v>62</v>
      </c>
      <c r="D30" s="30"/>
      <c r="E30" s="20"/>
    </row>
    <row r="31" spans="1:12">
      <c r="A31" s="18" t="s">
        <v>20</v>
      </c>
      <c r="B31" s="18" t="s">
        <v>21</v>
      </c>
      <c r="C31" s="30" t="s">
        <v>63</v>
      </c>
      <c r="D31" s="30"/>
      <c r="E31" s="20"/>
    </row>
    <row r="32" spans="1:12">
      <c r="A32" s="18" t="s">
        <v>22</v>
      </c>
      <c r="B32" s="18" t="s">
        <v>64</v>
      </c>
      <c r="C32" s="30" t="s">
        <v>65</v>
      </c>
      <c r="D32" s="30"/>
      <c r="E32" s="20"/>
    </row>
    <row r="33" spans="1:5">
      <c r="A33" s="18" t="s">
        <v>66</v>
      </c>
      <c r="B33" s="18" t="s">
        <v>67</v>
      </c>
      <c r="C33" s="30" t="s">
        <v>68</v>
      </c>
      <c r="D33" s="30"/>
      <c r="E33" s="20"/>
    </row>
    <row r="34" spans="1:5">
      <c r="A34" s="18" t="s">
        <v>17</v>
      </c>
      <c r="B34" s="18" t="s">
        <v>69</v>
      </c>
      <c r="C34" s="30" t="s">
        <v>70</v>
      </c>
      <c r="D34" s="30"/>
      <c r="E34" s="20"/>
    </row>
    <row r="35" spans="1:5">
      <c r="A35" s="18" t="s">
        <v>71</v>
      </c>
      <c r="B35" s="18" t="s">
        <v>72</v>
      </c>
      <c r="C35" s="30" t="s">
        <v>73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xx3HKKQrf4B9cH2Ra6zXVUow0sVQhypJI+d9IpWgF/hqWXFEAsmDn2ciCbbk9fxjUtNeluPpb3ohAun1VsyH7g==" saltValue="xIn8O/Ir3EUYjvA6rAHc6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C6:F6"/>
    <mergeCell ref="A10:B10"/>
    <mergeCell ref="A11:B11"/>
    <mergeCell ref="C5:F5"/>
    <mergeCell ref="C4:F4"/>
    <mergeCell ref="C3:F3"/>
    <mergeCell ref="A5:B5"/>
    <mergeCell ref="A4:B4"/>
    <mergeCell ref="A3:B3"/>
    <mergeCell ref="A12:B12"/>
    <mergeCell ref="C10:F10"/>
    <mergeCell ref="C11:F11"/>
    <mergeCell ref="C12:F12"/>
    <mergeCell ref="A7:B7"/>
    <mergeCell ref="A8:B8"/>
    <mergeCell ref="A9:B9"/>
    <mergeCell ref="C7:F7"/>
    <mergeCell ref="C8:F8"/>
    <mergeCell ref="C9:F9"/>
  </mergeCells>
  <conditionalFormatting sqref="C15:C27">
    <cfRule type="cellIs" dxfId="8" priority="4" operator="equal">
      <formula>"OK"</formula>
    </cfRule>
    <cfRule type="cellIs" dxfId="7" priority="5" operator="equal">
      <formula>"N"</formula>
    </cfRule>
    <cfRule type="cellIs" dxfId="6" priority="6" operator="equal">
      <formula>"C"</formula>
    </cfRule>
  </conditionalFormatting>
  <conditionalFormatting sqref="C16:C25">
    <cfRule type="cellIs" dxfId="5" priority="1" operator="equal">
      <formula>"R"</formula>
    </cfRule>
    <cfRule type="cellIs" dxfId="4" priority="3" operator="equal">
      <formula>"P"</formula>
    </cfRule>
  </conditionalFormatting>
  <conditionalFormatting sqref="C16:C27">
    <cfRule type="cellIs" dxfId="3" priority="2" operator="equal">
      <formula>"S"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31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24,6 +/- 0,1</v>
      </c>
    </row>
    <row r="3" spans="1:11">
      <c r="A3" s="3">
        <f>Report!A17</f>
        <v>32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23,2 +/- 0</v>
      </c>
    </row>
    <row r="4" spans="1:11">
      <c r="A4" s="3">
        <f>Report!A18</f>
        <v>33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20,3 +/- 0</v>
      </c>
    </row>
    <row r="5" spans="1:11">
      <c r="A5" s="3">
        <f>Report!A19</f>
        <v>34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20,3 +/- 0,1</v>
      </c>
    </row>
    <row r="6" spans="1:11">
      <c r="A6" s="3">
        <f>Report!A20</f>
        <v>35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 +/- 0,1</v>
      </c>
    </row>
    <row r="7" spans="1:11">
      <c r="A7" s="3">
        <f>Report!A21</f>
        <v>36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20,9 +/- 0,1</v>
      </c>
      <c r="K7" s="4"/>
    </row>
    <row r="8" spans="1:11">
      <c r="A8" s="3">
        <f>Report!A22</f>
        <v>37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 +/- 0</v>
      </c>
    </row>
    <row r="9" spans="1:11">
      <c r="A9" s="3">
        <f>Report!A23</f>
        <v>38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 +/- 0,1</v>
      </c>
    </row>
    <row r="10" spans="1:11">
      <c r="A10" s="3">
        <f>Report!A24</f>
        <v>39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21,1 +/- 0,1</v>
      </c>
    </row>
    <row r="11" spans="1:11">
      <c r="A11" s="3">
        <f>Report!A25</f>
        <v>40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23,1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22,1 +/- 0,4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20,5 +/- 0,3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34,4 +/- 1,5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2025-05-19T11:55:27+00:00</Uploaded>
  </documentManagement>
</p:properties>
</file>

<file path=customXml/itemProps1.xml><?xml version="1.0" encoding="utf-8"?>
<ds:datastoreItem xmlns:ds="http://schemas.openxmlformats.org/officeDocument/2006/customXml" ds:itemID="{9F404203-078C-45B1-870C-B67DB180D274}"/>
</file>

<file path=customXml/itemProps2.xml><?xml version="1.0" encoding="utf-8"?>
<ds:datastoreItem xmlns:ds="http://schemas.openxmlformats.org/officeDocument/2006/customXml" ds:itemID="{F091B409-3745-467B-99BA-C418CC457E5D}"/>
</file>

<file path=customXml/itemProps3.xml><?xml version="1.0" encoding="utf-8"?>
<ds:datastoreItem xmlns:ds="http://schemas.openxmlformats.org/officeDocument/2006/customXml" ds:itemID="{281F9324-669C-490B-8FEA-656066B9D3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2025-07-18T09:44:00Z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