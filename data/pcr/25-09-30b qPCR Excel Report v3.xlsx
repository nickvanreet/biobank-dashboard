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03 - Biologie Moleculaire\0302 - Résultats qPCR\"/>
    </mc:Choice>
  </mc:AlternateContent>
  <xr:revisionPtr revIDLastSave="0" documentId="13_ncr:1_{A81612AE-6AE3-4BF8-BBEA-9728D8B45656}" xr6:coauthVersionLast="47" xr6:coauthVersionMax="47" xr10:uidLastSave="{00000000-0000-0000-0000-000000000000}"/>
  <workbookProtection workbookAlgorithmName="SHA-512" workbookHashValue="FcbyUqrXnh2TLg1e6/eYHKwKRjcDVANM8eX5p+ECp3HwxksH1ERSKWSPiw74CxcrXssttWcbGyy8fL2xGgu7gg==" workbookSaltValue="lrIq1UdAQHzvKAkdj9Yn0g==" workbookSpinCount="100000" lockStructure="1"/>
  <bookViews>
    <workbookView xWindow="14400" yWindow="0" windowWidth="14400" windowHeight="15600" firstSheet="7" activeTab="7" xr2:uid="{00000000-000D-0000-FFFF-FFFF00000000}"/>
  </bookViews>
  <sheets>
    <sheet name="177T" sheetId="1" r:id="rId1"/>
    <sheet name="18S2" sheetId="2" r:id="rId2"/>
    <sheet name="RNAseP" sheetId="3" r:id="rId3"/>
    <sheet name="Analysis" sheetId="4" state="hidden" r:id="rId4"/>
    <sheet name="Cutoff" sheetId="8" state="hidden" r:id="rId5"/>
    <sheet name="Decision" sheetId="7" state="hidden" r:id="rId6"/>
    <sheet name="DecisionC" sheetId="11" state="hidden" r:id="rId7"/>
    <sheet name="Report" sheetId="12" r:id="rId8"/>
    <sheet name="Replicates" sheetId="10" r:id="rId9"/>
  </sheets>
  <definedNames>
    <definedName name="_xlnm._FilterDatabase" localSheetId="3" hidden="1">Analysis!$A$1:$H$1</definedName>
    <definedName name="_xlnm._FilterDatabase" localSheetId="5" hidden="1">Decision!$A$1:$E$28</definedName>
    <definedName name="_xlnm._FilterDatabase" localSheetId="6" hidden="1">DecisionC!$A$1:$F$55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5" i="12" l="1" a="1"/>
  <c r="A15" i="12" s="1"/>
  <c r="A1" i="10" l="1"/>
  <c r="A3" i="4" l="1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2" i="4"/>
  <c r="A16" i="12" l="1" a="1"/>
  <c r="A16" i="12" s="1"/>
  <c r="A17" i="12" s="1" a="1"/>
  <c r="A17" i="12" s="1"/>
  <c r="F29" i="12" a="1"/>
  <c r="F29" i="12" s="1"/>
  <c r="E48" i="4"/>
  <c r="F48" i="4"/>
  <c r="G48" i="4"/>
  <c r="E49" i="4"/>
  <c r="F49" i="4"/>
  <c r="G49" i="4"/>
  <c r="E42" i="4"/>
  <c r="F42" i="4"/>
  <c r="G42" i="4"/>
  <c r="E44" i="4"/>
  <c r="F44" i="4"/>
  <c r="G44" i="4"/>
  <c r="E43" i="4"/>
  <c r="F43" i="4"/>
  <c r="G43" i="4"/>
  <c r="E45" i="4"/>
  <c r="F45" i="4"/>
  <c r="G45" i="4"/>
  <c r="G2" i="4"/>
  <c r="G3" i="4"/>
  <c r="G4" i="4"/>
  <c r="G7" i="4"/>
  <c r="G8" i="4"/>
  <c r="G6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3" i="4"/>
  <c r="G22" i="4"/>
  <c r="G24" i="4"/>
  <c r="G25" i="4"/>
  <c r="G26" i="4"/>
  <c r="G27" i="4"/>
  <c r="G28" i="4"/>
  <c r="G29" i="4"/>
  <c r="G30" i="4"/>
  <c r="G31" i="4"/>
  <c r="G32" i="4"/>
  <c r="G33" i="4"/>
  <c r="G35" i="4"/>
  <c r="G36" i="4"/>
  <c r="G34" i="4"/>
  <c r="G37" i="4"/>
  <c r="G38" i="4"/>
  <c r="G39" i="4"/>
  <c r="G40" i="4"/>
  <c r="G41" i="4"/>
  <c r="G46" i="4"/>
  <c r="G47" i="4"/>
  <c r="G5" i="4"/>
  <c r="F2" i="4"/>
  <c r="F3" i="4"/>
  <c r="F4" i="4"/>
  <c r="F7" i="4"/>
  <c r="F8" i="4"/>
  <c r="F6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3" i="4"/>
  <c r="F22" i="4"/>
  <c r="F24" i="4"/>
  <c r="F25" i="4"/>
  <c r="F26" i="4"/>
  <c r="F27" i="4"/>
  <c r="F28" i="4"/>
  <c r="F29" i="4"/>
  <c r="F30" i="4"/>
  <c r="F31" i="4"/>
  <c r="F32" i="4"/>
  <c r="F33" i="4"/>
  <c r="F35" i="4"/>
  <c r="F36" i="4"/>
  <c r="F34" i="4"/>
  <c r="F37" i="4"/>
  <c r="F38" i="4"/>
  <c r="F39" i="4"/>
  <c r="F40" i="4"/>
  <c r="F41" i="4"/>
  <c r="F46" i="4"/>
  <c r="F47" i="4"/>
  <c r="F5" i="4"/>
  <c r="E2" i="4"/>
  <c r="E3" i="4"/>
  <c r="E4" i="4"/>
  <c r="E7" i="4"/>
  <c r="E8" i="4"/>
  <c r="E6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3" i="4"/>
  <c r="E22" i="4"/>
  <c r="E24" i="4"/>
  <c r="E25" i="4"/>
  <c r="E26" i="4"/>
  <c r="E27" i="4"/>
  <c r="E28" i="4"/>
  <c r="E29" i="4"/>
  <c r="E30" i="4"/>
  <c r="E31" i="4"/>
  <c r="E32" i="4"/>
  <c r="E33" i="4"/>
  <c r="E35" i="4"/>
  <c r="E36" i="4"/>
  <c r="E34" i="4"/>
  <c r="E37" i="4"/>
  <c r="E38" i="4"/>
  <c r="E39" i="4"/>
  <c r="E40" i="4"/>
  <c r="E41" i="4"/>
  <c r="E46" i="4"/>
  <c r="E47" i="4"/>
  <c r="E5" i="4"/>
  <c r="A2" i="10" l="1"/>
  <c r="A18" i="12" a="1"/>
  <c r="A18" i="12" s="1"/>
  <c r="H47" i="4" a="1"/>
  <c r="H47" i="4" s="1"/>
  <c r="H48" i="4" a="1"/>
  <c r="H48" i="4" s="1"/>
  <c r="H45" i="4" a="1"/>
  <c r="H45" i="4" s="1"/>
  <c r="I45" i="4" a="1"/>
  <c r="I45" i="4" s="1"/>
  <c r="H42" i="4" a="1"/>
  <c r="H42" i="4" s="1"/>
  <c r="H43" i="4" a="1"/>
  <c r="H43" i="4" s="1"/>
  <c r="I48" i="4" a="1"/>
  <c r="I48" i="4" s="1"/>
  <c r="I49" i="4" a="1"/>
  <c r="I49" i="4" s="1"/>
  <c r="I42" i="4" a="1"/>
  <c r="I42" i="4" s="1"/>
  <c r="H46" i="4" a="1"/>
  <c r="H46" i="4" s="1"/>
  <c r="H44" i="4" a="1"/>
  <c r="H44" i="4" s="1"/>
  <c r="I5" i="4" a="1"/>
  <c r="I5" i="4" s="1"/>
  <c r="H5" i="4" a="1"/>
  <c r="H5" i="4" s="1"/>
  <c r="I40" i="4" a="1"/>
  <c r="I40" i="4" s="1"/>
  <c r="H40" i="4" a="1"/>
  <c r="H40" i="4" s="1"/>
  <c r="I34" i="4" a="1"/>
  <c r="I34" i="4" s="1"/>
  <c r="H34" i="4" a="1"/>
  <c r="H34" i="4" s="1"/>
  <c r="H32" i="4" a="1"/>
  <c r="H32" i="4" s="1"/>
  <c r="I32" i="4" a="1"/>
  <c r="I32" i="4" s="1"/>
  <c r="I28" i="4" a="1"/>
  <c r="I28" i="4" s="1"/>
  <c r="H28" i="4" a="1"/>
  <c r="H28" i="4" s="1"/>
  <c r="H24" i="4" a="1"/>
  <c r="H24" i="4" s="1"/>
  <c r="I24" i="4" a="1"/>
  <c r="I24" i="4" s="1"/>
  <c r="I20" i="4" a="1"/>
  <c r="I20" i="4" s="1"/>
  <c r="H20" i="4" a="1"/>
  <c r="H20" i="4" s="1"/>
  <c r="I16" i="4" a="1"/>
  <c r="I16" i="4" s="1"/>
  <c r="H16" i="4" a="1"/>
  <c r="H16" i="4" s="1"/>
  <c r="H12" i="4" a="1"/>
  <c r="H12" i="4" s="1"/>
  <c r="I12" i="4" a="1"/>
  <c r="I12" i="4" s="1"/>
  <c r="H6" i="4" a="1"/>
  <c r="H6" i="4" s="1"/>
  <c r="I6" i="4" a="1"/>
  <c r="I6" i="4" s="1"/>
  <c r="I3" i="4" a="1"/>
  <c r="I3" i="4" s="1"/>
  <c r="H3" i="4" a="1"/>
  <c r="H3" i="4" s="1"/>
  <c r="H49" i="4" a="1"/>
  <c r="H49" i="4" s="1"/>
  <c r="I39" i="4" a="1"/>
  <c r="I39" i="4" s="1"/>
  <c r="H39" i="4" a="1"/>
  <c r="H39" i="4" s="1"/>
  <c r="I36" i="4" a="1"/>
  <c r="I36" i="4" s="1"/>
  <c r="H36" i="4" a="1"/>
  <c r="H36" i="4" s="1"/>
  <c r="I31" i="4" a="1"/>
  <c r="I31" i="4" s="1"/>
  <c r="H31" i="4" a="1"/>
  <c r="H31" i="4" s="1"/>
  <c r="I27" i="4" a="1"/>
  <c r="I27" i="4" s="1"/>
  <c r="H27" i="4" a="1"/>
  <c r="H27" i="4" s="1"/>
  <c r="I22" i="4" a="1"/>
  <c r="I22" i="4" s="1"/>
  <c r="H22" i="4" a="1"/>
  <c r="H22" i="4" s="1"/>
  <c r="I19" i="4" a="1"/>
  <c r="I19" i="4" s="1"/>
  <c r="H19" i="4" a="1"/>
  <c r="H19" i="4" s="1"/>
  <c r="I15" i="4" a="1"/>
  <c r="I15" i="4" s="1"/>
  <c r="H15" i="4" a="1"/>
  <c r="H15" i="4" s="1"/>
  <c r="I11" i="4" a="1"/>
  <c r="I11" i="4" s="1"/>
  <c r="H11" i="4" a="1"/>
  <c r="H11" i="4" s="1"/>
  <c r="I8" i="4" a="1"/>
  <c r="I8" i="4" s="1"/>
  <c r="H8" i="4" a="1"/>
  <c r="H8" i="4" s="1"/>
  <c r="I2" i="4" a="1"/>
  <c r="I2" i="4" s="1"/>
  <c r="H2" i="4" a="1"/>
  <c r="H2" i="4" s="1"/>
  <c r="I47" i="4" a="1"/>
  <c r="I47" i="4" s="1"/>
  <c r="I44" i="4" a="1"/>
  <c r="I44" i="4" s="1"/>
  <c r="I46" i="4" a="1"/>
  <c r="I46" i="4" s="1"/>
  <c r="I41" i="4" a="1"/>
  <c r="I41" i="4" s="1"/>
  <c r="H41" i="4" a="1"/>
  <c r="H41" i="4" s="1"/>
  <c r="I37" i="4" a="1"/>
  <c r="I37" i="4" s="1"/>
  <c r="H37" i="4" a="1"/>
  <c r="H37" i="4" s="1"/>
  <c r="I33" i="4" a="1"/>
  <c r="I33" i="4" s="1"/>
  <c r="H33" i="4" a="1"/>
  <c r="H33" i="4" s="1"/>
  <c r="I29" i="4" a="1"/>
  <c r="I29" i="4" s="1"/>
  <c r="H29" i="4" a="1"/>
  <c r="H29" i="4" s="1"/>
  <c r="I25" i="4" a="1"/>
  <c r="I25" i="4" s="1"/>
  <c r="H25" i="4" a="1"/>
  <c r="H25" i="4" s="1"/>
  <c r="I21" i="4" a="1"/>
  <c r="I21" i="4" s="1"/>
  <c r="H21" i="4" a="1"/>
  <c r="H21" i="4" s="1"/>
  <c r="I17" i="4" a="1"/>
  <c r="I17" i="4" s="1"/>
  <c r="H17" i="4" a="1"/>
  <c r="H17" i="4" s="1"/>
  <c r="I13" i="4" a="1"/>
  <c r="I13" i="4" s="1"/>
  <c r="H13" i="4" a="1"/>
  <c r="H13" i="4" s="1"/>
  <c r="I9" i="4" a="1"/>
  <c r="I9" i="4" s="1"/>
  <c r="H9" i="4" a="1"/>
  <c r="H9" i="4" s="1"/>
  <c r="I4" i="4" a="1"/>
  <c r="I4" i="4" s="1"/>
  <c r="H4" i="4" a="1"/>
  <c r="H4" i="4" s="1"/>
  <c r="I43" i="4" a="1"/>
  <c r="I43" i="4" s="1"/>
  <c r="I38" i="4" a="1"/>
  <c r="I38" i="4" s="1"/>
  <c r="H38" i="4" a="1"/>
  <c r="H38" i="4" s="1"/>
  <c r="I35" i="4" a="1"/>
  <c r="I35" i="4" s="1"/>
  <c r="H35" i="4" a="1"/>
  <c r="H35" i="4" s="1"/>
  <c r="I30" i="4" a="1"/>
  <c r="I30" i="4" s="1"/>
  <c r="H30" i="4" a="1"/>
  <c r="H30" i="4" s="1"/>
  <c r="I26" i="4" a="1"/>
  <c r="I26" i="4" s="1"/>
  <c r="H26" i="4" a="1"/>
  <c r="H26" i="4" s="1"/>
  <c r="I23" i="4" a="1"/>
  <c r="I23" i="4" s="1"/>
  <c r="H23" i="4" a="1"/>
  <c r="H23" i="4" s="1"/>
  <c r="I18" i="4" a="1"/>
  <c r="I18" i="4" s="1"/>
  <c r="H18" i="4" a="1"/>
  <c r="H18" i="4" s="1"/>
  <c r="H14" i="4" a="1"/>
  <c r="H14" i="4" s="1"/>
  <c r="I14" i="4" a="1"/>
  <c r="I14" i="4" s="1"/>
  <c r="I10" i="4" a="1"/>
  <c r="I10" i="4" s="1"/>
  <c r="H10" i="4" a="1"/>
  <c r="H10" i="4" s="1"/>
  <c r="I7" i="4" a="1"/>
  <c r="I7" i="4" s="1"/>
  <c r="H7" i="4" a="1"/>
  <c r="H7" i="4" s="1"/>
  <c r="G15" i="10" a="1"/>
  <c r="G15" i="10" s="1"/>
  <c r="E15" i="10" a="1"/>
  <c r="E15" i="10" s="1"/>
  <c r="A19" i="12" l="1" a="1"/>
  <c r="A19" i="12" s="1"/>
  <c r="A20" i="12" s="1" a="1"/>
  <c r="A20" i="12" s="1"/>
  <c r="A21" i="12" s="1" a="1"/>
  <c r="A21" i="12" s="1"/>
  <c r="A22" i="12" s="1" a="1"/>
  <c r="A22" i="12" s="1"/>
  <c r="A23" i="12" s="1" a="1"/>
  <c r="A23" i="12" s="1"/>
  <c r="A24" i="12" s="1" a="1"/>
  <c r="A24" i="12" s="1"/>
  <c r="A25" i="12" s="1" a="1"/>
  <c r="A25" i="12" s="1"/>
  <c r="A26" i="12" s="1" a="1"/>
  <c r="A26" i="12" s="1"/>
  <c r="A27" i="12" s="1" a="1"/>
  <c r="A27" i="12" s="1"/>
  <c r="A3" i="10"/>
  <c r="B3" i="10" s="1" a="1"/>
  <c r="B3" i="10" s="1"/>
  <c r="C18" i="12"/>
  <c r="A4" i="10"/>
  <c r="D18" i="12" s="1" a="1"/>
  <c r="D18" i="12" s="1"/>
  <c r="C17" i="12"/>
  <c r="C16" i="12"/>
  <c r="G2" i="10" a="1"/>
  <c r="G2" i="10" s="1"/>
  <c r="C2" i="10" a="1"/>
  <c r="C2" i="10" s="1"/>
  <c r="D16" i="12" a="1"/>
  <c r="D16" i="12" s="1"/>
  <c r="E2" i="10" a="1"/>
  <c r="E2" i="10" s="1"/>
  <c r="F2" i="10" a="1"/>
  <c r="F2" i="10" s="1"/>
  <c r="F16" i="12" a="1"/>
  <c r="F16" i="12" s="1"/>
  <c r="D2" i="10"/>
  <c r="B2" i="10" a="1"/>
  <c r="B2" i="10" s="1"/>
  <c r="E16" i="12" a="1"/>
  <c r="E16" i="12" s="1"/>
  <c r="E3" i="10" a="1"/>
  <c r="E3" i="10" s="1"/>
  <c r="F14" i="10" a="1"/>
  <c r="F14" i="10" s="1"/>
  <c r="G14" i="10" a="1"/>
  <c r="G14" i="10" s="1"/>
  <c r="G28" i="12" a="1"/>
  <c r="G28" i="12" s="1"/>
  <c r="E14" i="10" a="1"/>
  <c r="E14" i="10" s="1"/>
  <c r="F28" i="12" a="1"/>
  <c r="F28" i="12" s="1"/>
  <c r="B4" i="10" a="1"/>
  <c r="B4" i="10" s="1"/>
  <c r="F3" i="10" l="1" a="1"/>
  <c r="F3" i="10" s="1"/>
  <c r="D4" i="10"/>
  <c r="E17" i="12" a="1"/>
  <c r="E17" i="12" s="1"/>
  <c r="G4" i="10" a="1"/>
  <c r="G4" i="10" s="1"/>
  <c r="F17" i="12" a="1"/>
  <c r="F17" i="12" s="1"/>
  <c r="D3" i="10"/>
  <c r="E4" i="10" a="1"/>
  <c r="E4" i="10" s="1"/>
  <c r="C3" i="10" a="1"/>
  <c r="C3" i="10" s="1"/>
  <c r="F18" i="12" a="1"/>
  <c r="F18" i="12" s="1"/>
  <c r="G3" i="10" a="1"/>
  <c r="G3" i="10" s="1"/>
  <c r="E18" i="12" a="1"/>
  <c r="E18" i="12" s="1"/>
  <c r="D17" i="12" a="1"/>
  <c r="D17" i="12" s="1"/>
  <c r="F4" i="10" a="1"/>
  <c r="F4" i="10" s="1"/>
  <c r="A5" i="10"/>
  <c r="C19" i="12"/>
  <c r="C4" i="10" a="1"/>
  <c r="C4" i="10" s="1"/>
  <c r="A7" i="10" l="1"/>
  <c r="C21" i="12"/>
  <c r="A6" i="10"/>
  <c r="C20" i="12"/>
  <c r="F5" i="10" a="1"/>
  <c r="F5" i="10" s="1"/>
  <c r="B5" i="10" a="1"/>
  <c r="B5" i="10" s="1"/>
  <c r="C5" i="10" a="1"/>
  <c r="C5" i="10" s="1"/>
  <c r="E19" i="12" a="1"/>
  <c r="E19" i="12" s="1"/>
  <c r="G5" i="10" a="1"/>
  <c r="G5" i="10" s="1"/>
  <c r="F19" i="12" a="1"/>
  <c r="F19" i="12" s="1"/>
  <c r="E5" i="10" a="1"/>
  <c r="E5" i="10" s="1"/>
  <c r="D19" i="12" a="1"/>
  <c r="D19" i="12" s="1"/>
  <c r="D5" i="10"/>
  <c r="A8" i="10" l="1"/>
  <c r="C22" i="12"/>
  <c r="D20" i="12" a="1"/>
  <c r="D20" i="12" s="1"/>
  <c r="D6" i="10"/>
  <c r="E6" i="10" a="1"/>
  <c r="E6" i="10" s="1"/>
  <c r="E20" i="12" a="1"/>
  <c r="E20" i="12" s="1"/>
  <c r="F20" i="12" a="1"/>
  <c r="F20" i="12" s="1"/>
  <c r="B6" i="10" a="1"/>
  <c r="B6" i="10" s="1"/>
  <c r="C6" i="10" a="1"/>
  <c r="C6" i="10" s="1"/>
  <c r="F6" i="10" a="1"/>
  <c r="F6" i="10" s="1"/>
  <c r="G6" i="10" a="1"/>
  <c r="G6" i="10" s="1"/>
  <c r="F21" i="12" a="1"/>
  <c r="F21" i="12" s="1"/>
  <c r="C7" i="10" a="1"/>
  <c r="C7" i="10" s="1"/>
  <c r="E21" i="12" a="1"/>
  <c r="E21" i="12" s="1"/>
  <c r="G7" i="10" a="1"/>
  <c r="G7" i="10" s="1"/>
  <c r="F7" i="10" a="1"/>
  <c r="F7" i="10" s="1"/>
  <c r="E7" i="10" a="1"/>
  <c r="E7" i="10" s="1"/>
  <c r="B7" i="10" a="1"/>
  <c r="B7" i="10" s="1"/>
  <c r="D21" i="12" a="1"/>
  <c r="D21" i="12" s="1"/>
  <c r="D7" i="10"/>
  <c r="A9" i="10" l="1"/>
  <c r="C23" i="12"/>
  <c r="F8" i="10" a="1"/>
  <c r="F8" i="10" s="1"/>
  <c r="E8" i="10" a="1"/>
  <c r="E8" i="10" s="1"/>
  <c r="G8" i="10" a="1"/>
  <c r="G8" i="10" s="1"/>
  <c r="D22" i="12" a="1"/>
  <c r="D22" i="12" s="1"/>
  <c r="D8" i="10"/>
  <c r="C8" i="10" a="1"/>
  <c r="C8" i="10" s="1"/>
  <c r="E22" i="12" a="1"/>
  <c r="E22" i="12" s="1"/>
  <c r="F22" i="12" a="1"/>
  <c r="F22" i="12" s="1"/>
  <c r="B8" i="10" a="1"/>
  <c r="B8" i="10" s="1"/>
  <c r="C27" i="12" l="1"/>
  <c r="A12" i="10"/>
  <c r="C26" i="12"/>
  <c r="A10" i="10"/>
  <c r="C24" i="12"/>
  <c r="A11" i="10"/>
  <c r="C25" i="12"/>
  <c r="D23" i="12" a="1"/>
  <c r="D23" i="12" s="1"/>
  <c r="B9" i="10" a="1"/>
  <c r="B9" i="10" s="1"/>
  <c r="G9" i="10" a="1"/>
  <c r="G9" i="10" s="1"/>
  <c r="C9" i="10" a="1"/>
  <c r="C9" i="10" s="1"/>
  <c r="F23" i="12" a="1"/>
  <c r="F23" i="12" s="1"/>
  <c r="F9" i="10" a="1"/>
  <c r="F9" i="10" s="1"/>
  <c r="D9" i="10"/>
  <c r="E23" i="12" a="1"/>
  <c r="E23" i="12" s="1"/>
  <c r="E9" i="10" a="1"/>
  <c r="E9" i="10" s="1"/>
  <c r="A13" i="10" l="1"/>
  <c r="D27" i="12" s="1" a="1"/>
  <c r="D27" i="12" s="1"/>
  <c r="D11" i="10"/>
  <c r="G11" i="10" a="1"/>
  <c r="G11" i="10" s="1"/>
  <c r="E11" i="10" a="1"/>
  <c r="E11" i="10" s="1"/>
  <c r="F25" i="12" a="1"/>
  <c r="F25" i="12" s="1"/>
  <c r="B11" i="10" a="1"/>
  <c r="B11" i="10" s="1"/>
  <c r="C11" i="10" a="1"/>
  <c r="C11" i="10" s="1"/>
  <c r="F11" i="10" a="1"/>
  <c r="F11" i="10" s="1"/>
  <c r="E25" i="12" a="1"/>
  <c r="E25" i="12" s="1"/>
  <c r="D25" i="12" a="1"/>
  <c r="D25" i="12" s="1"/>
  <c r="D24" i="12" a="1"/>
  <c r="D24" i="12" s="1"/>
  <c r="G10" i="10" a="1"/>
  <c r="G10" i="10" s="1"/>
  <c r="D10" i="10"/>
  <c r="E10" i="10" a="1"/>
  <c r="E10" i="10" s="1"/>
  <c r="B10" i="10" a="1"/>
  <c r="B10" i="10" s="1"/>
  <c r="F10" i="10" a="1"/>
  <c r="F10" i="10" s="1"/>
  <c r="E24" i="12" a="1"/>
  <c r="E24" i="12" s="1"/>
  <c r="F24" i="12" a="1"/>
  <c r="F24" i="12" s="1"/>
  <c r="C10" i="10" a="1"/>
  <c r="C10" i="10" s="1"/>
  <c r="D26" i="12" a="1"/>
  <c r="D26" i="12" s="1"/>
  <c r="D12" i="10"/>
  <c r="G12" i="10" a="1"/>
  <c r="G12" i="10" s="1"/>
  <c r="E12" i="10" a="1"/>
  <c r="E12" i="10" s="1"/>
  <c r="F26" i="12" a="1"/>
  <c r="F26" i="12" s="1"/>
  <c r="E26" i="12" a="1"/>
  <c r="E26" i="12" s="1"/>
  <c r="B12" i="10" a="1"/>
  <c r="B12" i="10" s="1"/>
  <c r="C12" i="10" a="1"/>
  <c r="C12" i="10" s="1"/>
  <c r="F12" i="10" a="1"/>
  <c r="F12" i="10" s="1"/>
  <c r="C13" i="10" l="1" a="1"/>
  <c r="C13" i="10" s="1"/>
  <c r="F13" i="10" a="1"/>
  <c r="F13" i="10" s="1"/>
  <c r="F27" i="12" a="1"/>
  <c r="F27" i="12" s="1"/>
  <c r="E27" i="12" a="1"/>
  <c r="E27" i="12" s="1"/>
  <c r="B13" i="10" a="1"/>
  <c r="B13" i="10" s="1"/>
  <c r="G13" i="10" a="1"/>
  <c r="G13" i="10" s="1"/>
  <c r="D13" i="10"/>
  <c r="E13" i="10" a="1"/>
  <c r="E13" i="10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<sst xmlns="http://schemas.openxmlformats.org/spreadsheetml/2006/main" count="417" uniqueCount="75">
  <si>
    <t>Well</t>
  </si>
  <si>
    <t>Sample</t>
  </si>
  <si>
    <t>Cq</t>
  </si>
  <si>
    <t>Efficiency</t>
  </si>
  <si>
    <t>R²</t>
  </si>
  <si>
    <t>Result</t>
  </si>
  <si>
    <t>Excluded</t>
  </si>
  <si>
    <t>CP</t>
  </si>
  <si>
    <t>CN</t>
  </si>
  <si>
    <t>177T</t>
  </si>
  <si>
    <t>18S2</t>
  </si>
  <si>
    <t>RNAseP</t>
  </si>
  <si>
    <t>RNaseP</t>
  </si>
  <si>
    <t>Decision</t>
  </si>
  <si>
    <t>Remark</t>
  </si>
  <si>
    <t>Marker</t>
  </si>
  <si>
    <t>Cutoff</t>
  </si>
  <si>
    <t>F</t>
  </si>
  <si>
    <t>extraction fail</t>
  </si>
  <si>
    <t>low human DNA</t>
  </si>
  <si>
    <t>N</t>
  </si>
  <si>
    <t>negative</t>
  </si>
  <si>
    <t>S</t>
  </si>
  <si>
    <t>DNA suspect</t>
  </si>
  <si>
    <t>P</t>
  </si>
  <si>
    <t>DNA case</t>
  </si>
  <si>
    <t>RNA suspect</t>
  </si>
  <si>
    <t>TNA suspect</t>
  </si>
  <si>
    <t>DNA case &amp; RNA suspect</t>
  </si>
  <si>
    <t>RNA case</t>
  </si>
  <si>
    <t>DNA suspect and RNA case</t>
  </si>
  <si>
    <t>TNA case</t>
  </si>
  <si>
    <t>177T/18S2/RNaseP</t>
  </si>
  <si>
    <t>177T/18S2/RNAseP</t>
  </si>
  <si>
    <t>18S2/RNAseP</t>
  </si>
  <si>
    <t>177T/RNAseP</t>
  </si>
  <si>
    <t>177T/18S2</t>
  </si>
  <si>
    <t>OK</t>
  </si>
  <si>
    <t>CP3 works</t>
  </si>
  <si>
    <t>clean</t>
  </si>
  <si>
    <t>qPCR report file</t>
  </si>
  <si>
    <t>Date</t>
  </si>
  <si>
    <t>Operator</t>
  </si>
  <si>
    <t>DIEUDO</t>
  </si>
  <si>
    <t>Qrun file name</t>
  </si>
  <si>
    <t>2025-09-30b 16.10.47 Run</t>
  </si>
  <si>
    <t>Qrun directory</t>
  </si>
  <si>
    <t>XLT qScript batch</t>
  </si>
  <si>
    <t>177T batch</t>
  </si>
  <si>
    <t>18S2 batch</t>
  </si>
  <si>
    <t>RNAseP batch</t>
  </si>
  <si>
    <t>water (CN)</t>
  </si>
  <si>
    <t>positive controle (CP)</t>
  </si>
  <si>
    <t>Code Barre</t>
  </si>
  <si>
    <t>Final</t>
  </si>
  <si>
    <t>Validation (Echec/Valide)</t>
  </si>
  <si>
    <t>Abbreviation</t>
  </si>
  <si>
    <t>Meaning</t>
  </si>
  <si>
    <t>Action</t>
  </si>
  <si>
    <t xml:space="preserve">P </t>
  </si>
  <si>
    <t>positive</t>
  </si>
  <si>
    <t>treat</t>
  </si>
  <si>
    <t>do not treat</t>
  </si>
  <si>
    <t>suspect</t>
  </si>
  <si>
    <t>best to treat</t>
  </si>
  <si>
    <t>R</t>
  </si>
  <si>
    <t>redo</t>
  </si>
  <si>
    <t>likely true negative</t>
  </si>
  <si>
    <t>failed</t>
  </si>
  <si>
    <t>retest</t>
  </si>
  <si>
    <t>I</t>
  </si>
  <si>
    <t>invalid</t>
  </si>
  <si>
    <t>rerun qPCR</t>
  </si>
  <si>
    <t>Results</t>
  </si>
  <si>
    <t>Remarque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</si>
</sst>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0" fillId="2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4" borderId="0" xfId="0" applyFill="1" applyProtection="1">
      <protection locked="0"/>
    </xf>
    <xf numFmtId="0" fontId="0" fillId="5" borderId="1" xfId="0" applyFill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1" fillId="4" borderId="1" xfId="0" applyFont="1" applyFill="1" applyBorder="1" applyAlignment="1" applyProtection="1">
      <alignment horizontal="center" vertical="center"/>
      <protection locked="0"/>
    </xf>
    <xf numFmtId="0" fontId="0" fillId="0" borderId="0" xfId="0" quotePrefix="1" applyProtection="1"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2" fillId="0" borderId="0" xfId="0" applyFont="1" applyProtection="1"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6" borderId="1" xfId="0" applyFont="1" applyFill="1" applyBorder="1" applyAlignment="1" applyProtection="1">
      <alignment horizontal="center" vertical="center"/>
      <protection locked="0"/>
    </xf>
    <xf numFmtId="0" fontId="1" fillId="0" borderId="2" xfId="0" applyFont="1" applyBorder="1" applyAlignment="1" applyProtection="1">
      <alignment horizontal="center" vertical="center"/>
      <protection locked="0"/>
    </xf>
    <xf numFmtId="0" fontId="1" fillId="0" borderId="3" xfId="0" applyFont="1" applyBorder="1" applyAlignment="1" applyProtection="1">
      <alignment horizontal="center" vertical="center"/>
      <protection locked="0"/>
    </xf>
    <xf numFmtId="14" fontId="0" fillId="5" borderId="1" xfId="0" applyNumberFormat="1" applyFill="1" applyBorder="1" applyAlignment="1" applyProtection="1">
      <alignment horizontal="center"/>
      <protection locked="0"/>
    </xf>
    <xf numFmtId="0" fontId="0" fillId="5" borderId="1" xfId="0" applyFill="1" applyBorder="1" applyAlignment="1" applyProtection="1">
      <alignment horizontal="center"/>
      <protection locked="0"/>
    </xf>
    <xf numFmtId="0" fontId="3" fillId="0" borderId="0" xfId="0" applyFont="1" applyAlignment="1" applyProtection="1">
      <alignment horizontal="left" vertical="center"/>
      <protection locked="0"/>
    </xf>
    <xf numFmtId="0" fontId="1" fillId="0" borderId="4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</cellXfs>
  <cellStyles count="1">
    <cellStyle name="Standaard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3"/>
      </font>
      <fill>
        <patternFill>
          <bgColor theme="3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F49"/>
  <sheetViews>
    <sheetView workbookViewId="0">
      <selection sqref="A1:F49"/>
    </sheetView>
  </sheetViews>
  <sheetFormatPr defaultColWidth="9.140625" defaultRowHeight="15"/>
  <sheetData>
    <row r="1" spans="1:6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</row>
    <row r="2" spans="1:6">
      <c r="A2" s="8">
        <v>1</v>
      </c>
      <c r="B2" s="8">
        <v>166</v>
      </c>
      <c r="C2" s="8">
        <v>-1</v>
      </c>
      <c r="D2" s="8">
        <v>-1</v>
      </c>
      <c r="E2" s="8"/>
      <c r="F2" s="8" t="s">
        <v>6</v>
      </c>
    </row>
    <row r="3" spans="1:6">
      <c r="A3" s="8">
        <v>2</v>
      </c>
      <c r="B3" s="8">
        <v>166</v>
      </c>
      <c r="C3" s="8">
        <v>-1</v>
      </c>
      <c r="D3" s="8">
        <v>-1</v>
      </c>
      <c r="E3" s="8"/>
      <c r="F3" s="8" t="s">
        <v>6</v>
      </c>
    </row>
    <row r="4" spans="1:6">
      <c r="A4" s="8">
        <v>3</v>
      </c>
      <c r="B4" s="8">
        <v>166</v>
      </c>
      <c r="C4" s="8">
        <v>-1</v>
      </c>
      <c r="D4" s="8">
        <v>-1</v>
      </c>
      <c r="E4" s="8"/>
      <c r="F4" s="8" t="s">
        <v>6</v>
      </c>
    </row>
    <row r="5" spans="1:6">
      <c r="A5" s="8">
        <v>4</v>
      </c>
      <c r="B5" s="8">
        <v>166</v>
      </c>
      <c r="C5" s="8">
        <v>-1</v>
      </c>
      <c r="D5" s="8">
        <v>-1</v>
      </c>
      <c r="E5" s="8"/>
      <c r="F5" s="8" t="s">
        <v>6</v>
      </c>
    </row>
    <row r="6" spans="1:6">
      <c r="A6" s="8">
        <v>5</v>
      </c>
      <c r="B6" s="8">
        <v>167</v>
      </c>
      <c r="C6" s="8">
        <v>-1</v>
      </c>
      <c r="D6" s="8">
        <v>-1</v>
      </c>
      <c r="E6" s="8"/>
      <c r="F6" s="8" t="s">
        <v>6</v>
      </c>
    </row>
    <row r="7" spans="1:6">
      <c r="A7" s="8">
        <v>6</v>
      </c>
      <c r="B7" s="8">
        <v>167</v>
      </c>
      <c r="C7" s="8">
        <v>-1</v>
      </c>
      <c r="D7" s="8">
        <v>-1</v>
      </c>
      <c r="E7" s="8"/>
      <c r="F7" s="8" t="s">
        <v>6</v>
      </c>
    </row>
    <row r="8" spans="1:6">
      <c r="A8" s="8">
        <v>7</v>
      </c>
      <c r="B8" s="8">
        <v>167</v>
      </c>
      <c r="C8" s="8">
        <v>-1</v>
      </c>
      <c r="D8" s="8">
        <v>-1</v>
      </c>
      <c r="E8" s="8"/>
      <c r="F8" s="8" t="s">
        <v>6</v>
      </c>
    </row>
    <row r="9" spans="1:6">
      <c r="A9" s="8">
        <v>8</v>
      </c>
      <c r="B9" s="8">
        <v>167</v>
      </c>
      <c r="C9" s="8">
        <v>-1</v>
      </c>
      <c r="D9" s="8">
        <v>-1</v>
      </c>
      <c r="E9" s="8"/>
      <c r="F9" s="8" t="s">
        <v>6</v>
      </c>
    </row>
    <row r="10" spans="1:6">
      <c r="A10" s="8">
        <v>9</v>
      </c>
      <c r="B10" s="8">
        <v>168</v>
      </c>
      <c r="C10" s="8">
        <v>-1</v>
      </c>
      <c r="D10" s="8">
        <v>-1</v>
      </c>
      <c r="E10" s="8"/>
      <c r="F10" s="8" t="s">
        <v>6</v>
      </c>
    </row>
    <row r="11" spans="1:6">
      <c r="A11" s="8">
        <v>10</v>
      </c>
      <c r="B11" s="8">
        <v>168</v>
      </c>
      <c r="C11" s="8">
        <v>-1</v>
      </c>
      <c r="D11" s="8">
        <v>-1</v>
      </c>
      <c r="E11" s="8"/>
      <c r="F11" s="8" t="s">
        <v>6</v>
      </c>
    </row>
    <row r="12" spans="1:6">
      <c r="A12" s="8">
        <v>11</v>
      </c>
      <c r="B12" s="8">
        <v>168</v>
      </c>
      <c r="C12" s="8">
        <v>-1</v>
      </c>
      <c r="D12" s="8">
        <v>-1</v>
      </c>
      <c r="E12" s="8"/>
      <c r="F12" s="8" t="s">
        <v>6</v>
      </c>
    </row>
    <row r="13" spans="1:6">
      <c r="A13" s="8">
        <v>12</v>
      </c>
      <c r="B13" s="8">
        <v>168</v>
      </c>
      <c r="C13" s="8">
        <v>-1</v>
      </c>
      <c r="D13" s="8">
        <v>-1</v>
      </c>
      <c r="E13" s="8"/>
      <c r="F13" s="8" t="s">
        <v>6</v>
      </c>
    </row>
    <row r="14" spans="1:6">
      <c r="A14" s="8">
        <v>13</v>
      </c>
      <c r="B14" s="8">
        <v>169</v>
      </c>
      <c r="C14" s="8">
        <v>-1</v>
      </c>
      <c r="D14" s="8">
        <v>-1</v>
      </c>
      <c r="E14" s="8"/>
      <c r="F14" s="8" t="s">
        <v>6</v>
      </c>
    </row>
    <row r="15" spans="1:6">
      <c r="A15" s="8">
        <v>14</v>
      </c>
      <c r="B15" s="8">
        <v>169</v>
      </c>
      <c r="C15" s="8">
        <v>-1</v>
      </c>
      <c r="D15" s="8">
        <v>-1</v>
      </c>
      <c r="E15" s="8"/>
      <c r="F15" s="8" t="s">
        <v>6</v>
      </c>
    </row>
    <row r="16" spans="1:6">
      <c r="A16" s="8">
        <v>15</v>
      </c>
      <c r="B16" s="8">
        <v>169</v>
      </c>
      <c r="C16" s="8">
        <v>-1</v>
      </c>
      <c r="D16" s="8">
        <v>-1</v>
      </c>
      <c r="E16" s="8"/>
      <c r="F16" s="8" t="s">
        <v>6</v>
      </c>
    </row>
    <row r="17" spans="1:6">
      <c r="A17" s="8">
        <v>16</v>
      </c>
      <c r="B17" s="8">
        <v>169</v>
      </c>
      <c r="C17" s="8">
        <v>-1</v>
      </c>
      <c r="D17" s="8">
        <v>-1</v>
      </c>
      <c r="E17" s="8"/>
      <c r="F17" s="8" t="s">
        <v>6</v>
      </c>
    </row>
    <row r="18" spans="1:6">
      <c r="A18" s="8">
        <v>17</v>
      </c>
      <c r="B18" s="8">
        <v>170</v>
      </c>
      <c r="C18" s="8">
        <v>-1</v>
      </c>
      <c r="D18" s="8">
        <v>-1</v>
      </c>
      <c r="E18" s="8"/>
      <c r="F18" s="8" t="s">
        <v>6</v>
      </c>
    </row>
    <row r="19" spans="1:6">
      <c r="A19" s="8">
        <v>18</v>
      </c>
      <c r="B19" s="8">
        <v>170</v>
      </c>
      <c r="C19" s="8">
        <v>-1</v>
      </c>
      <c r="D19" s="8">
        <v>-1</v>
      </c>
      <c r="E19" s="8"/>
      <c r="F19" s="8" t="s">
        <v>6</v>
      </c>
    </row>
    <row r="20" spans="1:6">
      <c r="A20" s="8">
        <v>19</v>
      </c>
      <c r="B20" s="8">
        <v>170</v>
      </c>
      <c r="C20" s="8">
        <v>-1</v>
      </c>
      <c r="D20" s="8">
        <v>-1</v>
      </c>
      <c r="E20" s="8"/>
      <c r="F20" s="8" t="s">
        <v>6</v>
      </c>
    </row>
    <row r="21" spans="1:6">
      <c r="A21" s="8">
        <v>20</v>
      </c>
      <c r="B21" s="8">
        <v>170</v>
      </c>
      <c r="C21" s="8">
        <v>-1</v>
      </c>
      <c r="D21" s="8">
        <v>-1</v>
      </c>
      <c r="E21" s="8"/>
      <c r="F21" s="8" t="s">
        <v>6</v>
      </c>
    </row>
    <row r="22" spans="1:6">
      <c r="A22" s="8">
        <v>21</v>
      </c>
      <c r="B22" s="8">
        <v>171</v>
      </c>
      <c r="C22" s="8">
        <v>-1</v>
      </c>
      <c r="D22" s="8">
        <v>-1</v>
      </c>
      <c r="E22" s="8"/>
      <c r="F22" s="8" t="s">
        <v>6</v>
      </c>
    </row>
    <row r="23" spans="1:6">
      <c r="A23" s="8">
        <v>22</v>
      </c>
      <c r="B23" s="8">
        <v>171</v>
      </c>
      <c r="C23" s="8">
        <v>-1</v>
      </c>
      <c r="D23" s="8">
        <v>-1</v>
      </c>
      <c r="E23" s="8"/>
      <c r="F23" s="8" t="s">
        <v>6</v>
      </c>
    </row>
    <row r="24" spans="1:6">
      <c r="A24" s="8">
        <v>23</v>
      </c>
      <c r="B24" s="8">
        <v>171</v>
      </c>
      <c r="C24" s="8">
        <v>-1</v>
      </c>
      <c r="D24" s="8">
        <v>-1</v>
      </c>
      <c r="E24" s="8"/>
      <c r="F24" s="8" t="s">
        <v>6</v>
      </c>
    </row>
    <row r="25" spans="1:6">
      <c r="A25" s="8">
        <v>24</v>
      </c>
      <c r="B25" s="8">
        <v>171</v>
      </c>
      <c r="C25" s="8">
        <v>-1</v>
      </c>
      <c r="D25" s="8">
        <v>-1</v>
      </c>
      <c r="E25" s="8"/>
      <c r="F25" s="8" t="s">
        <v>6</v>
      </c>
    </row>
    <row r="26" spans="1:6">
      <c r="A26" s="8">
        <v>25</v>
      </c>
      <c r="B26" s="8">
        <v>172</v>
      </c>
      <c r="C26" s="8">
        <v>-1</v>
      </c>
      <c r="D26" s="8">
        <v>-1</v>
      </c>
      <c r="E26" s="8"/>
      <c r="F26" s="8" t="s">
        <v>6</v>
      </c>
    </row>
    <row r="27" spans="1:6">
      <c r="A27" s="8">
        <v>26</v>
      </c>
      <c r="B27" s="8">
        <v>172</v>
      </c>
      <c r="C27" s="8">
        <v>-1</v>
      </c>
      <c r="D27" s="8">
        <v>-1</v>
      </c>
      <c r="E27" s="8"/>
      <c r="F27" s="8" t="s">
        <v>6</v>
      </c>
    </row>
    <row r="28" spans="1:6">
      <c r="A28" s="8">
        <v>27</v>
      </c>
      <c r="B28" s="8">
        <v>172</v>
      </c>
      <c r="C28" s="8">
        <v>-1</v>
      </c>
      <c r="D28" s="8">
        <v>-1</v>
      </c>
      <c r="E28" s="8"/>
      <c r="F28" s="8" t="s">
        <v>6</v>
      </c>
    </row>
    <row r="29" spans="1:6">
      <c r="A29" s="8">
        <v>28</v>
      </c>
      <c r="B29" s="8">
        <v>172</v>
      </c>
      <c r="C29" s="8">
        <v>-1</v>
      </c>
      <c r="D29" s="8">
        <v>-1</v>
      </c>
      <c r="E29" s="8"/>
      <c r="F29" s="8" t="s">
        <v>6</v>
      </c>
    </row>
    <row r="30" spans="1:6">
      <c r="A30" s="8">
        <v>29</v>
      </c>
      <c r="B30" s="8">
        <v>173</v>
      </c>
      <c r="C30" s="8">
        <v>-1</v>
      </c>
      <c r="D30" s="8">
        <v>-1</v>
      </c>
      <c r="E30" s="8"/>
      <c r="F30" s="8" t="s">
        <v>6</v>
      </c>
    </row>
    <row r="31" spans="1:6">
      <c r="A31" s="8">
        <v>30</v>
      </c>
      <c r="B31" s="8">
        <v>173</v>
      </c>
      <c r="C31" s="8">
        <v>-1</v>
      </c>
      <c r="D31" s="8">
        <v>-1</v>
      </c>
      <c r="E31" s="8"/>
      <c r="F31" s="8" t="s">
        <v>6</v>
      </c>
    </row>
    <row r="32" spans="1:6">
      <c r="A32" s="8">
        <v>31</v>
      </c>
      <c r="B32" s="8">
        <v>173</v>
      </c>
      <c r="C32" s="8">
        <v>-1</v>
      </c>
      <c r="D32" s="8">
        <v>-1</v>
      </c>
      <c r="E32" s="8"/>
      <c r="F32" s="8" t="s">
        <v>6</v>
      </c>
    </row>
    <row r="33" spans="1:6">
      <c r="A33" s="8">
        <v>32</v>
      </c>
      <c r="B33" s="8">
        <v>173</v>
      </c>
      <c r="C33" s="8">
        <v>-1</v>
      </c>
      <c r="D33" s="8">
        <v>-1</v>
      </c>
      <c r="E33" s="8"/>
      <c r="F33" s="8" t="s">
        <v>6</v>
      </c>
    </row>
    <row r="34" spans="1:6">
      <c r="A34" s="8">
        <v>33</v>
      </c>
      <c r="B34" s="8">
        <v>174</v>
      </c>
      <c r="C34" s="8">
        <v>-1</v>
      </c>
      <c r="D34" s="8">
        <v>-1</v>
      </c>
      <c r="E34" s="8"/>
      <c r="F34" s="8" t="s">
        <v>6</v>
      </c>
    </row>
    <row r="35" spans="1:6">
      <c r="A35" s="8">
        <v>34</v>
      </c>
      <c r="B35" s="8">
        <v>174</v>
      </c>
      <c r="C35" s="8">
        <v>-1</v>
      </c>
      <c r="D35" s="8">
        <v>-1</v>
      </c>
      <c r="E35" s="8"/>
      <c r="F35" s="8" t="s">
        <v>6</v>
      </c>
    </row>
    <row r="36" spans="1:6">
      <c r="A36" s="8">
        <v>35</v>
      </c>
      <c r="B36" s="8">
        <v>174</v>
      </c>
      <c r="C36" s="8">
        <v>-1</v>
      </c>
      <c r="D36" s="8">
        <v>-1</v>
      </c>
      <c r="E36" s="8"/>
      <c r="F36" s="8" t="s">
        <v>6</v>
      </c>
    </row>
    <row r="37" spans="1:6">
      <c r="A37" s="8">
        <v>36</v>
      </c>
      <c r="B37" s="8">
        <v>174</v>
      </c>
      <c r="C37" s="8">
        <v>-1</v>
      </c>
      <c r="D37" s="8">
        <v>-1</v>
      </c>
      <c r="E37" s="8"/>
      <c r="F37" s="8" t="s">
        <v>6</v>
      </c>
    </row>
    <row r="38" spans="1:6">
      <c r="A38" s="8">
        <v>37</v>
      </c>
      <c r="B38" s="8">
        <v>175</v>
      </c>
      <c r="C38" s="8">
        <v>-1</v>
      </c>
      <c r="D38" s="8">
        <v>-1</v>
      </c>
      <c r="E38" s="8"/>
      <c r="F38" s="8" t="s">
        <v>6</v>
      </c>
    </row>
    <row r="39" spans="1:6">
      <c r="A39" s="8">
        <v>38</v>
      </c>
      <c r="B39" s="8">
        <v>175</v>
      </c>
      <c r="C39" s="8">
        <v>-1</v>
      </c>
      <c r="D39" s="8">
        <v>-1</v>
      </c>
      <c r="E39" s="8"/>
      <c r="F39" s="8" t="s">
        <v>6</v>
      </c>
    </row>
    <row r="40" spans="1:6">
      <c r="A40" s="8">
        <v>39</v>
      </c>
      <c r="B40" s="8">
        <v>175</v>
      </c>
      <c r="C40" s="8">
        <v>-1</v>
      </c>
      <c r="D40" s="8">
        <v>-1</v>
      </c>
      <c r="E40" s="8"/>
      <c r="F40" s="8" t="s">
        <v>6</v>
      </c>
    </row>
    <row r="41" spans="1:6">
      <c r="A41" s="8">
        <v>40</v>
      </c>
      <c r="B41" s="8">
        <v>175</v>
      </c>
      <c r="C41" s="8">
        <v>-1</v>
      </c>
      <c r="D41" s="8">
        <v>-1</v>
      </c>
      <c r="E41" s="8"/>
      <c r="F41" s="8" t="s">
        <v>6</v>
      </c>
    </row>
    <row r="42" spans="1:6">
      <c r="A42" s="8">
        <v>41</v>
      </c>
      <c r="B42" s="8" t="s">
        <v>7</v>
      </c>
      <c r="C42" s="8">
        <v>23.872753197832001</v>
      </c>
      <c r="D42" s="8">
        <v>0.78328102518365905</v>
      </c>
      <c r="E42" s="8">
        <v>0.99997000000000003</v>
      </c>
      <c r="F42" s="8"/>
    </row>
    <row r="43" spans="1:6">
      <c r="A43" s="8">
        <v>42</v>
      </c>
      <c r="B43" s="8" t="s">
        <v>7</v>
      </c>
      <c r="C43" s="8">
        <v>22.754377725902899</v>
      </c>
      <c r="D43" s="8">
        <v>0.81433113291848302</v>
      </c>
      <c r="E43" s="8">
        <v>0.99994000000000005</v>
      </c>
      <c r="F43" s="8"/>
    </row>
    <row r="44" spans="1:6">
      <c r="A44" s="8">
        <v>43</v>
      </c>
      <c r="B44" s="8" t="s">
        <v>7</v>
      </c>
      <c r="C44" s="8">
        <v>23.328852805875101</v>
      </c>
      <c r="D44" s="8">
        <v>0.888660134374883</v>
      </c>
      <c r="E44" s="8">
        <v>0.99973999999999996</v>
      </c>
      <c r="F44" s="8"/>
    </row>
    <row r="45" spans="1:6">
      <c r="A45" s="8">
        <v>44</v>
      </c>
      <c r="B45" s="8" t="s">
        <v>7</v>
      </c>
      <c r="C45" s="8">
        <v>23.147640560261902</v>
      </c>
      <c r="D45" s="8">
        <v>0.86945781052567295</v>
      </c>
      <c r="E45" s="8">
        <v>0.99963999999999997</v>
      </c>
      <c r="F45" s="8"/>
    </row>
    <row r="46" spans="1:6">
      <c r="A46" s="8">
        <v>45</v>
      </c>
      <c r="B46" s="8" t="s">
        <v>8</v>
      </c>
      <c r="C46" s="8">
        <v>-1</v>
      </c>
      <c r="D46" s="8">
        <v>-1</v>
      </c>
      <c r="E46" s="8"/>
      <c r="F46" s="8" t="s">
        <v>6</v>
      </c>
    </row>
    <row r="47" spans="1:6">
      <c r="A47" s="8">
        <v>46</v>
      </c>
      <c r="B47" s="8" t="s">
        <v>8</v>
      </c>
      <c r="C47" s="8">
        <v>-1</v>
      </c>
      <c r="D47" s="8">
        <v>-1</v>
      </c>
      <c r="E47" s="8"/>
      <c r="F47" s="8" t="s">
        <v>6</v>
      </c>
    </row>
    <row r="48" spans="1:6">
      <c r="A48" s="8">
        <v>47</v>
      </c>
      <c r="B48" s="8" t="s">
        <v>8</v>
      </c>
      <c r="C48" s="8">
        <v>-1</v>
      </c>
      <c r="D48" s="8">
        <v>-1</v>
      </c>
      <c r="E48" s="8"/>
      <c r="F48" s="8" t="s">
        <v>6</v>
      </c>
    </row>
    <row r="49" spans="1:6">
      <c r="A49" s="8">
        <v>48</v>
      </c>
      <c r="B49" s="8" t="s">
        <v>8</v>
      </c>
      <c r="C49" s="8">
        <v>-1</v>
      </c>
      <c r="D49" s="8">
        <v>-1</v>
      </c>
      <c r="E49" s="8"/>
      <c r="F49" s="8" t="s">
        <v>6</v>
      </c>
    </row>
  </sheetData>
  <sheetProtection algorithmName="SHA-512" hashValue="4I8jD2QEhreUZRT1o8FY/VRPe+nB9uGx/6fOPvvcamegsYNvZe/NT5gVHRB0AJ61YMlgYhIFMf2OtQRC+EB8eA==" saltValue="XmHJwoXZn3c1PbunVfBJ+g==" spinCount="100000" sheet="1" objects="1" scenarios="1" selectLockedCell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F49"/>
  <sheetViews>
    <sheetView workbookViewId="0">
      <selection sqref="A1:F49"/>
    </sheetView>
  </sheetViews>
  <sheetFormatPr defaultColWidth="9.140625" defaultRowHeight="15"/>
  <sheetData>
    <row r="1" spans="1:6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</row>
    <row r="2" spans="1:6">
      <c r="A2" s="9">
        <v>1</v>
      </c>
      <c r="B2" s="9">
        <v>166</v>
      </c>
      <c r="C2" s="9">
        <v>-1</v>
      </c>
      <c r="D2" s="9">
        <v>-1</v>
      </c>
      <c r="E2" s="9"/>
      <c r="F2" s="9" t="s">
        <v>6</v>
      </c>
    </row>
    <row r="3" spans="1:6">
      <c r="A3" s="9">
        <v>2</v>
      </c>
      <c r="B3" s="9">
        <v>166</v>
      </c>
      <c r="C3" s="9">
        <v>-1</v>
      </c>
      <c r="D3" s="9">
        <v>-1</v>
      </c>
      <c r="E3" s="9"/>
      <c r="F3" s="9" t="s">
        <v>6</v>
      </c>
    </row>
    <row r="4" spans="1:6">
      <c r="A4" s="9">
        <v>3</v>
      </c>
      <c r="B4" s="9">
        <v>166</v>
      </c>
      <c r="C4" s="9">
        <v>-1</v>
      </c>
      <c r="D4" s="9">
        <v>-1</v>
      </c>
      <c r="E4" s="9"/>
      <c r="F4" s="9" t="s">
        <v>6</v>
      </c>
    </row>
    <row r="5" spans="1:6">
      <c r="A5" s="9">
        <v>4</v>
      </c>
      <c r="B5" s="9">
        <v>166</v>
      </c>
      <c r="C5" s="9">
        <v>-1</v>
      </c>
      <c r="D5" s="9">
        <v>-1</v>
      </c>
      <c r="E5" s="9"/>
      <c r="F5" s="9" t="s">
        <v>6</v>
      </c>
    </row>
    <row r="6" spans="1:6">
      <c r="A6" s="9">
        <v>5</v>
      </c>
      <c r="B6" s="9">
        <v>167</v>
      </c>
      <c r="C6" s="9">
        <v>-1</v>
      </c>
      <c r="D6" s="9">
        <v>-1</v>
      </c>
      <c r="E6" s="9"/>
      <c r="F6" s="9" t="s">
        <v>6</v>
      </c>
    </row>
    <row r="7" spans="1:6">
      <c r="A7" s="9">
        <v>6</v>
      </c>
      <c r="B7" s="9">
        <v>167</v>
      </c>
      <c r="C7" s="9">
        <v>-1</v>
      </c>
      <c r="D7" s="9">
        <v>-1</v>
      </c>
      <c r="E7" s="9"/>
      <c r="F7" s="9" t="s">
        <v>6</v>
      </c>
    </row>
    <row r="8" spans="1:6">
      <c r="A8" s="9">
        <v>7</v>
      </c>
      <c r="B8" s="9">
        <v>167</v>
      </c>
      <c r="C8" s="9">
        <v>-1</v>
      </c>
      <c r="D8" s="9">
        <v>-1</v>
      </c>
      <c r="E8" s="9"/>
      <c r="F8" s="9" t="s">
        <v>6</v>
      </c>
    </row>
    <row r="9" spans="1:6">
      <c r="A9" s="9">
        <v>8</v>
      </c>
      <c r="B9" s="9">
        <v>167</v>
      </c>
      <c r="C9" s="9">
        <v>-1</v>
      </c>
      <c r="D9" s="9">
        <v>-1</v>
      </c>
      <c r="E9" s="9"/>
      <c r="F9" s="9" t="s">
        <v>6</v>
      </c>
    </row>
    <row r="10" spans="1:6">
      <c r="A10" s="9">
        <v>9</v>
      </c>
      <c r="B10" s="9">
        <v>168</v>
      </c>
      <c r="C10" s="9">
        <v>-1</v>
      </c>
      <c r="D10" s="9">
        <v>-1</v>
      </c>
      <c r="E10" s="9"/>
      <c r="F10" s="9" t="s">
        <v>6</v>
      </c>
    </row>
    <row r="11" spans="1:6">
      <c r="A11" s="9">
        <v>10</v>
      </c>
      <c r="B11" s="9">
        <v>168</v>
      </c>
      <c r="C11" s="9">
        <v>-1</v>
      </c>
      <c r="D11" s="9">
        <v>-1</v>
      </c>
      <c r="E11" s="9"/>
      <c r="F11" s="9" t="s">
        <v>6</v>
      </c>
    </row>
    <row r="12" spans="1:6">
      <c r="A12" s="9">
        <v>11</v>
      </c>
      <c r="B12" s="9">
        <v>168</v>
      </c>
      <c r="C12" s="9">
        <v>-1</v>
      </c>
      <c r="D12" s="9">
        <v>-1</v>
      </c>
      <c r="E12" s="9"/>
      <c r="F12" s="9" t="s">
        <v>6</v>
      </c>
    </row>
    <row r="13" spans="1:6">
      <c r="A13" s="9">
        <v>12</v>
      </c>
      <c r="B13" s="9">
        <v>168</v>
      </c>
      <c r="C13" s="9">
        <v>-1</v>
      </c>
      <c r="D13" s="9">
        <v>-1</v>
      </c>
      <c r="E13" s="9"/>
      <c r="F13" s="9" t="s">
        <v>6</v>
      </c>
    </row>
    <row r="14" spans="1:6">
      <c r="A14" s="9">
        <v>13</v>
      </c>
      <c r="B14" s="9">
        <v>169</v>
      </c>
      <c r="C14" s="9">
        <v>-1</v>
      </c>
      <c r="D14" s="9">
        <v>-1</v>
      </c>
      <c r="E14" s="9"/>
      <c r="F14" s="9" t="s">
        <v>6</v>
      </c>
    </row>
    <row r="15" spans="1:6">
      <c r="A15" s="9">
        <v>14</v>
      </c>
      <c r="B15" s="9">
        <v>169</v>
      </c>
      <c r="C15" s="9">
        <v>-1</v>
      </c>
      <c r="D15" s="9">
        <v>-1</v>
      </c>
      <c r="E15" s="9"/>
      <c r="F15" s="9" t="s">
        <v>6</v>
      </c>
    </row>
    <row r="16" spans="1:6">
      <c r="A16" s="9">
        <v>15</v>
      </c>
      <c r="B16" s="9">
        <v>169</v>
      </c>
      <c r="C16" s="9">
        <v>-1</v>
      </c>
      <c r="D16" s="9">
        <v>-1</v>
      </c>
      <c r="E16" s="9"/>
      <c r="F16" s="9" t="s">
        <v>6</v>
      </c>
    </row>
    <row r="17" spans="1:6">
      <c r="A17" s="9">
        <v>16</v>
      </c>
      <c r="B17" s="9">
        <v>169</v>
      </c>
      <c r="C17" s="9">
        <v>-1</v>
      </c>
      <c r="D17" s="9">
        <v>-1</v>
      </c>
      <c r="E17" s="9"/>
      <c r="F17" s="9" t="s">
        <v>6</v>
      </c>
    </row>
    <row r="18" spans="1:6">
      <c r="A18" s="9">
        <v>17</v>
      </c>
      <c r="B18" s="9">
        <v>170</v>
      </c>
      <c r="C18" s="9">
        <v>-1</v>
      </c>
      <c r="D18" s="9">
        <v>-1</v>
      </c>
      <c r="E18" s="9"/>
      <c r="F18" s="9" t="s">
        <v>6</v>
      </c>
    </row>
    <row r="19" spans="1:6">
      <c r="A19" s="9">
        <v>18</v>
      </c>
      <c r="B19" s="9">
        <v>170</v>
      </c>
      <c r="C19" s="9">
        <v>-1</v>
      </c>
      <c r="D19" s="9">
        <v>-1</v>
      </c>
      <c r="E19" s="9"/>
      <c r="F19" s="9" t="s">
        <v>6</v>
      </c>
    </row>
    <row r="20" spans="1:6">
      <c r="A20" s="9">
        <v>19</v>
      </c>
      <c r="B20" s="9">
        <v>170</v>
      </c>
      <c r="C20" s="9">
        <v>-1</v>
      </c>
      <c r="D20" s="9">
        <v>-1</v>
      </c>
      <c r="E20" s="9"/>
      <c r="F20" s="9" t="s">
        <v>6</v>
      </c>
    </row>
    <row r="21" spans="1:6">
      <c r="A21" s="9">
        <v>20</v>
      </c>
      <c r="B21" s="9">
        <v>170</v>
      </c>
      <c r="C21" s="9">
        <v>-1</v>
      </c>
      <c r="D21" s="9">
        <v>-1</v>
      </c>
      <c r="E21" s="9"/>
      <c r="F21" s="9" t="s">
        <v>6</v>
      </c>
    </row>
    <row r="22" spans="1:6">
      <c r="A22" s="9">
        <v>21</v>
      </c>
      <c r="B22" s="9">
        <v>171</v>
      </c>
      <c r="C22" s="9">
        <v>-1</v>
      </c>
      <c r="D22" s="9">
        <v>-1</v>
      </c>
      <c r="E22" s="9"/>
      <c r="F22" s="9" t="s">
        <v>6</v>
      </c>
    </row>
    <row r="23" spans="1:6">
      <c r="A23" s="9">
        <v>22</v>
      </c>
      <c r="B23" s="9">
        <v>171</v>
      </c>
      <c r="C23" s="9">
        <v>-1</v>
      </c>
      <c r="D23" s="9">
        <v>-1</v>
      </c>
      <c r="E23" s="9"/>
      <c r="F23" s="9" t="s">
        <v>6</v>
      </c>
    </row>
    <row r="24" spans="1:6">
      <c r="A24" s="9">
        <v>23</v>
      </c>
      <c r="B24" s="9">
        <v>171</v>
      </c>
      <c r="C24" s="9">
        <v>-1</v>
      </c>
      <c r="D24" s="9">
        <v>-1</v>
      </c>
      <c r="E24" s="9"/>
      <c r="F24" s="9" t="s">
        <v>6</v>
      </c>
    </row>
    <row r="25" spans="1:6">
      <c r="A25" s="9">
        <v>24</v>
      </c>
      <c r="B25" s="9">
        <v>171</v>
      </c>
      <c r="C25" s="9">
        <v>-1</v>
      </c>
      <c r="D25" s="9">
        <v>-1</v>
      </c>
      <c r="E25" s="9"/>
      <c r="F25" s="9" t="s">
        <v>6</v>
      </c>
    </row>
    <row r="26" spans="1:6">
      <c r="A26" s="9">
        <v>25</v>
      </c>
      <c r="B26" s="9">
        <v>172</v>
      </c>
      <c r="C26" s="9">
        <v>-1</v>
      </c>
      <c r="D26" s="9">
        <v>-1</v>
      </c>
      <c r="E26" s="9"/>
      <c r="F26" s="9" t="s">
        <v>6</v>
      </c>
    </row>
    <row r="27" spans="1:6">
      <c r="A27" s="9">
        <v>26</v>
      </c>
      <c r="B27" s="9">
        <v>172</v>
      </c>
      <c r="C27" s="9">
        <v>-1</v>
      </c>
      <c r="D27" s="9">
        <v>-1</v>
      </c>
      <c r="E27" s="9"/>
      <c r="F27" s="9" t="s">
        <v>6</v>
      </c>
    </row>
    <row r="28" spans="1:6">
      <c r="A28" s="9">
        <v>27</v>
      </c>
      <c r="B28" s="9">
        <v>172</v>
      </c>
      <c r="C28" s="9">
        <v>-1</v>
      </c>
      <c r="D28" s="9">
        <v>-1</v>
      </c>
      <c r="E28" s="9"/>
      <c r="F28" s="9" t="s">
        <v>6</v>
      </c>
    </row>
    <row r="29" spans="1:6">
      <c r="A29" s="9">
        <v>28</v>
      </c>
      <c r="B29" s="9">
        <v>172</v>
      </c>
      <c r="C29" s="9">
        <v>-1</v>
      </c>
      <c r="D29" s="9">
        <v>-1</v>
      </c>
      <c r="E29" s="9"/>
      <c r="F29" s="9" t="s">
        <v>6</v>
      </c>
    </row>
    <row r="30" spans="1:6">
      <c r="A30" s="9">
        <v>29</v>
      </c>
      <c r="B30" s="9">
        <v>173</v>
      </c>
      <c r="C30" s="9">
        <v>-1</v>
      </c>
      <c r="D30" s="9">
        <v>-1</v>
      </c>
      <c r="E30" s="9"/>
      <c r="F30" s="9" t="s">
        <v>6</v>
      </c>
    </row>
    <row r="31" spans="1:6">
      <c r="A31" s="9">
        <v>30</v>
      </c>
      <c r="B31" s="9">
        <v>173</v>
      </c>
      <c r="C31" s="9">
        <v>-1</v>
      </c>
      <c r="D31" s="9">
        <v>-1</v>
      </c>
      <c r="E31" s="9"/>
      <c r="F31" s="9" t="s">
        <v>6</v>
      </c>
    </row>
    <row r="32" spans="1:6">
      <c r="A32" s="9">
        <v>31</v>
      </c>
      <c r="B32" s="9">
        <v>173</v>
      </c>
      <c r="C32" s="9">
        <v>-1</v>
      </c>
      <c r="D32" s="9">
        <v>-1</v>
      </c>
      <c r="E32" s="9"/>
      <c r="F32" s="9" t="s">
        <v>6</v>
      </c>
    </row>
    <row r="33" spans="1:6">
      <c r="A33" s="9">
        <v>32</v>
      </c>
      <c r="B33" s="9">
        <v>173</v>
      </c>
      <c r="C33" s="9">
        <v>-1</v>
      </c>
      <c r="D33" s="9">
        <v>-1</v>
      </c>
      <c r="E33" s="9"/>
      <c r="F33" s="9" t="s">
        <v>6</v>
      </c>
    </row>
    <row r="34" spans="1:6">
      <c r="A34" s="9">
        <v>33</v>
      </c>
      <c r="B34" s="9">
        <v>174</v>
      </c>
      <c r="C34" s="9">
        <v>-1</v>
      </c>
      <c r="D34" s="9">
        <v>-1</v>
      </c>
      <c r="E34" s="9"/>
      <c r="F34" s="9" t="s">
        <v>6</v>
      </c>
    </row>
    <row r="35" spans="1:6">
      <c r="A35" s="9">
        <v>34</v>
      </c>
      <c r="B35" s="9">
        <v>174</v>
      </c>
      <c r="C35" s="9">
        <v>-1</v>
      </c>
      <c r="D35" s="9">
        <v>-1</v>
      </c>
      <c r="E35" s="9"/>
      <c r="F35" s="9" t="s">
        <v>6</v>
      </c>
    </row>
    <row r="36" spans="1:6">
      <c r="A36" s="9">
        <v>35</v>
      </c>
      <c r="B36" s="9">
        <v>174</v>
      </c>
      <c r="C36" s="9">
        <v>-1</v>
      </c>
      <c r="D36" s="9">
        <v>-1</v>
      </c>
      <c r="E36" s="9"/>
      <c r="F36" s="9" t="s">
        <v>6</v>
      </c>
    </row>
    <row r="37" spans="1:6">
      <c r="A37" s="9">
        <v>36</v>
      </c>
      <c r="B37" s="9">
        <v>174</v>
      </c>
      <c r="C37" s="9">
        <v>-1</v>
      </c>
      <c r="D37" s="9">
        <v>-1</v>
      </c>
      <c r="E37" s="9"/>
      <c r="F37" s="9" t="s">
        <v>6</v>
      </c>
    </row>
    <row r="38" spans="1:6">
      <c r="A38" s="9">
        <v>37</v>
      </c>
      <c r="B38" s="9">
        <v>175</v>
      </c>
      <c r="C38" s="9">
        <v>-1</v>
      </c>
      <c r="D38" s="9">
        <v>-1</v>
      </c>
      <c r="E38" s="9"/>
      <c r="F38" s="9" t="s">
        <v>6</v>
      </c>
    </row>
    <row r="39" spans="1:6">
      <c r="A39" s="9">
        <v>38</v>
      </c>
      <c r="B39" s="9">
        <v>175</v>
      </c>
      <c r="C39" s="9">
        <v>-1</v>
      </c>
      <c r="D39" s="9">
        <v>-1</v>
      </c>
      <c r="E39" s="9"/>
      <c r="F39" s="9" t="s">
        <v>6</v>
      </c>
    </row>
    <row r="40" spans="1:6">
      <c r="A40" s="9">
        <v>39</v>
      </c>
      <c r="B40" s="9">
        <v>175</v>
      </c>
      <c r="C40" s="9">
        <v>-1</v>
      </c>
      <c r="D40" s="9">
        <v>-1</v>
      </c>
      <c r="E40" s="9"/>
      <c r="F40" s="9" t="s">
        <v>6</v>
      </c>
    </row>
    <row r="41" spans="1:6">
      <c r="A41" s="9">
        <v>40</v>
      </c>
      <c r="B41" s="9">
        <v>175</v>
      </c>
      <c r="C41" s="9">
        <v>-1</v>
      </c>
      <c r="D41" s="9">
        <v>-1</v>
      </c>
      <c r="E41" s="9"/>
      <c r="F41" s="9" t="s">
        <v>6</v>
      </c>
    </row>
    <row r="42" spans="1:6">
      <c r="A42" s="9">
        <v>41</v>
      </c>
      <c r="B42" s="9" t="s">
        <v>7</v>
      </c>
      <c r="C42" s="9">
        <v>21.349964237926098</v>
      </c>
      <c r="D42" s="9">
        <v>0.78747744697461597</v>
      </c>
      <c r="E42" s="9">
        <v>0.99856999999999996</v>
      </c>
      <c r="F42" s="9"/>
    </row>
    <row r="43" spans="1:6">
      <c r="A43" s="9">
        <v>42</v>
      </c>
      <c r="B43" s="9" t="s">
        <v>7</v>
      </c>
      <c r="C43" s="9">
        <v>21.1305461634796</v>
      </c>
      <c r="D43" s="9">
        <v>0.79765111495181396</v>
      </c>
      <c r="E43" s="9">
        <v>0.99785999999999997</v>
      </c>
      <c r="F43" s="9"/>
    </row>
    <row r="44" spans="1:6">
      <c r="A44" s="9">
        <v>43</v>
      </c>
      <c r="B44" s="9" t="s">
        <v>7</v>
      </c>
      <c r="C44" s="9">
        <v>21.2811157543495</v>
      </c>
      <c r="D44" s="9">
        <v>0.78638687356743797</v>
      </c>
      <c r="E44" s="9">
        <v>0.99843999999999999</v>
      </c>
      <c r="F44" s="9"/>
    </row>
    <row r="45" spans="1:6">
      <c r="A45" s="9">
        <v>44</v>
      </c>
      <c r="B45" s="9" t="s">
        <v>7</v>
      </c>
      <c r="C45" s="9">
        <v>21.252741404485501</v>
      </c>
      <c r="D45" s="9">
        <v>0.78668680401562097</v>
      </c>
      <c r="E45" s="9">
        <v>0.99843000000000004</v>
      </c>
      <c r="F45" s="9"/>
    </row>
    <row r="46" spans="1:6">
      <c r="A46" s="9">
        <v>45</v>
      </c>
      <c r="B46" s="9" t="s">
        <v>8</v>
      </c>
      <c r="C46" s="9">
        <v>-1</v>
      </c>
      <c r="D46" s="9">
        <v>-1</v>
      </c>
      <c r="E46" s="9"/>
      <c r="F46" s="9" t="s">
        <v>6</v>
      </c>
    </row>
    <row r="47" spans="1:6">
      <c r="A47" s="9">
        <v>46</v>
      </c>
      <c r="B47" s="9" t="s">
        <v>8</v>
      </c>
      <c r="C47" s="9">
        <v>-1</v>
      </c>
      <c r="D47" s="9">
        <v>-1</v>
      </c>
      <c r="E47" s="9"/>
      <c r="F47" s="9" t="s">
        <v>6</v>
      </c>
    </row>
    <row r="48" spans="1:6">
      <c r="A48" s="9">
        <v>47</v>
      </c>
      <c r="B48" s="9" t="s">
        <v>8</v>
      </c>
      <c r="C48" s="9">
        <v>-1</v>
      </c>
      <c r="D48" s="9">
        <v>-1</v>
      </c>
      <c r="E48" s="9"/>
      <c r="F48" s="9" t="s">
        <v>6</v>
      </c>
    </row>
    <row r="49" spans="1:6">
      <c r="A49" s="9">
        <v>48</v>
      </c>
      <c r="B49" s="9" t="s">
        <v>8</v>
      </c>
      <c r="C49" s="9">
        <v>-1</v>
      </c>
      <c r="D49" s="9">
        <v>-1</v>
      </c>
      <c r="E49" s="9"/>
      <c r="F49" s="9" t="s">
        <v>6</v>
      </c>
    </row>
  </sheetData>
  <sheetProtection algorithmName="SHA-512" hashValue="jc6+p+MAFePtTc7ssnWtcGuP9rJ/nyiagzZHyHMOo6GRF8JGxmD0sWyh4Yk//gOuO5W25nuovHX1qqc+ZQmJgQ==" saltValue="FlqTK8rHeeMUsDz79qMcEQ==" spinCount="100000" sheet="1" objects="1" scenarios="1" selectLockedCell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F49"/>
  <sheetViews>
    <sheetView workbookViewId="0">
      <selection sqref="A1:F49"/>
    </sheetView>
  </sheetViews>
  <sheetFormatPr defaultColWidth="9.140625" defaultRowHeight="15"/>
  <sheetData>
    <row r="1" spans="1:6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</row>
    <row r="2" spans="1:6">
      <c r="A2" s="10">
        <v>1</v>
      </c>
      <c r="B2" s="10">
        <v>166</v>
      </c>
      <c r="C2" s="10">
        <v>21.5059429205287</v>
      </c>
      <c r="D2" s="10">
        <v>1.0365915271461199</v>
      </c>
      <c r="E2" s="10">
        <v>0.99939</v>
      </c>
      <c r="F2" s="10"/>
    </row>
    <row r="3" spans="1:6">
      <c r="A3" s="10">
        <v>2</v>
      </c>
      <c r="B3" s="10">
        <v>166</v>
      </c>
      <c r="C3" s="10">
        <v>21.493907244578001</v>
      </c>
      <c r="D3" s="10">
        <v>1.0234237794982199</v>
      </c>
      <c r="E3" s="10">
        <v>0.99944</v>
      </c>
      <c r="F3" s="10"/>
    </row>
    <row r="4" spans="1:6">
      <c r="A4" s="10">
        <v>3</v>
      </c>
      <c r="B4" s="10">
        <v>166</v>
      </c>
      <c r="C4" s="10">
        <v>21.4489320429164</v>
      </c>
      <c r="D4" s="10">
        <v>1.00177885919285</v>
      </c>
      <c r="E4" s="10">
        <v>0.99948000000000004</v>
      </c>
      <c r="F4" s="10"/>
    </row>
    <row r="5" spans="1:6">
      <c r="A5" s="10">
        <v>4</v>
      </c>
      <c r="B5" s="10">
        <v>166</v>
      </c>
      <c r="C5" s="10">
        <v>21.4150993510886</v>
      </c>
      <c r="D5" s="10">
        <v>0.99235308269491096</v>
      </c>
      <c r="E5" s="10">
        <v>0.99953000000000003</v>
      </c>
      <c r="F5" s="10"/>
    </row>
    <row r="6" spans="1:6">
      <c r="A6" s="10">
        <v>5</v>
      </c>
      <c r="B6" s="10">
        <v>167</v>
      </c>
      <c r="C6" s="10">
        <v>21.0661908899766</v>
      </c>
      <c r="D6" s="10">
        <v>1.0503981633831101</v>
      </c>
      <c r="E6" s="10">
        <v>0.99880999999999998</v>
      </c>
      <c r="F6" s="10"/>
    </row>
    <row r="7" spans="1:6">
      <c r="A7" s="10">
        <v>6</v>
      </c>
      <c r="B7" s="10">
        <v>167</v>
      </c>
      <c r="C7" s="10">
        <v>20.953038660414698</v>
      </c>
      <c r="D7" s="10">
        <v>1.00742717949502</v>
      </c>
      <c r="E7" s="10">
        <v>0.99902999999999997</v>
      </c>
      <c r="F7" s="10"/>
    </row>
    <row r="8" spans="1:6">
      <c r="A8" s="10">
        <v>7</v>
      </c>
      <c r="B8" s="10">
        <v>167</v>
      </c>
      <c r="C8" s="10">
        <v>21.044167170519099</v>
      </c>
      <c r="D8" s="10">
        <v>1.08780551044021</v>
      </c>
      <c r="E8" s="10">
        <v>0.99834999999999996</v>
      </c>
      <c r="F8" s="10"/>
    </row>
    <row r="9" spans="1:6">
      <c r="A9" s="10">
        <v>8</v>
      </c>
      <c r="B9" s="10">
        <v>167</v>
      </c>
      <c r="C9" s="10">
        <v>20.977051727219902</v>
      </c>
      <c r="D9" s="10">
        <v>1.0671639704426401</v>
      </c>
      <c r="E9" s="10">
        <v>0.99838000000000005</v>
      </c>
      <c r="F9" s="10"/>
    </row>
    <row r="10" spans="1:6">
      <c r="A10" s="10">
        <v>9</v>
      </c>
      <c r="B10" s="10">
        <v>168</v>
      </c>
      <c r="C10" s="10">
        <v>22.037251732222401</v>
      </c>
      <c r="D10" s="10">
        <v>1.0569463595705</v>
      </c>
      <c r="E10" s="10">
        <v>0.99831999999999999</v>
      </c>
      <c r="F10" s="10"/>
    </row>
    <row r="11" spans="1:6">
      <c r="A11" s="10">
        <v>10</v>
      </c>
      <c r="B11" s="10">
        <v>168</v>
      </c>
      <c r="C11" s="10">
        <v>22.059829698475699</v>
      </c>
      <c r="D11" s="10">
        <v>1.0295595567045901</v>
      </c>
      <c r="E11" s="10">
        <v>0.99841999999999997</v>
      </c>
      <c r="F11" s="10"/>
    </row>
    <row r="12" spans="1:6">
      <c r="A12" s="10">
        <v>11</v>
      </c>
      <c r="B12" s="10">
        <v>168</v>
      </c>
      <c r="C12" s="10">
        <v>22.1029365863808</v>
      </c>
      <c r="D12" s="10">
        <v>1.03401531921376</v>
      </c>
      <c r="E12" s="10">
        <v>0.99873999999999996</v>
      </c>
      <c r="F12" s="10"/>
    </row>
    <row r="13" spans="1:6">
      <c r="A13" s="10">
        <v>12</v>
      </c>
      <c r="B13" s="10">
        <v>168</v>
      </c>
      <c r="C13" s="10">
        <v>22.033253619839702</v>
      </c>
      <c r="D13" s="10">
        <v>1.0526219007889499</v>
      </c>
      <c r="E13" s="10">
        <v>0.99833000000000005</v>
      </c>
      <c r="F13" s="10"/>
    </row>
    <row r="14" spans="1:6">
      <c r="A14" s="10">
        <v>13</v>
      </c>
      <c r="B14" s="10">
        <v>169</v>
      </c>
      <c r="C14" s="10">
        <v>22.9008564623092</v>
      </c>
      <c r="D14" s="10">
        <v>1.02322349062103</v>
      </c>
      <c r="E14" s="10">
        <v>0.999</v>
      </c>
      <c r="F14" s="10"/>
    </row>
    <row r="15" spans="1:6">
      <c r="A15" s="10">
        <v>14</v>
      </c>
      <c r="B15" s="10">
        <v>169</v>
      </c>
      <c r="C15" s="10">
        <v>22.9855077274715</v>
      </c>
      <c r="D15" s="10">
        <v>1.03948722332074</v>
      </c>
      <c r="E15" s="10">
        <v>0.99873000000000001</v>
      </c>
      <c r="F15" s="10"/>
    </row>
    <row r="16" spans="1:6">
      <c r="A16" s="10">
        <v>15</v>
      </c>
      <c r="B16" s="10">
        <v>169</v>
      </c>
      <c r="C16" s="10">
        <v>23.041824278008502</v>
      </c>
      <c r="D16" s="10">
        <v>1.0409044781632899</v>
      </c>
      <c r="E16" s="10">
        <v>0.99870999999999999</v>
      </c>
      <c r="F16" s="10"/>
    </row>
    <row r="17" spans="1:6">
      <c r="A17" s="10">
        <v>16</v>
      </c>
      <c r="B17" s="10">
        <v>169</v>
      </c>
      <c r="C17" s="10">
        <v>22.919939683030499</v>
      </c>
      <c r="D17" s="10">
        <v>1.0730228052623401</v>
      </c>
      <c r="E17" s="10">
        <v>0.99834999999999996</v>
      </c>
      <c r="F17" s="10"/>
    </row>
    <row r="18" spans="1:6">
      <c r="A18" s="10">
        <v>17</v>
      </c>
      <c r="B18" s="10">
        <v>170</v>
      </c>
      <c r="C18" s="10">
        <v>22.002569212450599</v>
      </c>
      <c r="D18" s="10">
        <v>1.0094254020753699</v>
      </c>
      <c r="E18" s="10">
        <v>0.99890000000000001</v>
      </c>
      <c r="F18" s="10"/>
    </row>
    <row r="19" spans="1:6">
      <c r="A19" s="10">
        <v>18</v>
      </c>
      <c r="B19" s="10">
        <v>170</v>
      </c>
      <c r="C19" s="10">
        <v>22.003533976876199</v>
      </c>
      <c r="D19" s="10">
        <v>1.0705244990834299</v>
      </c>
      <c r="E19" s="10">
        <v>0.99814000000000003</v>
      </c>
      <c r="F19" s="10"/>
    </row>
    <row r="20" spans="1:6">
      <c r="A20" s="10">
        <v>19</v>
      </c>
      <c r="B20" s="10">
        <v>170</v>
      </c>
      <c r="C20" s="10">
        <v>21.915280751351698</v>
      </c>
      <c r="D20" s="10">
        <v>1.06364646175767</v>
      </c>
      <c r="E20" s="10">
        <v>0.99841000000000002</v>
      </c>
      <c r="F20" s="10"/>
    </row>
    <row r="21" spans="1:6">
      <c r="A21" s="10">
        <v>20</v>
      </c>
      <c r="B21" s="10">
        <v>170</v>
      </c>
      <c r="C21" s="10">
        <v>22.0026769183015</v>
      </c>
      <c r="D21" s="10">
        <v>1.0637807187528701</v>
      </c>
      <c r="E21" s="10">
        <v>0.99831999999999999</v>
      </c>
      <c r="F21" s="10"/>
    </row>
    <row r="22" spans="1:6">
      <c r="A22" s="10">
        <v>21</v>
      </c>
      <c r="B22" s="10">
        <v>171</v>
      </c>
      <c r="C22" s="10">
        <v>21.219692848400999</v>
      </c>
      <c r="D22" s="10">
        <v>0.99542784581549004</v>
      </c>
      <c r="E22" s="10">
        <v>0.99922</v>
      </c>
      <c r="F22" s="10"/>
    </row>
    <row r="23" spans="1:6">
      <c r="A23" s="10">
        <v>22</v>
      </c>
      <c r="B23" s="10">
        <v>171</v>
      </c>
      <c r="C23" s="10">
        <v>21.1636931467172</v>
      </c>
      <c r="D23" s="10">
        <v>1.01735017924465</v>
      </c>
      <c r="E23" s="10">
        <v>0.99902000000000002</v>
      </c>
      <c r="F23" s="10"/>
    </row>
    <row r="24" spans="1:6">
      <c r="A24" s="10">
        <v>23</v>
      </c>
      <c r="B24" s="10">
        <v>171</v>
      </c>
      <c r="C24" s="10">
        <v>21.1844251349922</v>
      </c>
      <c r="D24" s="10">
        <v>1.0260376298384599</v>
      </c>
      <c r="E24" s="10">
        <v>0.99890999999999996</v>
      </c>
      <c r="F24" s="10"/>
    </row>
    <row r="25" spans="1:6">
      <c r="A25" s="10">
        <v>24</v>
      </c>
      <c r="B25" s="10">
        <v>171</v>
      </c>
      <c r="C25" s="10">
        <v>21.1831715467892</v>
      </c>
      <c r="D25" s="10">
        <v>1.0234900142021199</v>
      </c>
      <c r="E25" s="10">
        <v>0.99887999999999999</v>
      </c>
      <c r="F25" s="10"/>
    </row>
    <row r="26" spans="1:6">
      <c r="A26" s="10">
        <v>25</v>
      </c>
      <c r="B26" s="10">
        <v>172</v>
      </c>
      <c r="C26" s="10">
        <v>20.689196236866401</v>
      </c>
      <c r="D26" s="10">
        <v>1.05743544306985</v>
      </c>
      <c r="E26" s="10">
        <v>0.99882000000000004</v>
      </c>
      <c r="F26" s="10"/>
    </row>
    <row r="27" spans="1:6">
      <c r="A27" s="10">
        <v>26</v>
      </c>
      <c r="B27" s="10">
        <v>172</v>
      </c>
      <c r="C27" s="10">
        <v>20.627183333361</v>
      </c>
      <c r="D27" s="10">
        <v>0.97540377523774102</v>
      </c>
      <c r="E27" s="10">
        <v>0.99941999999999998</v>
      </c>
      <c r="F27" s="10"/>
    </row>
    <row r="28" spans="1:6">
      <c r="A28" s="10">
        <v>27</v>
      </c>
      <c r="B28" s="10">
        <v>172</v>
      </c>
      <c r="C28" s="10">
        <v>20.721591759773599</v>
      </c>
      <c r="D28" s="10">
        <v>1.0823009461545801</v>
      </c>
      <c r="E28" s="10">
        <v>0.99844999999999995</v>
      </c>
      <c r="F28" s="10"/>
    </row>
    <row r="29" spans="1:6">
      <c r="A29" s="10">
        <v>28</v>
      </c>
      <c r="B29" s="10">
        <v>172</v>
      </c>
      <c r="C29" s="10">
        <v>20.532854030707199</v>
      </c>
      <c r="D29" s="10">
        <v>1.0267697424253599</v>
      </c>
      <c r="E29" s="10">
        <v>0.99841999999999997</v>
      </c>
      <c r="F29" s="10"/>
    </row>
    <row r="30" spans="1:6">
      <c r="A30" s="10">
        <v>29</v>
      </c>
      <c r="B30" s="10">
        <v>173</v>
      </c>
      <c r="C30" s="10">
        <v>23.0700278464947</v>
      </c>
      <c r="D30" s="10">
        <v>0.98612344859769696</v>
      </c>
      <c r="E30" s="10">
        <v>0.99929000000000001</v>
      </c>
      <c r="F30" s="10"/>
    </row>
    <row r="31" spans="1:6">
      <c r="A31" s="10">
        <v>30</v>
      </c>
      <c r="B31" s="10">
        <v>173</v>
      </c>
      <c r="C31" s="10">
        <v>23.147438224085999</v>
      </c>
      <c r="D31" s="10">
        <v>1.01259391458783</v>
      </c>
      <c r="E31" s="10">
        <v>0.99905999999999995</v>
      </c>
      <c r="F31" s="10"/>
    </row>
    <row r="32" spans="1:6">
      <c r="A32" s="10">
        <v>31</v>
      </c>
      <c r="B32" s="10">
        <v>173</v>
      </c>
      <c r="C32" s="10">
        <v>23.11228939706</v>
      </c>
      <c r="D32" s="10">
        <v>1.0019992498499499</v>
      </c>
      <c r="E32" s="10">
        <v>0.99914000000000003</v>
      </c>
      <c r="F32" s="10"/>
    </row>
    <row r="33" spans="1:6">
      <c r="A33" s="10">
        <v>32</v>
      </c>
      <c r="B33" s="10">
        <v>173</v>
      </c>
      <c r="C33" s="10">
        <v>23.120972016962799</v>
      </c>
      <c r="D33" s="10">
        <v>0.98361004254308204</v>
      </c>
      <c r="E33" s="10">
        <v>0.99919000000000002</v>
      </c>
      <c r="F33" s="10"/>
    </row>
    <row r="34" spans="1:6">
      <c r="A34" s="10">
        <v>33</v>
      </c>
      <c r="B34" s="10">
        <v>174</v>
      </c>
      <c r="C34" s="10">
        <v>21.318350561503099</v>
      </c>
      <c r="D34" s="10">
        <v>0.97453141387448605</v>
      </c>
      <c r="E34" s="10">
        <v>0.99934000000000001</v>
      </c>
      <c r="F34" s="10"/>
    </row>
    <row r="35" spans="1:6">
      <c r="A35" s="10">
        <v>34</v>
      </c>
      <c r="B35" s="10">
        <v>174</v>
      </c>
      <c r="C35" s="10">
        <v>21.256758022411798</v>
      </c>
      <c r="D35" s="10">
        <v>0.96335605116700396</v>
      </c>
      <c r="E35" s="10">
        <v>0.99933000000000005</v>
      </c>
      <c r="F35" s="10"/>
    </row>
    <row r="36" spans="1:6">
      <c r="A36" s="10">
        <v>35</v>
      </c>
      <c r="B36" s="10">
        <v>174</v>
      </c>
      <c r="C36" s="10">
        <v>21.212759146641702</v>
      </c>
      <c r="D36" s="10">
        <v>0.95507120679468205</v>
      </c>
      <c r="E36" s="10">
        <v>0.99934000000000001</v>
      </c>
      <c r="F36" s="10"/>
    </row>
    <row r="37" spans="1:6">
      <c r="A37" s="10">
        <v>36</v>
      </c>
      <c r="B37" s="10">
        <v>174</v>
      </c>
      <c r="C37" s="10">
        <v>21.259078277681699</v>
      </c>
      <c r="D37" s="10">
        <v>0.94605143936514702</v>
      </c>
      <c r="E37" s="10">
        <v>0.99941999999999998</v>
      </c>
      <c r="F37" s="10"/>
    </row>
    <row r="38" spans="1:6">
      <c r="A38" s="10">
        <v>37</v>
      </c>
      <c r="B38" s="10">
        <v>175</v>
      </c>
      <c r="C38" s="10">
        <v>23.350740156643202</v>
      </c>
      <c r="D38" s="10">
        <v>0.95143061590293398</v>
      </c>
      <c r="E38" s="10">
        <v>0.99965999999999999</v>
      </c>
      <c r="F38" s="10"/>
    </row>
    <row r="39" spans="1:6">
      <c r="A39" s="10">
        <v>38</v>
      </c>
      <c r="B39" s="10">
        <v>175</v>
      </c>
      <c r="C39" s="10">
        <v>23.2833469367473</v>
      </c>
      <c r="D39" s="10">
        <v>0.966098281424979</v>
      </c>
      <c r="E39" s="10">
        <v>0.99941000000000002</v>
      </c>
      <c r="F39" s="10"/>
    </row>
    <row r="40" spans="1:6">
      <c r="A40" s="10">
        <v>39</v>
      </c>
      <c r="B40" s="10">
        <v>175</v>
      </c>
      <c r="C40" s="10">
        <v>23.250833358491001</v>
      </c>
      <c r="D40" s="10">
        <v>0.97438130796755495</v>
      </c>
      <c r="E40" s="10">
        <v>0.99934999999999996</v>
      </c>
      <c r="F40" s="10"/>
    </row>
    <row r="41" spans="1:6">
      <c r="A41" s="10">
        <v>40</v>
      </c>
      <c r="B41" s="10">
        <v>175</v>
      </c>
      <c r="C41" s="10">
        <v>23.167759121904702</v>
      </c>
      <c r="D41" s="10">
        <v>0.98900878742027598</v>
      </c>
      <c r="E41" s="10">
        <v>0.99917</v>
      </c>
      <c r="F41" s="10"/>
    </row>
    <row r="42" spans="1:6">
      <c r="A42" s="10">
        <v>41</v>
      </c>
      <c r="B42" s="10" t="s">
        <v>7</v>
      </c>
      <c r="C42" s="10">
        <v>33.079265953315598</v>
      </c>
      <c r="D42" s="10">
        <v>0.70090198365031198</v>
      </c>
      <c r="E42" s="10">
        <v>0.99963000000000002</v>
      </c>
      <c r="F42" s="10"/>
    </row>
    <row r="43" spans="1:6">
      <c r="A43" s="10">
        <v>42</v>
      </c>
      <c r="B43" s="10" t="s">
        <v>7</v>
      </c>
      <c r="C43" s="10">
        <v>33.683416247997002</v>
      </c>
      <c r="D43" s="10">
        <v>0.67343489539039703</v>
      </c>
      <c r="E43" s="10">
        <v>0.99931999999999999</v>
      </c>
      <c r="F43" s="10"/>
    </row>
    <row r="44" spans="1:6">
      <c r="A44" s="10">
        <v>43</v>
      </c>
      <c r="B44" s="10" t="s">
        <v>7</v>
      </c>
      <c r="C44" s="10">
        <v>34.263386417308197</v>
      </c>
      <c r="D44" s="10">
        <v>0.64913006911426796</v>
      </c>
      <c r="E44" s="10">
        <v>0.99899000000000004</v>
      </c>
      <c r="F44" s="10"/>
    </row>
    <row r="45" spans="1:6">
      <c r="A45" s="10">
        <v>44</v>
      </c>
      <c r="B45" s="10" t="s">
        <v>7</v>
      </c>
      <c r="C45" s="10">
        <v>35.025404883303402</v>
      </c>
      <c r="D45" s="10">
        <v>0.613302550036807</v>
      </c>
      <c r="E45" s="10">
        <v>0.99821000000000004</v>
      </c>
      <c r="F45" s="10"/>
    </row>
    <row r="46" spans="1:6">
      <c r="A46" s="10">
        <v>45</v>
      </c>
      <c r="B46" s="10" t="s">
        <v>8</v>
      </c>
      <c r="C46" s="10">
        <v>36.364973931443302</v>
      </c>
      <c r="D46" s="10">
        <v>0.494480113341356</v>
      </c>
      <c r="E46" s="10">
        <v>0.96057999999999999</v>
      </c>
      <c r="F46" s="10"/>
    </row>
    <row r="47" spans="1:6">
      <c r="A47" s="10">
        <v>46</v>
      </c>
      <c r="B47" s="10" t="s">
        <v>8</v>
      </c>
      <c r="C47" s="10">
        <v>36.411096031577401</v>
      </c>
      <c r="D47" s="10">
        <v>0.53580525494616604</v>
      </c>
      <c r="E47" s="10">
        <v>0.97099000000000002</v>
      </c>
      <c r="F47" s="10"/>
    </row>
    <row r="48" spans="1:6">
      <c r="A48" s="10">
        <v>47</v>
      </c>
      <c r="B48" s="10" t="s">
        <v>8</v>
      </c>
      <c r="C48" s="10">
        <v>37.131427968136698</v>
      </c>
      <c r="D48" s="10">
        <v>0.47944981745026199</v>
      </c>
      <c r="E48" s="10">
        <v>0.96431999999999995</v>
      </c>
      <c r="F48" s="10"/>
    </row>
    <row r="49" spans="1:6">
      <c r="A49" s="10">
        <v>48</v>
      </c>
      <c r="B49" s="10" t="s">
        <v>8</v>
      </c>
      <c r="C49" s="10">
        <v>37.251122242609398</v>
      </c>
      <c r="D49" s="10">
        <v>0.41666940516225798</v>
      </c>
      <c r="E49" s="10">
        <v>0.95896000000000003</v>
      </c>
      <c r="F49" s="10"/>
    </row>
  </sheetData>
  <sheetProtection algorithmName="SHA-512" hashValue="vu3pc4mDAoBpfvdd4bqUoZ92S9GAOHuY7OzOBqnPDRF3U7d41+1LNjIJ73fnTfKlpRGvM1UrWAXGqo3gJar4tw==" saltValue="0Q8bwgoOxbsNBYNV33a7xg==" spinCount="100000" sheet="1" objects="1" scenarios="1" selectLockedCell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2" tint="-0.499984740745262"/>
  </sheetPr>
  <dimension ref="A1:I49"/>
  <sheetViews>
    <sheetView workbookViewId="0">
      <selection activeCell="B2" sqref="B2"/>
    </sheetView>
  </sheetViews>
  <sheetFormatPr defaultColWidth="9.140625" defaultRowHeight="15"/>
  <cols>
    <col min="1" max="1" width="13.42578125" bestFit="1" customWidth="1"/>
    <col min="2" max="4" width="12" bestFit="1" customWidth="1"/>
    <col min="5" max="8" width="9.140625" style="3"/>
    <col min="9" max="9" width="15.42578125" bestFit="1" customWidth="1"/>
  </cols>
  <sheetData>
    <row r="1" spans="1:9" s="1" customFormat="1">
      <c r="A1" s="1" t="s">
        <v>1</v>
      </c>
      <c r="B1" s="1" t="s">
        <v>9</v>
      </c>
      <c r="C1" s="1" t="s">
        <v>10</v>
      </c>
      <c r="D1" s="1" t="s">
        <v>11</v>
      </c>
      <c r="E1" s="2" t="s">
        <v>9</v>
      </c>
      <c r="F1" s="2" t="s">
        <v>10</v>
      </c>
      <c r="G1" s="2" t="s">
        <v>12</v>
      </c>
      <c r="H1" s="2" t="s">
        <v>13</v>
      </c>
      <c r="I1" s="1" t="s">
        <v>14</v>
      </c>
    </row>
    <row r="2" spans="1:9">
      <c r="A2">
        <f>IF(AND('177T'!B2 = '18S2'!B2, '177T'!B2 = RNAseP!B2, '177T'!B2 &lt;&gt; ""), '177T'!B2, IF('177T'!B2 = "", "", "Mismatch"))</f>
        <v>166</v>
      </c>
      <c r="B2">
        <f>IF('177T'!C2="", "", '177T'!C2)</f>
        <v>-1</v>
      </c>
      <c r="C2">
        <f>IF('18S2'!C2="", "", '18S2'!C2)</f>
        <v>-1</v>
      </c>
      <c r="D2">
        <f>IF(RNAseP!C2="", "", RNAseP!C2)</f>
        <v>21.5059429205287</v>
      </c>
      <c r="E2" s="3" t="str">
        <f>IF(B2=-1, "-1", IF(B2&lt;VLOOKUP("177T", Cutoff!$A$1:$B$4, 2, FALSE), "1", "0"))</f>
        <v>-1</v>
      </c>
      <c r="F2" s="3" t="str">
        <f>IF(C2=-1, "-1", IF(C2&lt;VLOOKUP("18S2", Cutoff!$A$1:$B$4, 2, FALSE), "1", "0"))</f>
        <v>-1</v>
      </c>
      <c r="G2" s="3" t="str">
        <f>IF(D2=-1, "-1", IF(D2&lt;VLOOKUP("RNAseP", Cutoff!$A$1:$B$4, 2, FALSE), "1", "0"))</f>
        <v>1</v>
      </c>
      <c r="H2" s="3" t="str" cm="1">
        <f t="array" ref="H2">INDEX(Decision!$D$1:$D$28, MATCH(E2&amp;F2&amp;G2, Decision!$A$1:$A$28&amp;Decision!$B$1:$B$28&amp;Decision!$C$1:$C$28, 0))</f>
        <v>N</v>
      </c>
      <c r="I2" t="str" cm="1">
        <f t="array" ref="I2">INDEX(Decision!$E$1:$E$28, MATCH(E2&amp;F2&amp;G2, Decision!$A$1:$A$28&amp;Decision!$B$1:$B$28&amp;Decision!$C$1:$C$28, 0))</f>
        <v>negative</v>
      </c>
    </row>
    <row r="3" spans="1:9">
      <c r="A3">
        <f>IF(AND('177T'!B3 = '18S2'!B3, '177T'!B3 = RNAseP!B3, '177T'!B3 &lt;&gt; ""), '177T'!B3, IF('177T'!B3 = "", "", "Mismatch"))</f>
        <v>166</v>
      </c>
      <c r="B3">
        <f>IF('177T'!C3="", "", '177T'!C3)</f>
        <v>-1</v>
      </c>
      <c r="C3">
        <f>IF('18S2'!C3="", "", '18S2'!C3)</f>
        <v>-1</v>
      </c>
      <c r="D3">
        <f>IF(RNAseP!C3="", "", RNAseP!C3)</f>
        <v>21.493907244578001</v>
      </c>
      <c r="E3" s="3" t="str">
        <f>IF(B3=-1, "-1", IF(B3&lt;VLOOKUP("177T", Cutoff!$A$1:$B$4, 2, FALSE), "1", "0"))</f>
        <v>-1</v>
      </c>
      <c r="F3" s="3" t="str">
        <f>IF(C3=-1, "-1", IF(C3&lt;VLOOKUP("18S2", Cutoff!$A$1:$B$4, 2, FALSE), "1", "0"))</f>
        <v>-1</v>
      </c>
      <c r="G3" s="3" t="str">
        <f>IF(D3=-1, "-1", IF(D3&lt;VLOOKUP("RNAseP", Cutoff!$A$1:$B$4, 2, FALSE), "1", "0"))</f>
        <v>1</v>
      </c>
      <c r="H3" s="3" t="str" cm="1">
        <f t="array" ref="H3">INDEX(Decision!$D$1:$D$28, MATCH(E3&amp;F3&amp;G3, Decision!$A$1:$A$28&amp;Decision!$B$1:$B$28&amp;Decision!$C$1:$C$28, 0))</f>
        <v>N</v>
      </c>
      <c r="I3" t="str" cm="1">
        <f t="array" ref="I3">INDEX(Decision!$E$1:$E$28, MATCH(E3&amp;F3&amp;G3, Decision!$A$1:$A$28&amp;Decision!$B$1:$B$28&amp;Decision!$C$1:$C$28, 0))</f>
        <v>negative</v>
      </c>
    </row>
    <row r="4" spans="1:9">
      <c r="A4">
        <f>IF(AND('177T'!B4 = '18S2'!B4, '177T'!B4 = RNAseP!B4, '177T'!B4 &lt;&gt; ""), '177T'!B4, IF('177T'!B4 = "", "", "Mismatch"))</f>
        <v>166</v>
      </c>
      <c r="B4">
        <f>IF('177T'!C4="", "", '177T'!C4)</f>
        <v>-1</v>
      </c>
      <c r="C4">
        <f>IF('18S2'!C4="", "", '18S2'!C4)</f>
        <v>-1</v>
      </c>
      <c r="D4">
        <f>IF(RNAseP!C4="", "", RNAseP!C4)</f>
        <v>21.4489320429164</v>
      </c>
      <c r="E4" s="3" t="str">
        <f>IF(B4=-1, "-1", IF(B4&lt;VLOOKUP("177T", Cutoff!$A$1:$B$4, 2, FALSE), "1", "0"))</f>
        <v>-1</v>
      </c>
      <c r="F4" s="3" t="str">
        <f>IF(C4=-1, "-1", IF(C4&lt;VLOOKUP("18S2", Cutoff!$A$1:$B$4, 2, FALSE), "1", "0"))</f>
        <v>-1</v>
      </c>
      <c r="G4" s="3" t="str">
        <f>IF(D4=-1, "-1", IF(D4&lt;VLOOKUP("RNAseP", Cutoff!$A$1:$B$4, 2, FALSE), "1", "0"))</f>
        <v>1</v>
      </c>
      <c r="H4" s="3" t="str" cm="1">
        <f t="array" ref="H4">INDEX(Decision!$D$1:$D$28, MATCH(E4&amp;F4&amp;G4, Decision!$A$1:$A$28&amp;Decision!$B$1:$B$28&amp;Decision!$C$1:$C$28, 0))</f>
        <v>N</v>
      </c>
      <c r="I4" t="str" cm="1">
        <f t="array" ref="I4">INDEX(Decision!$E$1:$E$28, MATCH(E4&amp;F4&amp;G4, Decision!$A$1:$A$28&amp;Decision!$B$1:$B$28&amp;Decision!$C$1:$C$28, 0))</f>
        <v>negative</v>
      </c>
    </row>
    <row r="5" spans="1:9">
      <c r="A5">
        <f>IF(AND('177T'!B5 = '18S2'!B5, '177T'!B5 = RNAseP!B5, '177T'!B5 &lt;&gt; ""), '177T'!B5, IF('177T'!B5 = "", "", "Mismatch"))</f>
        <v>166</v>
      </c>
      <c r="B5">
        <f>IF('177T'!C5="", "", '177T'!C5)</f>
        <v>-1</v>
      </c>
      <c r="C5">
        <f>IF('18S2'!C5="", "", '18S2'!C5)</f>
        <v>-1</v>
      </c>
      <c r="D5">
        <f>IF(RNAseP!C5="", "", RNAseP!C5)</f>
        <v>21.4150993510886</v>
      </c>
      <c r="E5" s="3" t="str">
        <f>IF(B5=-1, "-1", IF(B5&lt;VLOOKUP("177T", Cutoff!$A$1:$B$4, 2, FALSE), "1", "0"))</f>
        <v>-1</v>
      </c>
      <c r="F5" s="3" t="str">
        <f>IF(C5=-1, "-1", IF(C5&lt;VLOOKUP("18S2", Cutoff!$A$1:$B$4, 2, FALSE), "1", "0"))</f>
        <v>-1</v>
      </c>
      <c r="G5" s="3" t="str">
        <f>IF(D5=-1, "-1", IF(D5&lt;VLOOKUP("RNAseP", Cutoff!$A$1:$B$4, 2, FALSE), "1", "0"))</f>
        <v>1</v>
      </c>
      <c r="H5" s="3" t="str" cm="1">
        <f t="array" ref="H5">INDEX(Decision!$D$1:$D$28, MATCH(E5&amp;F5&amp;G5, Decision!$A$1:$A$28&amp;Decision!$B$1:$B$28&amp;Decision!$C$1:$C$28, 0))</f>
        <v>N</v>
      </c>
      <c r="I5" t="str" cm="1">
        <f t="array" ref="I5">INDEX(Decision!$E$1:$E$28, MATCH(E5&amp;F5&amp;G5, Decision!$A$1:$A$28&amp;Decision!$B$1:$B$28&amp;Decision!$C$1:$C$28, 0))</f>
        <v>negative</v>
      </c>
    </row>
    <row r="6" spans="1:9">
      <c r="A6">
        <f>IF(AND('177T'!B6 = '18S2'!B6, '177T'!B6 = RNAseP!B6, '177T'!B6 &lt;&gt; ""), '177T'!B6, IF('177T'!B6 = "", "", "Mismatch"))</f>
        <v>167</v>
      </c>
      <c r="B6">
        <f>IF('177T'!C6="", "", '177T'!C6)</f>
        <v>-1</v>
      </c>
      <c r="C6">
        <f>IF('18S2'!C6="", "", '18S2'!C6)</f>
        <v>-1</v>
      </c>
      <c r="D6">
        <f>IF(RNAseP!C6="", "", RNAseP!C6)</f>
        <v>21.0661908899766</v>
      </c>
      <c r="E6" s="3" t="str">
        <f>IF(B6=-1, "-1", IF(B6&lt;VLOOKUP("177T", Cutoff!$A$1:$B$4, 2, FALSE), "1", "0"))</f>
        <v>-1</v>
      </c>
      <c r="F6" s="3" t="str">
        <f>IF(C6=-1, "-1", IF(C6&lt;VLOOKUP("18S2", Cutoff!$A$1:$B$4, 2, FALSE), "1", "0"))</f>
        <v>-1</v>
      </c>
      <c r="G6" s="3" t="str">
        <f>IF(D6=-1, "-1", IF(D6&lt;VLOOKUP("RNAseP", Cutoff!$A$1:$B$4, 2, FALSE), "1", "0"))</f>
        <v>1</v>
      </c>
      <c r="H6" s="3" t="str" cm="1">
        <f t="array" ref="H6">INDEX(Decision!$D$1:$D$28, MATCH(E6&amp;F6&amp;G6, Decision!$A$1:$A$28&amp;Decision!$B$1:$B$28&amp;Decision!$C$1:$C$28, 0))</f>
        <v>N</v>
      </c>
      <c r="I6" t="str" cm="1">
        <f t="array" ref="I6">INDEX(Decision!$E$1:$E$28, MATCH(E6&amp;F6&amp;G6, Decision!$A$1:$A$28&amp;Decision!$B$1:$B$28&amp;Decision!$C$1:$C$28, 0))</f>
        <v>negative</v>
      </c>
    </row>
    <row r="7" spans="1:9">
      <c r="A7">
        <f>IF(AND('177T'!B7 = '18S2'!B7, '177T'!B7 = RNAseP!B7, '177T'!B7 &lt;&gt; ""), '177T'!B7, IF('177T'!B7 = "", "", "Mismatch"))</f>
        <v>167</v>
      </c>
      <c r="B7">
        <f>IF('177T'!C7="", "", '177T'!C7)</f>
        <v>-1</v>
      </c>
      <c r="C7">
        <f>IF('18S2'!C7="", "", '18S2'!C7)</f>
        <v>-1</v>
      </c>
      <c r="D7">
        <f>IF(RNAseP!C7="", "", RNAseP!C7)</f>
        <v>20.953038660414698</v>
      </c>
      <c r="E7" s="3" t="str">
        <f>IF(B7=-1, "-1", IF(B7&lt;VLOOKUP("177T", Cutoff!$A$1:$B$4, 2, FALSE), "1", "0"))</f>
        <v>-1</v>
      </c>
      <c r="F7" s="3" t="str">
        <f>IF(C7=-1, "-1", IF(C7&lt;VLOOKUP("18S2", Cutoff!$A$1:$B$4, 2, FALSE), "1", "0"))</f>
        <v>-1</v>
      </c>
      <c r="G7" s="3" t="str">
        <f>IF(D7=-1, "-1", IF(D7&lt;VLOOKUP("RNAseP", Cutoff!$A$1:$B$4, 2, FALSE), "1", "0"))</f>
        <v>1</v>
      </c>
      <c r="H7" s="3" t="str" cm="1">
        <f t="array" ref="H7">INDEX(Decision!$D$1:$D$28, MATCH(E7&amp;F7&amp;G7, Decision!$A$1:$A$28&amp;Decision!$B$1:$B$28&amp;Decision!$C$1:$C$28, 0))</f>
        <v>N</v>
      </c>
      <c r="I7" t="str" cm="1">
        <f t="array" ref="I7">INDEX(Decision!$E$1:$E$28, MATCH(E7&amp;F7&amp;G7, Decision!$A$1:$A$28&amp;Decision!$B$1:$B$28&amp;Decision!$C$1:$C$28, 0))</f>
        <v>negative</v>
      </c>
    </row>
    <row r="8" spans="1:9">
      <c r="A8">
        <f>IF(AND('177T'!B8 = '18S2'!B8, '177T'!B8 = RNAseP!B8, '177T'!B8 &lt;&gt; ""), '177T'!B8, IF('177T'!B8 = "", "", "Mismatch"))</f>
        <v>167</v>
      </c>
      <c r="B8">
        <f>IF('177T'!C8="", "", '177T'!C8)</f>
        <v>-1</v>
      </c>
      <c r="C8">
        <f>IF('18S2'!C8="", "", '18S2'!C8)</f>
        <v>-1</v>
      </c>
      <c r="D8">
        <f>IF(RNAseP!C8="", "", RNAseP!C8)</f>
        <v>21.044167170519099</v>
      </c>
      <c r="E8" s="3" t="str">
        <f>IF(B8=-1, "-1", IF(B8&lt;VLOOKUP("177T", Cutoff!$A$1:$B$4, 2, FALSE), "1", "0"))</f>
        <v>-1</v>
      </c>
      <c r="F8" s="3" t="str">
        <f>IF(C8=-1, "-1", IF(C8&lt;VLOOKUP("18S2", Cutoff!$A$1:$B$4, 2, FALSE), "1", "0"))</f>
        <v>-1</v>
      </c>
      <c r="G8" s="3" t="str">
        <f>IF(D8=-1, "-1", IF(D8&lt;VLOOKUP("RNAseP", Cutoff!$A$1:$B$4, 2, FALSE), "1", "0"))</f>
        <v>1</v>
      </c>
      <c r="H8" s="3" t="str" cm="1">
        <f t="array" ref="H8">INDEX(Decision!$D$1:$D$28, MATCH(E8&amp;F8&amp;G8, Decision!$A$1:$A$28&amp;Decision!$B$1:$B$28&amp;Decision!$C$1:$C$28, 0))</f>
        <v>N</v>
      </c>
      <c r="I8" t="str" cm="1">
        <f t="array" ref="I8">INDEX(Decision!$E$1:$E$28, MATCH(E8&amp;F8&amp;G8, Decision!$A$1:$A$28&amp;Decision!$B$1:$B$28&amp;Decision!$C$1:$C$28, 0))</f>
        <v>negative</v>
      </c>
    </row>
    <row r="9" spans="1:9">
      <c r="A9">
        <f>IF(AND('177T'!B9 = '18S2'!B9, '177T'!B9 = RNAseP!B9, '177T'!B9 &lt;&gt; ""), '177T'!B9, IF('177T'!B9 = "", "", "Mismatch"))</f>
        <v>167</v>
      </c>
      <c r="B9">
        <f>IF('177T'!C9="", "", '177T'!C9)</f>
        <v>-1</v>
      </c>
      <c r="C9">
        <f>IF('18S2'!C9="", "", '18S2'!C9)</f>
        <v>-1</v>
      </c>
      <c r="D9">
        <f>IF(RNAseP!C9="", "", RNAseP!C9)</f>
        <v>20.977051727219902</v>
      </c>
      <c r="E9" s="3" t="str">
        <f>IF(B9=-1, "-1", IF(B9&lt;VLOOKUP("177T", Cutoff!$A$1:$B$4, 2, FALSE), "1", "0"))</f>
        <v>-1</v>
      </c>
      <c r="F9" s="3" t="str">
        <f>IF(C9=-1, "-1", IF(C9&lt;VLOOKUP("18S2", Cutoff!$A$1:$B$4, 2, FALSE), "1", "0"))</f>
        <v>-1</v>
      </c>
      <c r="G9" s="3" t="str">
        <f>IF(D9=-1, "-1", IF(D9&lt;VLOOKUP("RNAseP", Cutoff!$A$1:$B$4, 2, FALSE), "1", "0"))</f>
        <v>1</v>
      </c>
      <c r="H9" s="3" t="str" cm="1">
        <f t="array" ref="H9">INDEX(Decision!$D$1:$D$28, MATCH(E9&amp;F9&amp;G9, Decision!$A$1:$A$28&amp;Decision!$B$1:$B$28&amp;Decision!$C$1:$C$28, 0))</f>
        <v>N</v>
      </c>
      <c r="I9" t="str" cm="1">
        <f t="array" ref="I9">INDEX(Decision!$E$1:$E$28, MATCH(E9&amp;F9&amp;G9, Decision!$A$1:$A$28&amp;Decision!$B$1:$B$28&amp;Decision!$C$1:$C$28, 0))</f>
        <v>negative</v>
      </c>
    </row>
    <row r="10" spans="1:9">
      <c r="A10">
        <f>IF(AND('177T'!B10 = '18S2'!B10, '177T'!B10 = RNAseP!B10, '177T'!B10 &lt;&gt; ""), '177T'!B10, IF('177T'!B10 = "", "", "Mismatch"))</f>
        <v>168</v>
      </c>
      <c r="B10">
        <f>IF('177T'!C10="", "", '177T'!C10)</f>
        <v>-1</v>
      </c>
      <c r="C10">
        <f>IF('18S2'!C10="", "", '18S2'!C10)</f>
        <v>-1</v>
      </c>
      <c r="D10">
        <f>IF(RNAseP!C10="", "", RNAseP!C10)</f>
        <v>22.037251732222401</v>
      </c>
      <c r="E10" s="3" t="str">
        <f>IF(B10=-1, "-1", IF(B10&lt;VLOOKUP("177T", Cutoff!$A$1:$B$4, 2, FALSE), "1", "0"))</f>
        <v>-1</v>
      </c>
      <c r="F10" s="3" t="str">
        <f>IF(C10=-1, "-1", IF(C10&lt;VLOOKUP("18S2", Cutoff!$A$1:$B$4, 2, FALSE), "1", "0"))</f>
        <v>-1</v>
      </c>
      <c r="G10" s="3" t="str">
        <f>IF(D10=-1, "-1", IF(D10&lt;VLOOKUP("RNAseP", Cutoff!$A$1:$B$4, 2, FALSE), "1", "0"))</f>
        <v>1</v>
      </c>
      <c r="H10" s="3" t="str" cm="1">
        <f t="array" ref="H10">INDEX(Decision!$D$1:$D$28, MATCH(E10&amp;F10&amp;G10, Decision!$A$1:$A$28&amp;Decision!$B$1:$B$28&amp;Decision!$C$1:$C$28, 0))</f>
        <v>N</v>
      </c>
      <c r="I10" t="str" cm="1">
        <f t="array" ref="I10">INDEX(Decision!$E$1:$E$28, MATCH(E10&amp;F10&amp;G10, Decision!$A$1:$A$28&amp;Decision!$B$1:$B$28&amp;Decision!$C$1:$C$28, 0))</f>
        <v>negative</v>
      </c>
    </row>
    <row r="11" spans="1:9">
      <c r="A11">
        <f>IF(AND('177T'!B11 = '18S2'!B11, '177T'!B11 = RNAseP!B11, '177T'!B11 &lt;&gt; ""), '177T'!B11, IF('177T'!B11 = "", "", "Mismatch"))</f>
        <v>168</v>
      </c>
      <c r="B11">
        <f>IF('177T'!C11="", "", '177T'!C11)</f>
        <v>-1</v>
      </c>
      <c r="C11">
        <f>IF('18S2'!C11="", "", '18S2'!C11)</f>
        <v>-1</v>
      </c>
      <c r="D11">
        <f>IF(RNAseP!C11="", "", RNAseP!C11)</f>
        <v>22.059829698475699</v>
      </c>
      <c r="E11" s="3" t="str">
        <f>IF(B11=-1, "-1", IF(B11&lt;VLOOKUP("177T", Cutoff!$A$1:$B$4, 2, FALSE), "1", "0"))</f>
        <v>-1</v>
      </c>
      <c r="F11" s="3" t="str">
        <f>IF(C11=-1, "-1", IF(C11&lt;VLOOKUP("18S2", Cutoff!$A$1:$B$4, 2, FALSE), "1", "0"))</f>
        <v>-1</v>
      </c>
      <c r="G11" s="3" t="str">
        <f>IF(D11=-1, "-1", IF(D11&lt;VLOOKUP("RNAseP", Cutoff!$A$1:$B$4, 2, FALSE), "1", "0"))</f>
        <v>1</v>
      </c>
      <c r="H11" s="3" t="str" cm="1">
        <f t="array" ref="H11">INDEX(Decision!$D$1:$D$28, MATCH(E11&amp;F11&amp;G11, Decision!$A$1:$A$28&amp;Decision!$B$1:$B$28&amp;Decision!$C$1:$C$28, 0))</f>
        <v>N</v>
      </c>
      <c r="I11" t="str" cm="1">
        <f t="array" ref="I11">INDEX(Decision!$E$1:$E$28, MATCH(E11&amp;F11&amp;G11, Decision!$A$1:$A$28&amp;Decision!$B$1:$B$28&amp;Decision!$C$1:$C$28, 0))</f>
        <v>negative</v>
      </c>
    </row>
    <row r="12" spans="1:9">
      <c r="A12">
        <f>IF(AND('177T'!B12 = '18S2'!B12, '177T'!B12 = RNAseP!B12, '177T'!B12 &lt;&gt; ""), '177T'!B12, IF('177T'!B12 = "", "", "Mismatch"))</f>
        <v>168</v>
      </c>
      <c r="B12">
        <f>IF('177T'!C12="", "", '177T'!C12)</f>
        <v>-1</v>
      </c>
      <c r="C12">
        <f>IF('18S2'!C12="", "", '18S2'!C12)</f>
        <v>-1</v>
      </c>
      <c r="D12">
        <f>IF(RNAseP!C12="", "", RNAseP!C12)</f>
        <v>22.1029365863808</v>
      </c>
      <c r="E12" s="3" t="str">
        <f>IF(B12=-1, "-1", IF(B12&lt;VLOOKUP("177T", Cutoff!$A$1:$B$4, 2, FALSE), "1", "0"))</f>
        <v>-1</v>
      </c>
      <c r="F12" s="3" t="str">
        <f>IF(C12=-1, "-1", IF(C12&lt;VLOOKUP("18S2", Cutoff!$A$1:$B$4, 2, FALSE), "1", "0"))</f>
        <v>-1</v>
      </c>
      <c r="G12" s="3" t="str">
        <f>IF(D12=-1, "-1", IF(D12&lt;VLOOKUP("RNAseP", Cutoff!$A$1:$B$4, 2, FALSE), "1", "0"))</f>
        <v>1</v>
      </c>
      <c r="H12" s="3" t="str" cm="1">
        <f t="array" ref="H12">INDEX(Decision!$D$1:$D$28, MATCH(E12&amp;F12&amp;G12, Decision!$A$1:$A$28&amp;Decision!$B$1:$B$28&amp;Decision!$C$1:$C$28, 0))</f>
        <v>N</v>
      </c>
      <c r="I12" t="str" cm="1">
        <f t="array" ref="I12">INDEX(Decision!$E$1:$E$28, MATCH(E12&amp;F12&amp;G12, Decision!$A$1:$A$28&amp;Decision!$B$1:$B$28&amp;Decision!$C$1:$C$28, 0))</f>
        <v>negative</v>
      </c>
    </row>
    <row r="13" spans="1:9">
      <c r="A13">
        <f>IF(AND('177T'!B13 = '18S2'!B13, '177T'!B13 = RNAseP!B13, '177T'!B13 &lt;&gt; ""), '177T'!B13, IF('177T'!B13 = "", "", "Mismatch"))</f>
        <v>168</v>
      </c>
      <c r="B13">
        <f>IF('177T'!C13="", "", '177T'!C13)</f>
        <v>-1</v>
      </c>
      <c r="C13">
        <f>IF('18S2'!C13="", "", '18S2'!C13)</f>
        <v>-1</v>
      </c>
      <c r="D13">
        <f>IF(RNAseP!C13="", "", RNAseP!C13)</f>
        <v>22.033253619839702</v>
      </c>
      <c r="E13" s="3" t="str">
        <f>IF(B13=-1, "-1", IF(B13&lt;VLOOKUP("177T", Cutoff!$A$1:$B$4, 2, FALSE), "1", "0"))</f>
        <v>-1</v>
      </c>
      <c r="F13" s="3" t="str">
        <f>IF(C13=-1, "-1", IF(C13&lt;VLOOKUP("18S2", Cutoff!$A$1:$B$4, 2, FALSE), "1", "0"))</f>
        <v>-1</v>
      </c>
      <c r="G13" s="3" t="str">
        <f>IF(D13=-1, "-1", IF(D13&lt;VLOOKUP("RNAseP", Cutoff!$A$1:$B$4, 2, FALSE), "1", "0"))</f>
        <v>1</v>
      </c>
      <c r="H13" s="3" t="str" cm="1">
        <f t="array" ref="H13">INDEX(Decision!$D$1:$D$28, MATCH(E13&amp;F13&amp;G13, Decision!$A$1:$A$28&amp;Decision!$B$1:$B$28&amp;Decision!$C$1:$C$28, 0))</f>
        <v>N</v>
      </c>
      <c r="I13" t="str" cm="1">
        <f t="array" ref="I13">INDEX(Decision!$E$1:$E$28, MATCH(E13&amp;F13&amp;G13, Decision!$A$1:$A$28&amp;Decision!$B$1:$B$28&amp;Decision!$C$1:$C$28, 0))</f>
        <v>negative</v>
      </c>
    </row>
    <row r="14" spans="1:9">
      <c r="A14">
        <f>IF(AND('177T'!B14 = '18S2'!B14, '177T'!B14 = RNAseP!B14, '177T'!B14 &lt;&gt; ""), '177T'!B14, IF('177T'!B14 = "", "", "Mismatch"))</f>
        <v>169</v>
      </c>
      <c r="B14">
        <f>IF('177T'!C14="", "", '177T'!C14)</f>
        <v>-1</v>
      </c>
      <c r="C14">
        <f>IF('18S2'!C14="", "", '18S2'!C14)</f>
        <v>-1</v>
      </c>
      <c r="D14">
        <f>IF(RNAseP!C14="", "", RNAseP!C14)</f>
        <v>22.9008564623092</v>
      </c>
      <c r="E14" s="3" t="str">
        <f>IF(B14=-1, "-1", IF(B14&lt;VLOOKUP("177T", Cutoff!$A$1:$B$4, 2, FALSE), "1", "0"))</f>
        <v>-1</v>
      </c>
      <c r="F14" s="3" t="str">
        <f>IF(C14=-1, "-1", IF(C14&lt;VLOOKUP("18S2", Cutoff!$A$1:$B$4, 2, FALSE), "1", "0"))</f>
        <v>-1</v>
      </c>
      <c r="G14" s="3" t="str">
        <f>IF(D14=-1, "-1", IF(D14&lt;VLOOKUP("RNAseP", Cutoff!$A$1:$B$4, 2, FALSE), "1", "0"))</f>
        <v>1</v>
      </c>
      <c r="H14" s="3" t="str" cm="1">
        <f t="array" ref="H14">INDEX(Decision!$D$1:$D$28, MATCH(E14&amp;F14&amp;G14, Decision!$A$1:$A$28&amp;Decision!$B$1:$B$28&amp;Decision!$C$1:$C$28, 0))</f>
        <v>N</v>
      </c>
      <c r="I14" t="str" cm="1">
        <f t="array" ref="I14">INDEX(Decision!$E$1:$E$28, MATCH(E14&amp;F14&amp;G14, Decision!$A$1:$A$28&amp;Decision!$B$1:$B$28&amp;Decision!$C$1:$C$28, 0))</f>
        <v>negative</v>
      </c>
    </row>
    <row r="15" spans="1:9">
      <c r="A15">
        <f>IF(AND('177T'!B15 = '18S2'!B15, '177T'!B15 = RNAseP!B15, '177T'!B15 &lt;&gt; ""), '177T'!B15, IF('177T'!B15 = "", "", "Mismatch"))</f>
        <v>169</v>
      </c>
      <c r="B15">
        <f>IF('177T'!C15="", "", '177T'!C15)</f>
        <v>-1</v>
      </c>
      <c r="C15">
        <f>IF('18S2'!C15="", "", '18S2'!C15)</f>
        <v>-1</v>
      </c>
      <c r="D15">
        <f>IF(RNAseP!C15="", "", RNAseP!C15)</f>
        <v>22.9855077274715</v>
      </c>
      <c r="E15" s="3" t="str">
        <f>IF(B15=-1, "-1", IF(B15&lt;VLOOKUP("177T", Cutoff!$A$1:$B$4, 2, FALSE), "1", "0"))</f>
        <v>-1</v>
      </c>
      <c r="F15" s="3" t="str">
        <f>IF(C15=-1, "-1", IF(C15&lt;VLOOKUP("18S2", Cutoff!$A$1:$B$4, 2, FALSE), "1", "0"))</f>
        <v>-1</v>
      </c>
      <c r="G15" s="3" t="str">
        <f>IF(D15=-1, "-1", IF(D15&lt;VLOOKUP("RNAseP", Cutoff!$A$1:$B$4, 2, FALSE), "1", "0"))</f>
        <v>1</v>
      </c>
      <c r="H15" s="3" t="str" cm="1">
        <f t="array" ref="H15">INDEX(Decision!$D$1:$D$28, MATCH(E15&amp;F15&amp;G15, Decision!$A$1:$A$28&amp;Decision!$B$1:$B$28&amp;Decision!$C$1:$C$28, 0))</f>
        <v>N</v>
      </c>
      <c r="I15" t="str" cm="1">
        <f t="array" ref="I15">INDEX(Decision!$E$1:$E$28, MATCH(E15&amp;F15&amp;G15, Decision!$A$1:$A$28&amp;Decision!$B$1:$B$28&amp;Decision!$C$1:$C$28, 0))</f>
        <v>negative</v>
      </c>
    </row>
    <row r="16" spans="1:9">
      <c r="A16">
        <f>IF(AND('177T'!B16 = '18S2'!B16, '177T'!B16 = RNAseP!B16, '177T'!B16 &lt;&gt; ""), '177T'!B16, IF('177T'!B16 = "", "", "Mismatch"))</f>
        <v>169</v>
      </c>
      <c r="B16">
        <f>IF('177T'!C16="", "", '177T'!C16)</f>
        <v>-1</v>
      </c>
      <c r="C16">
        <f>IF('18S2'!C16="", "", '18S2'!C16)</f>
        <v>-1</v>
      </c>
      <c r="D16">
        <f>IF(RNAseP!C16="", "", RNAseP!C16)</f>
        <v>23.041824278008502</v>
      </c>
      <c r="E16" s="3" t="str">
        <f>IF(B16=-1, "-1", IF(B16&lt;VLOOKUP("177T", Cutoff!$A$1:$B$4, 2, FALSE), "1", "0"))</f>
        <v>-1</v>
      </c>
      <c r="F16" s="3" t="str">
        <f>IF(C16=-1, "-1", IF(C16&lt;VLOOKUP("18S2", Cutoff!$A$1:$B$4, 2, FALSE), "1", "0"))</f>
        <v>-1</v>
      </c>
      <c r="G16" s="3" t="str">
        <f>IF(D16=-1, "-1", IF(D16&lt;VLOOKUP("RNAseP", Cutoff!$A$1:$B$4, 2, FALSE), "1", "0"))</f>
        <v>1</v>
      </c>
      <c r="H16" s="3" t="str" cm="1">
        <f t="array" ref="H16">INDEX(Decision!$D$1:$D$28, MATCH(E16&amp;F16&amp;G16, Decision!$A$1:$A$28&amp;Decision!$B$1:$B$28&amp;Decision!$C$1:$C$28, 0))</f>
        <v>N</v>
      </c>
      <c r="I16" t="str" cm="1">
        <f t="array" ref="I16">INDEX(Decision!$E$1:$E$28, MATCH(E16&amp;F16&amp;G16, Decision!$A$1:$A$28&amp;Decision!$B$1:$B$28&amp;Decision!$C$1:$C$28, 0))</f>
        <v>negative</v>
      </c>
    </row>
    <row r="17" spans="1:9">
      <c r="A17">
        <f>IF(AND('177T'!B17 = '18S2'!B17, '177T'!B17 = RNAseP!B17, '177T'!B17 &lt;&gt; ""), '177T'!B17, IF('177T'!B17 = "", "", "Mismatch"))</f>
        <v>169</v>
      </c>
      <c r="B17">
        <f>IF('177T'!C17="", "", '177T'!C17)</f>
        <v>-1</v>
      </c>
      <c r="C17">
        <f>IF('18S2'!C17="", "", '18S2'!C17)</f>
        <v>-1</v>
      </c>
      <c r="D17">
        <f>IF(RNAseP!C17="", "", RNAseP!C17)</f>
        <v>22.919939683030499</v>
      </c>
      <c r="E17" s="3" t="str">
        <f>IF(B17=-1, "-1", IF(B17&lt;VLOOKUP("177T", Cutoff!$A$1:$B$4, 2, FALSE), "1", "0"))</f>
        <v>-1</v>
      </c>
      <c r="F17" s="3" t="str">
        <f>IF(C17=-1, "-1", IF(C17&lt;VLOOKUP("18S2", Cutoff!$A$1:$B$4, 2, FALSE), "1", "0"))</f>
        <v>-1</v>
      </c>
      <c r="G17" s="3" t="str">
        <f>IF(D17=-1, "-1", IF(D17&lt;VLOOKUP("RNAseP", Cutoff!$A$1:$B$4, 2, FALSE), "1", "0"))</f>
        <v>1</v>
      </c>
      <c r="H17" s="3" t="str" cm="1">
        <f t="array" ref="H17">INDEX(Decision!$D$1:$D$28, MATCH(E17&amp;F17&amp;G17, Decision!$A$1:$A$28&amp;Decision!$B$1:$B$28&amp;Decision!$C$1:$C$28, 0))</f>
        <v>N</v>
      </c>
      <c r="I17" t="str" cm="1">
        <f t="array" ref="I17">INDEX(Decision!$E$1:$E$28, MATCH(E17&amp;F17&amp;G17, Decision!$A$1:$A$28&amp;Decision!$B$1:$B$28&amp;Decision!$C$1:$C$28, 0))</f>
        <v>negative</v>
      </c>
    </row>
    <row r="18" spans="1:9">
      <c r="A18">
        <f>IF(AND('177T'!B18 = '18S2'!B18, '177T'!B18 = RNAseP!B18, '177T'!B18 &lt;&gt; ""), '177T'!B18, IF('177T'!B18 = "", "", "Mismatch"))</f>
        <v>170</v>
      </c>
      <c r="B18">
        <f>IF('177T'!C18="", "", '177T'!C18)</f>
        <v>-1</v>
      </c>
      <c r="C18">
        <f>IF('18S2'!C18="", "", '18S2'!C18)</f>
        <v>-1</v>
      </c>
      <c r="D18">
        <f>IF(RNAseP!C18="", "", RNAseP!C18)</f>
        <v>22.002569212450599</v>
      </c>
      <c r="E18" s="3" t="str">
        <f>IF(B18=-1, "-1", IF(B18&lt;VLOOKUP("177T", Cutoff!$A$1:$B$4, 2, FALSE), "1", "0"))</f>
        <v>-1</v>
      </c>
      <c r="F18" s="3" t="str">
        <f>IF(C18=-1, "-1", IF(C18&lt;VLOOKUP("18S2", Cutoff!$A$1:$B$4, 2, FALSE), "1", "0"))</f>
        <v>-1</v>
      </c>
      <c r="G18" s="3" t="str">
        <f>IF(D18=-1, "-1", IF(D18&lt;VLOOKUP("RNAseP", Cutoff!$A$1:$B$4, 2, FALSE), "1", "0"))</f>
        <v>1</v>
      </c>
      <c r="H18" s="3" t="str" cm="1">
        <f t="array" ref="H18">INDEX(Decision!$D$1:$D$28, MATCH(E18&amp;F18&amp;G18, Decision!$A$1:$A$28&amp;Decision!$B$1:$B$28&amp;Decision!$C$1:$C$28, 0))</f>
        <v>N</v>
      </c>
      <c r="I18" t="str" cm="1">
        <f t="array" ref="I18">INDEX(Decision!$E$1:$E$28, MATCH(E18&amp;F18&amp;G18, Decision!$A$1:$A$28&amp;Decision!$B$1:$B$28&amp;Decision!$C$1:$C$28, 0))</f>
        <v>negative</v>
      </c>
    </row>
    <row r="19" spans="1:9">
      <c r="A19">
        <f>IF(AND('177T'!B19 = '18S2'!B19, '177T'!B19 = RNAseP!B19, '177T'!B19 &lt;&gt; ""), '177T'!B19, IF('177T'!B19 = "", "", "Mismatch"))</f>
        <v>170</v>
      </c>
      <c r="B19">
        <f>IF('177T'!C19="", "", '177T'!C19)</f>
        <v>-1</v>
      </c>
      <c r="C19">
        <f>IF('18S2'!C19="", "", '18S2'!C19)</f>
        <v>-1</v>
      </c>
      <c r="D19">
        <f>IF(RNAseP!C19="", "", RNAseP!C19)</f>
        <v>22.003533976876199</v>
      </c>
      <c r="E19" s="3" t="str">
        <f>IF(B19=-1, "-1", IF(B19&lt;VLOOKUP("177T", Cutoff!$A$1:$B$4, 2, FALSE), "1", "0"))</f>
        <v>-1</v>
      </c>
      <c r="F19" s="3" t="str">
        <f>IF(C19=-1, "-1", IF(C19&lt;VLOOKUP("18S2", Cutoff!$A$1:$B$4, 2, FALSE), "1", "0"))</f>
        <v>-1</v>
      </c>
      <c r="G19" s="3" t="str">
        <f>IF(D19=-1, "-1", IF(D19&lt;VLOOKUP("RNAseP", Cutoff!$A$1:$B$4, 2, FALSE), "1", "0"))</f>
        <v>1</v>
      </c>
      <c r="H19" s="3" t="str" cm="1">
        <f t="array" ref="H19">INDEX(Decision!$D$1:$D$28, MATCH(E19&amp;F19&amp;G19, Decision!$A$1:$A$28&amp;Decision!$B$1:$B$28&amp;Decision!$C$1:$C$28, 0))</f>
        <v>N</v>
      </c>
      <c r="I19" t="str" cm="1">
        <f t="array" ref="I19">INDEX(Decision!$E$1:$E$28, MATCH(E19&amp;F19&amp;G19, Decision!$A$1:$A$28&amp;Decision!$B$1:$B$28&amp;Decision!$C$1:$C$28, 0))</f>
        <v>negative</v>
      </c>
    </row>
    <row r="20" spans="1:9">
      <c r="A20">
        <f>IF(AND('177T'!B20 = '18S2'!B20, '177T'!B20 = RNAseP!B20, '177T'!B20 &lt;&gt; ""), '177T'!B20, IF('177T'!B20 = "", "", "Mismatch"))</f>
        <v>170</v>
      </c>
      <c r="B20">
        <f>IF('177T'!C20="", "", '177T'!C20)</f>
        <v>-1</v>
      </c>
      <c r="C20">
        <f>IF('18S2'!C20="", "", '18S2'!C20)</f>
        <v>-1</v>
      </c>
      <c r="D20">
        <f>IF(RNAseP!C20="", "", RNAseP!C20)</f>
        <v>21.915280751351698</v>
      </c>
      <c r="E20" s="3" t="str">
        <f>IF(B20=-1, "-1", IF(B20&lt;VLOOKUP("177T", Cutoff!$A$1:$B$4, 2, FALSE), "1", "0"))</f>
        <v>-1</v>
      </c>
      <c r="F20" s="3" t="str">
        <f>IF(C20=-1, "-1", IF(C20&lt;VLOOKUP("18S2", Cutoff!$A$1:$B$4, 2, FALSE), "1", "0"))</f>
        <v>-1</v>
      </c>
      <c r="G20" s="3" t="str">
        <f>IF(D20=-1, "-1", IF(D20&lt;VLOOKUP("RNAseP", Cutoff!$A$1:$B$4, 2, FALSE), "1", "0"))</f>
        <v>1</v>
      </c>
      <c r="H20" s="3" t="str" cm="1">
        <f t="array" ref="H20">INDEX(Decision!$D$1:$D$28, MATCH(E20&amp;F20&amp;G20, Decision!$A$1:$A$28&amp;Decision!$B$1:$B$28&amp;Decision!$C$1:$C$28, 0))</f>
        <v>N</v>
      </c>
      <c r="I20" t="str" cm="1">
        <f t="array" ref="I20">INDEX(Decision!$E$1:$E$28, MATCH(E20&amp;F20&amp;G20, Decision!$A$1:$A$28&amp;Decision!$B$1:$B$28&amp;Decision!$C$1:$C$28, 0))</f>
        <v>negative</v>
      </c>
    </row>
    <row r="21" spans="1:9">
      <c r="A21">
        <f>IF(AND('177T'!B21 = '18S2'!B21, '177T'!B21 = RNAseP!B21, '177T'!B21 &lt;&gt; ""), '177T'!B21, IF('177T'!B21 = "", "", "Mismatch"))</f>
        <v>170</v>
      </c>
      <c r="B21">
        <f>IF('177T'!C21="", "", '177T'!C21)</f>
        <v>-1</v>
      </c>
      <c r="C21">
        <f>IF('18S2'!C21="", "", '18S2'!C21)</f>
        <v>-1</v>
      </c>
      <c r="D21">
        <f>IF(RNAseP!C21="", "", RNAseP!C21)</f>
        <v>22.0026769183015</v>
      </c>
      <c r="E21" s="3" t="str">
        <f>IF(B21=-1, "-1", IF(B21&lt;VLOOKUP("177T", Cutoff!$A$1:$B$4, 2, FALSE), "1", "0"))</f>
        <v>-1</v>
      </c>
      <c r="F21" s="3" t="str">
        <f>IF(C21=-1, "-1", IF(C21&lt;VLOOKUP("18S2", Cutoff!$A$1:$B$4, 2, FALSE), "1", "0"))</f>
        <v>-1</v>
      </c>
      <c r="G21" s="3" t="str">
        <f>IF(D21=-1, "-1", IF(D21&lt;VLOOKUP("RNAseP", Cutoff!$A$1:$B$4, 2, FALSE), "1", "0"))</f>
        <v>1</v>
      </c>
      <c r="H21" s="3" t="str" cm="1">
        <f t="array" ref="H21">INDEX(Decision!$D$1:$D$28, MATCH(E21&amp;F21&amp;G21, Decision!$A$1:$A$28&amp;Decision!$B$1:$B$28&amp;Decision!$C$1:$C$28, 0))</f>
        <v>N</v>
      </c>
      <c r="I21" t="str" cm="1">
        <f t="array" ref="I21">INDEX(Decision!$E$1:$E$28, MATCH(E21&amp;F21&amp;G21, Decision!$A$1:$A$28&amp;Decision!$B$1:$B$28&amp;Decision!$C$1:$C$28, 0))</f>
        <v>negative</v>
      </c>
    </row>
    <row r="22" spans="1:9">
      <c r="A22">
        <f>IF(AND('177T'!B22 = '18S2'!B22, '177T'!B22 = RNAseP!B22, '177T'!B22 &lt;&gt; ""), '177T'!B22, IF('177T'!B22 = "", "", "Mismatch"))</f>
        <v>171</v>
      </c>
      <c r="B22">
        <f>IF('177T'!C22="", "", '177T'!C22)</f>
        <v>-1</v>
      </c>
      <c r="C22">
        <f>IF('18S2'!C22="", "", '18S2'!C22)</f>
        <v>-1</v>
      </c>
      <c r="D22">
        <f>IF(RNAseP!C22="", "", RNAseP!C22)</f>
        <v>21.219692848400999</v>
      </c>
      <c r="E22" s="3" t="str">
        <f>IF(B22=-1, "-1", IF(B22&lt;VLOOKUP("177T", Cutoff!$A$1:$B$4, 2, FALSE), "1", "0"))</f>
        <v>-1</v>
      </c>
      <c r="F22" s="3" t="str">
        <f>IF(C22=-1, "-1", IF(C22&lt;VLOOKUP("18S2", Cutoff!$A$1:$B$4, 2, FALSE), "1", "0"))</f>
        <v>-1</v>
      </c>
      <c r="G22" s="3" t="str">
        <f>IF(D22=-1, "-1", IF(D22&lt;VLOOKUP("RNAseP", Cutoff!$A$1:$B$4, 2, FALSE), "1", "0"))</f>
        <v>1</v>
      </c>
      <c r="H22" s="3" t="str" cm="1">
        <f t="array" ref="H22">INDEX(Decision!$D$1:$D$28, MATCH(E22&amp;F22&amp;G22, Decision!$A$1:$A$28&amp;Decision!$B$1:$B$28&amp;Decision!$C$1:$C$28, 0))</f>
        <v>N</v>
      </c>
      <c r="I22" t="str" cm="1">
        <f t="array" ref="I22">INDEX(Decision!$E$1:$E$28, MATCH(E22&amp;F22&amp;G22, Decision!$A$1:$A$28&amp;Decision!$B$1:$B$28&amp;Decision!$C$1:$C$28, 0))</f>
        <v>negative</v>
      </c>
    </row>
    <row r="23" spans="1:9">
      <c r="A23">
        <f>IF(AND('177T'!B23 = '18S2'!B23, '177T'!B23 = RNAseP!B23, '177T'!B23 &lt;&gt; ""), '177T'!B23, IF('177T'!B23 = "", "", "Mismatch"))</f>
        <v>171</v>
      </c>
      <c r="B23">
        <f>IF('177T'!C23="", "", '177T'!C23)</f>
        <v>-1</v>
      </c>
      <c r="C23">
        <f>IF('18S2'!C23="", "", '18S2'!C23)</f>
        <v>-1</v>
      </c>
      <c r="D23">
        <f>IF(RNAseP!C23="", "", RNAseP!C23)</f>
        <v>21.1636931467172</v>
      </c>
      <c r="E23" s="3" t="str">
        <f>IF(B23=-1, "-1", IF(B23&lt;VLOOKUP("177T", Cutoff!$A$1:$B$4, 2, FALSE), "1", "0"))</f>
        <v>-1</v>
      </c>
      <c r="F23" s="3" t="str">
        <f>IF(C23=-1, "-1", IF(C23&lt;VLOOKUP("18S2", Cutoff!$A$1:$B$4, 2, FALSE), "1", "0"))</f>
        <v>-1</v>
      </c>
      <c r="G23" s="3" t="str">
        <f>IF(D23=-1, "-1", IF(D23&lt;VLOOKUP("RNAseP", Cutoff!$A$1:$B$4, 2, FALSE), "1", "0"))</f>
        <v>1</v>
      </c>
      <c r="H23" s="3" t="str" cm="1">
        <f t="array" ref="H23">INDEX(Decision!$D$1:$D$28, MATCH(E23&amp;F23&amp;G23, Decision!$A$1:$A$28&amp;Decision!$B$1:$B$28&amp;Decision!$C$1:$C$28, 0))</f>
        <v>N</v>
      </c>
      <c r="I23" t="str" cm="1">
        <f t="array" ref="I23">INDEX(Decision!$E$1:$E$28, MATCH(E23&amp;F23&amp;G23, Decision!$A$1:$A$28&amp;Decision!$B$1:$B$28&amp;Decision!$C$1:$C$28, 0))</f>
        <v>negative</v>
      </c>
    </row>
    <row r="24" spans="1:9">
      <c r="A24">
        <f>IF(AND('177T'!B24 = '18S2'!B24, '177T'!B24 = RNAseP!B24, '177T'!B24 &lt;&gt; ""), '177T'!B24, IF('177T'!B24 = "", "", "Mismatch"))</f>
        <v>171</v>
      </c>
      <c r="B24">
        <f>IF('177T'!C24="", "", '177T'!C24)</f>
        <v>-1</v>
      </c>
      <c r="C24">
        <f>IF('18S2'!C24="", "", '18S2'!C24)</f>
        <v>-1</v>
      </c>
      <c r="D24">
        <f>IF(RNAseP!C24="", "", RNAseP!C24)</f>
        <v>21.1844251349922</v>
      </c>
      <c r="E24" s="3" t="str">
        <f>IF(B24=-1, "-1", IF(B24&lt;VLOOKUP("177T", Cutoff!$A$1:$B$4, 2, FALSE), "1", "0"))</f>
        <v>-1</v>
      </c>
      <c r="F24" s="3" t="str">
        <f>IF(C24=-1, "-1", IF(C24&lt;VLOOKUP("18S2", Cutoff!$A$1:$B$4, 2, FALSE), "1", "0"))</f>
        <v>-1</v>
      </c>
      <c r="G24" s="3" t="str">
        <f>IF(D24=-1, "-1", IF(D24&lt;VLOOKUP("RNAseP", Cutoff!$A$1:$B$4, 2, FALSE), "1", "0"))</f>
        <v>1</v>
      </c>
      <c r="H24" s="3" t="str" cm="1">
        <f t="array" ref="H24">INDEX(Decision!$D$1:$D$28, MATCH(E24&amp;F24&amp;G24, Decision!$A$1:$A$28&amp;Decision!$B$1:$B$28&amp;Decision!$C$1:$C$28, 0))</f>
        <v>N</v>
      </c>
      <c r="I24" t="str" cm="1">
        <f t="array" ref="I24">INDEX(Decision!$E$1:$E$28, MATCH(E24&amp;F24&amp;G24, Decision!$A$1:$A$28&amp;Decision!$B$1:$B$28&amp;Decision!$C$1:$C$28, 0))</f>
        <v>negative</v>
      </c>
    </row>
    <row r="25" spans="1:9">
      <c r="A25">
        <f>IF(AND('177T'!B25 = '18S2'!B25, '177T'!B25 = RNAseP!B25, '177T'!B25 &lt;&gt; ""), '177T'!B25, IF('177T'!B25 = "", "", "Mismatch"))</f>
        <v>171</v>
      </c>
      <c r="B25">
        <f>IF('177T'!C25="", "", '177T'!C25)</f>
        <v>-1</v>
      </c>
      <c r="C25">
        <f>IF('18S2'!C25="", "", '18S2'!C25)</f>
        <v>-1</v>
      </c>
      <c r="D25">
        <f>IF(RNAseP!C25="", "", RNAseP!C25)</f>
        <v>21.1831715467892</v>
      </c>
      <c r="E25" s="3" t="str">
        <f>IF(B25=-1, "-1", IF(B25&lt;VLOOKUP("177T", Cutoff!$A$1:$B$4, 2, FALSE), "1", "0"))</f>
        <v>-1</v>
      </c>
      <c r="F25" s="3" t="str">
        <f>IF(C25=-1, "-1", IF(C25&lt;VLOOKUP("18S2", Cutoff!$A$1:$B$4, 2, FALSE), "1", "0"))</f>
        <v>-1</v>
      </c>
      <c r="G25" s="3" t="str">
        <f>IF(D25=-1, "-1", IF(D25&lt;VLOOKUP("RNAseP", Cutoff!$A$1:$B$4, 2, FALSE), "1", "0"))</f>
        <v>1</v>
      </c>
      <c r="H25" s="3" t="str" cm="1">
        <f t="array" ref="H25">INDEX(Decision!$D$1:$D$28, MATCH(E25&amp;F25&amp;G25, Decision!$A$1:$A$28&amp;Decision!$B$1:$B$28&amp;Decision!$C$1:$C$28, 0))</f>
        <v>N</v>
      </c>
      <c r="I25" t="str" cm="1">
        <f t="array" ref="I25">INDEX(Decision!$E$1:$E$28, MATCH(E25&amp;F25&amp;G25, Decision!$A$1:$A$28&amp;Decision!$B$1:$B$28&amp;Decision!$C$1:$C$28, 0))</f>
        <v>negative</v>
      </c>
    </row>
    <row r="26" spans="1:9">
      <c r="A26">
        <f>IF(AND('177T'!B26 = '18S2'!B26, '177T'!B26 = RNAseP!B26, '177T'!B26 &lt;&gt; ""), '177T'!B26, IF('177T'!B26 = "", "", "Mismatch"))</f>
        <v>172</v>
      </c>
      <c r="B26">
        <f>IF('177T'!C26="", "", '177T'!C26)</f>
        <v>-1</v>
      </c>
      <c r="C26">
        <f>IF('18S2'!C26="", "", '18S2'!C26)</f>
        <v>-1</v>
      </c>
      <c r="D26">
        <f>IF(RNAseP!C26="", "", RNAseP!C26)</f>
        <v>20.689196236866401</v>
      </c>
      <c r="E26" s="3" t="str">
        <f>IF(B26=-1, "-1", IF(B26&lt;VLOOKUP("177T", Cutoff!$A$1:$B$4, 2, FALSE), "1", "0"))</f>
        <v>-1</v>
      </c>
      <c r="F26" s="3" t="str">
        <f>IF(C26=-1, "-1", IF(C26&lt;VLOOKUP("18S2", Cutoff!$A$1:$B$4, 2, FALSE), "1", "0"))</f>
        <v>-1</v>
      </c>
      <c r="G26" s="3" t="str">
        <f>IF(D26=-1, "-1", IF(D26&lt;VLOOKUP("RNAseP", Cutoff!$A$1:$B$4, 2, FALSE), "1", "0"))</f>
        <v>1</v>
      </c>
      <c r="H26" s="3" t="str" cm="1">
        <f t="array" ref="H26">INDEX(Decision!$D$1:$D$28, MATCH(E26&amp;F26&amp;G26, Decision!$A$1:$A$28&amp;Decision!$B$1:$B$28&amp;Decision!$C$1:$C$28, 0))</f>
        <v>N</v>
      </c>
      <c r="I26" t="str" cm="1">
        <f t="array" ref="I26">INDEX(Decision!$E$1:$E$28, MATCH(E26&amp;F26&amp;G26, Decision!$A$1:$A$28&amp;Decision!$B$1:$B$28&amp;Decision!$C$1:$C$28, 0))</f>
        <v>negative</v>
      </c>
    </row>
    <row r="27" spans="1:9">
      <c r="A27">
        <f>IF(AND('177T'!B27 = '18S2'!B27, '177T'!B27 = RNAseP!B27, '177T'!B27 &lt;&gt; ""), '177T'!B27, IF('177T'!B27 = "", "", "Mismatch"))</f>
        <v>172</v>
      </c>
      <c r="B27">
        <f>IF('177T'!C27="", "", '177T'!C27)</f>
        <v>-1</v>
      </c>
      <c r="C27">
        <f>IF('18S2'!C27="", "", '18S2'!C27)</f>
        <v>-1</v>
      </c>
      <c r="D27">
        <f>IF(RNAseP!C27="", "", RNAseP!C27)</f>
        <v>20.627183333361</v>
      </c>
      <c r="E27" s="3" t="str">
        <f>IF(B27=-1, "-1", IF(B27&lt;VLOOKUP("177T", Cutoff!$A$1:$B$4, 2, FALSE), "1", "0"))</f>
        <v>-1</v>
      </c>
      <c r="F27" s="3" t="str">
        <f>IF(C27=-1, "-1", IF(C27&lt;VLOOKUP("18S2", Cutoff!$A$1:$B$4, 2, FALSE), "1", "0"))</f>
        <v>-1</v>
      </c>
      <c r="G27" s="3" t="str">
        <f>IF(D27=-1, "-1", IF(D27&lt;VLOOKUP("RNAseP", Cutoff!$A$1:$B$4, 2, FALSE), "1", "0"))</f>
        <v>1</v>
      </c>
      <c r="H27" s="3" t="str" cm="1">
        <f t="array" ref="H27">INDEX(Decision!$D$1:$D$28, MATCH(E27&amp;F27&amp;G27, Decision!$A$1:$A$28&amp;Decision!$B$1:$B$28&amp;Decision!$C$1:$C$28, 0))</f>
        <v>N</v>
      </c>
      <c r="I27" t="str" cm="1">
        <f t="array" ref="I27">INDEX(Decision!$E$1:$E$28, MATCH(E27&amp;F27&amp;G27, Decision!$A$1:$A$28&amp;Decision!$B$1:$B$28&amp;Decision!$C$1:$C$28, 0))</f>
        <v>negative</v>
      </c>
    </row>
    <row r="28" spans="1:9">
      <c r="A28">
        <f>IF(AND('177T'!B28 = '18S2'!B28, '177T'!B28 = RNAseP!B28, '177T'!B28 &lt;&gt; ""), '177T'!B28, IF('177T'!B28 = "", "", "Mismatch"))</f>
        <v>172</v>
      </c>
      <c r="B28">
        <f>IF('177T'!C28="", "", '177T'!C28)</f>
        <v>-1</v>
      </c>
      <c r="C28">
        <f>IF('18S2'!C28="", "", '18S2'!C28)</f>
        <v>-1</v>
      </c>
      <c r="D28">
        <f>IF(RNAseP!C28="", "", RNAseP!C28)</f>
        <v>20.721591759773599</v>
      </c>
      <c r="E28" s="3" t="str">
        <f>IF(B28=-1, "-1", IF(B28&lt;VLOOKUP("177T", Cutoff!$A$1:$B$4, 2, FALSE), "1", "0"))</f>
        <v>-1</v>
      </c>
      <c r="F28" s="3" t="str">
        <f>IF(C28=-1, "-1", IF(C28&lt;VLOOKUP("18S2", Cutoff!$A$1:$B$4, 2, FALSE), "1", "0"))</f>
        <v>-1</v>
      </c>
      <c r="G28" s="3" t="str">
        <f>IF(D28=-1, "-1", IF(D28&lt;VLOOKUP("RNAseP", Cutoff!$A$1:$B$4, 2, FALSE), "1", "0"))</f>
        <v>1</v>
      </c>
      <c r="H28" s="3" t="str" cm="1">
        <f t="array" ref="H28">INDEX(Decision!$D$1:$D$28, MATCH(E28&amp;F28&amp;G28, Decision!$A$1:$A$28&amp;Decision!$B$1:$B$28&amp;Decision!$C$1:$C$28, 0))</f>
        <v>N</v>
      </c>
      <c r="I28" t="str" cm="1">
        <f t="array" ref="I28">INDEX(Decision!$E$1:$E$28, MATCH(E28&amp;F28&amp;G28, Decision!$A$1:$A$28&amp;Decision!$B$1:$B$28&amp;Decision!$C$1:$C$28, 0))</f>
        <v>negative</v>
      </c>
    </row>
    <row r="29" spans="1:9">
      <c r="A29">
        <f>IF(AND('177T'!B29 = '18S2'!B29, '177T'!B29 = RNAseP!B29, '177T'!B29 &lt;&gt; ""), '177T'!B29, IF('177T'!B29 = "", "", "Mismatch"))</f>
        <v>172</v>
      </c>
      <c r="B29">
        <f>IF('177T'!C29="", "", '177T'!C29)</f>
        <v>-1</v>
      </c>
      <c r="C29">
        <f>IF('18S2'!C29="", "", '18S2'!C29)</f>
        <v>-1</v>
      </c>
      <c r="D29">
        <f>IF(RNAseP!C29="", "", RNAseP!C29)</f>
        <v>20.532854030707199</v>
      </c>
      <c r="E29" s="3" t="str">
        <f>IF(B29=-1, "-1", IF(B29&lt;VLOOKUP("177T", Cutoff!$A$1:$B$4, 2, FALSE), "1", "0"))</f>
        <v>-1</v>
      </c>
      <c r="F29" s="3" t="str">
        <f>IF(C29=-1, "-1", IF(C29&lt;VLOOKUP("18S2", Cutoff!$A$1:$B$4, 2, FALSE), "1", "0"))</f>
        <v>-1</v>
      </c>
      <c r="G29" s="3" t="str">
        <f>IF(D29=-1, "-1", IF(D29&lt;VLOOKUP("RNAseP", Cutoff!$A$1:$B$4, 2, FALSE), "1", "0"))</f>
        <v>1</v>
      </c>
      <c r="H29" s="3" t="str" cm="1">
        <f t="array" ref="H29">INDEX(Decision!$D$1:$D$28, MATCH(E29&amp;F29&amp;G29, Decision!$A$1:$A$28&amp;Decision!$B$1:$B$28&amp;Decision!$C$1:$C$28, 0))</f>
        <v>N</v>
      </c>
      <c r="I29" t="str" cm="1">
        <f t="array" ref="I29">INDEX(Decision!$E$1:$E$28, MATCH(E29&amp;F29&amp;G29, Decision!$A$1:$A$28&amp;Decision!$B$1:$B$28&amp;Decision!$C$1:$C$28, 0))</f>
        <v>negative</v>
      </c>
    </row>
    <row r="30" spans="1:9">
      <c r="A30">
        <f>IF(AND('177T'!B30 = '18S2'!B30, '177T'!B30 = RNAseP!B30, '177T'!B30 &lt;&gt; ""), '177T'!B30, IF('177T'!B30 = "", "", "Mismatch"))</f>
        <v>173</v>
      </c>
      <c r="B30">
        <f>IF('177T'!C30="", "", '177T'!C30)</f>
        <v>-1</v>
      </c>
      <c r="C30">
        <f>IF('18S2'!C30="", "", '18S2'!C30)</f>
        <v>-1</v>
      </c>
      <c r="D30">
        <f>IF(RNAseP!C30="", "", RNAseP!C30)</f>
        <v>23.0700278464947</v>
      </c>
      <c r="E30" s="3" t="str">
        <f>IF(B30=-1, "-1", IF(B30&lt;VLOOKUP("177T", Cutoff!$A$1:$B$4, 2, FALSE), "1", "0"))</f>
        <v>-1</v>
      </c>
      <c r="F30" s="3" t="str">
        <f>IF(C30=-1, "-1", IF(C30&lt;VLOOKUP("18S2", Cutoff!$A$1:$B$4, 2, FALSE), "1", "0"))</f>
        <v>-1</v>
      </c>
      <c r="G30" s="3" t="str">
        <f>IF(D30=-1, "-1", IF(D30&lt;VLOOKUP("RNAseP", Cutoff!$A$1:$B$4, 2, FALSE), "1", "0"))</f>
        <v>1</v>
      </c>
      <c r="H30" s="3" t="str" cm="1">
        <f t="array" ref="H30">INDEX(Decision!$D$1:$D$28, MATCH(E30&amp;F30&amp;G30, Decision!$A$1:$A$28&amp;Decision!$B$1:$B$28&amp;Decision!$C$1:$C$28, 0))</f>
        <v>N</v>
      </c>
      <c r="I30" t="str" cm="1">
        <f t="array" ref="I30">INDEX(Decision!$E$1:$E$28, MATCH(E30&amp;F30&amp;G30, Decision!$A$1:$A$28&amp;Decision!$B$1:$B$28&amp;Decision!$C$1:$C$28, 0))</f>
        <v>negative</v>
      </c>
    </row>
    <row r="31" spans="1:9">
      <c r="A31">
        <f>IF(AND('177T'!B31 = '18S2'!B31, '177T'!B31 = RNAseP!B31, '177T'!B31 &lt;&gt; ""), '177T'!B31, IF('177T'!B31 = "", "", "Mismatch"))</f>
        <v>173</v>
      </c>
      <c r="B31">
        <f>IF('177T'!C31="", "", '177T'!C31)</f>
        <v>-1</v>
      </c>
      <c r="C31">
        <f>IF('18S2'!C31="", "", '18S2'!C31)</f>
        <v>-1</v>
      </c>
      <c r="D31">
        <f>IF(RNAseP!C31="", "", RNAseP!C31)</f>
        <v>23.147438224085999</v>
      </c>
      <c r="E31" s="3" t="str">
        <f>IF(B31=-1, "-1", IF(B31&lt;VLOOKUP("177T", Cutoff!$A$1:$B$4, 2, FALSE), "1", "0"))</f>
        <v>-1</v>
      </c>
      <c r="F31" s="3" t="str">
        <f>IF(C31=-1, "-1", IF(C31&lt;VLOOKUP("18S2", Cutoff!$A$1:$B$4, 2, FALSE), "1", "0"))</f>
        <v>-1</v>
      </c>
      <c r="G31" s="3" t="str">
        <f>IF(D31=-1, "-1", IF(D31&lt;VLOOKUP("RNAseP", Cutoff!$A$1:$B$4, 2, FALSE), "1", "0"))</f>
        <v>1</v>
      </c>
      <c r="H31" s="3" t="str" cm="1">
        <f t="array" ref="H31">INDEX(Decision!$D$1:$D$28, MATCH(E31&amp;F31&amp;G31, Decision!$A$1:$A$28&amp;Decision!$B$1:$B$28&amp;Decision!$C$1:$C$28, 0))</f>
        <v>N</v>
      </c>
      <c r="I31" t="str" cm="1">
        <f t="array" ref="I31">INDEX(Decision!$E$1:$E$28, MATCH(E31&amp;F31&amp;G31, Decision!$A$1:$A$28&amp;Decision!$B$1:$B$28&amp;Decision!$C$1:$C$28, 0))</f>
        <v>negative</v>
      </c>
    </row>
    <row r="32" spans="1:9">
      <c r="A32">
        <f>IF(AND('177T'!B32 = '18S2'!B32, '177T'!B32 = RNAseP!B32, '177T'!B32 &lt;&gt; ""), '177T'!B32, IF('177T'!B32 = "", "", "Mismatch"))</f>
        <v>173</v>
      </c>
      <c r="B32">
        <f>IF('177T'!C32="", "", '177T'!C32)</f>
        <v>-1</v>
      </c>
      <c r="C32">
        <f>IF('18S2'!C32="", "", '18S2'!C32)</f>
        <v>-1</v>
      </c>
      <c r="D32">
        <f>IF(RNAseP!C32="", "", RNAseP!C32)</f>
        <v>23.11228939706</v>
      </c>
      <c r="E32" s="3" t="str">
        <f>IF(B32=-1, "-1", IF(B32&lt;VLOOKUP("177T", Cutoff!$A$1:$B$4, 2, FALSE), "1", "0"))</f>
        <v>-1</v>
      </c>
      <c r="F32" s="3" t="str">
        <f>IF(C32=-1, "-1", IF(C32&lt;VLOOKUP("18S2", Cutoff!$A$1:$B$4, 2, FALSE), "1", "0"))</f>
        <v>-1</v>
      </c>
      <c r="G32" s="3" t="str">
        <f>IF(D32=-1, "-1", IF(D32&lt;VLOOKUP("RNAseP", Cutoff!$A$1:$B$4, 2, FALSE), "1", "0"))</f>
        <v>1</v>
      </c>
      <c r="H32" s="3" t="str" cm="1">
        <f t="array" ref="H32">INDEX(Decision!$D$1:$D$28, MATCH(E32&amp;F32&amp;G32, Decision!$A$1:$A$28&amp;Decision!$B$1:$B$28&amp;Decision!$C$1:$C$28, 0))</f>
        <v>N</v>
      </c>
      <c r="I32" t="str" cm="1">
        <f t="array" ref="I32">INDEX(Decision!$E$1:$E$28, MATCH(E32&amp;F32&amp;G32, Decision!$A$1:$A$28&amp;Decision!$B$1:$B$28&amp;Decision!$C$1:$C$28, 0))</f>
        <v>negative</v>
      </c>
    </row>
    <row r="33" spans="1:9">
      <c r="A33">
        <f>IF(AND('177T'!B33 = '18S2'!B33, '177T'!B33 = RNAseP!B33, '177T'!B33 &lt;&gt; ""), '177T'!B33, IF('177T'!B33 = "", "", "Mismatch"))</f>
        <v>173</v>
      </c>
      <c r="B33">
        <f>IF('177T'!C33="", "", '177T'!C33)</f>
        <v>-1</v>
      </c>
      <c r="C33">
        <f>IF('18S2'!C33="", "", '18S2'!C33)</f>
        <v>-1</v>
      </c>
      <c r="D33">
        <f>IF(RNAseP!C33="", "", RNAseP!C33)</f>
        <v>23.120972016962799</v>
      </c>
      <c r="E33" s="3" t="str">
        <f>IF(B33=-1, "-1", IF(B33&lt;VLOOKUP("177T", Cutoff!$A$1:$B$4, 2, FALSE), "1", "0"))</f>
        <v>-1</v>
      </c>
      <c r="F33" s="3" t="str">
        <f>IF(C33=-1, "-1", IF(C33&lt;VLOOKUP("18S2", Cutoff!$A$1:$B$4, 2, FALSE), "1", "0"))</f>
        <v>-1</v>
      </c>
      <c r="G33" s="3" t="str">
        <f>IF(D33=-1, "-1", IF(D33&lt;VLOOKUP("RNAseP", Cutoff!$A$1:$B$4, 2, FALSE), "1", "0"))</f>
        <v>1</v>
      </c>
      <c r="H33" s="3" t="str" cm="1">
        <f t="array" ref="H33">INDEX(Decision!$D$1:$D$28, MATCH(E33&amp;F33&amp;G33, Decision!$A$1:$A$28&amp;Decision!$B$1:$B$28&amp;Decision!$C$1:$C$28, 0))</f>
        <v>N</v>
      </c>
      <c r="I33" t="str" cm="1">
        <f t="array" ref="I33">INDEX(Decision!$E$1:$E$28, MATCH(E33&amp;F33&amp;G33, Decision!$A$1:$A$28&amp;Decision!$B$1:$B$28&amp;Decision!$C$1:$C$28, 0))</f>
        <v>negative</v>
      </c>
    </row>
    <row r="34" spans="1:9">
      <c r="A34">
        <f>IF(AND('177T'!B34 = '18S2'!B34, '177T'!B34 = RNAseP!B34, '177T'!B34 &lt;&gt; ""), '177T'!B34, IF('177T'!B34 = "", "", "Mismatch"))</f>
        <v>174</v>
      </c>
      <c r="B34">
        <f>IF('177T'!C34="", "", '177T'!C34)</f>
        <v>-1</v>
      </c>
      <c r="C34">
        <f>IF('18S2'!C34="", "", '18S2'!C34)</f>
        <v>-1</v>
      </c>
      <c r="D34">
        <f>IF(RNAseP!C34="", "", RNAseP!C34)</f>
        <v>21.318350561503099</v>
      </c>
      <c r="E34" s="3" t="str">
        <f>IF(B34=-1, "-1", IF(B34&lt;VLOOKUP("177T", Cutoff!$A$1:$B$4, 2, FALSE), "1", "0"))</f>
        <v>-1</v>
      </c>
      <c r="F34" s="3" t="str">
        <f>IF(C34=-1, "-1", IF(C34&lt;VLOOKUP("18S2", Cutoff!$A$1:$B$4, 2, FALSE), "1", "0"))</f>
        <v>-1</v>
      </c>
      <c r="G34" s="3" t="str">
        <f>IF(D34=-1, "-1", IF(D34&lt;VLOOKUP("RNAseP", Cutoff!$A$1:$B$4, 2, FALSE), "1", "0"))</f>
        <v>1</v>
      </c>
      <c r="H34" s="3" t="str" cm="1">
        <f t="array" ref="H34">INDEX(Decision!$D$1:$D$28, MATCH(E34&amp;F34&amp;G34, Decision!$A$1:$A$28&amp;Decision!$B$1:$B$28&amp;Decision!$C$1:$C$28, 0))</f>
        <v>N</v>
      </c>
      <c r="I34" t="str" cm="1">
        <f t="array" ref="I34">INDEX(Decision!$E$1:$E$28, MATCH(E34&amp;F34&amp;G34, Decision!$A$1:$A$28&amp;Decision!$B$1:$B$28&amp;Decision!$C$1:$C$28, 0))</f>
        <v>negative</v>
      </c>
    </row>
    <row r="35" spans="1:9">
      <c r="A35">
        <f>IF(AND('177T'!B35 = '18S2'!B35, '177T'!B35 = RNAseP!B35, '177T'!B35 &lt;&gt; ""), '177T'!B35, IF('177T'!B35 = "", "", "Mismatch"))</f>
        <v>174</v>
      </c>
      <c r="B35">
        <f>IF('177T'!C35="", "", '177T'!C35)</f>
        <v>-1</v>
      </c>
      <c r="C35">
        <f>IF('18S2'!C35="", "", '18S2'!C35)</f>
        <v>-1</v>
      </c>
      <c r="D35">
        <f>IF(RNAseP!C35="", "", RNAseP!C35)</f>
        <v>21.256758022411798</v>
      </c>
      <c r="E35" s="3" t="str">
        <f>IF(B35=-1, "-1", IF(B35&lt;VLOOKUP("177T", Cutoff!$A$1:$B$4, 2, FALSE), "1", "0"))</f>
        <v>-1</v>
      </c>
      <c r="F35" s="3" t="str">
        <f>IF(C35=-1, "-1", IF(C35&lt;VLOOKUP("18S2", Cutoff!$A$1:$B$4, 2, FALSE), "1", "0"))</f>
        <v>-1</v>
      </c>
      <c r="G35" s="3" t="str">
        <f>IF(D35=-1, "-1", IF(D35&lt;VLOOKUP("RNAseP", Cutoff!$A$1:$B$4, 2, FALSE), "1", "0"))</f>
        <v>1</v>
      </c>
      <c r="H35" s="3" t="str" cm="1">
        <f t="array" ref="H35">INDEX(Decision!$D$1:$D$28, MATCH(E35&amp;F35&amp;G35, Decision!$A$1:$A$28&amp;Decision!$B$1:$B$28&amp;Decision!$C$1:$C$28, 0))</f>
        <v>N</v>
      </c>
      <c r="I35" t="str" cm="1">
        <f t="array" ref="I35">INDEX(Decision!$E$1:$E$28, MATCH(E35&amp;F35&amp;G35, Decision!$A$1:$A$28&amp;Decision!$B$1:$B$28&amp;Decision!$C$1:$C$28, 0))</f>
        <v>negative</v>
      </c>
    </row>
    <row r="36" spans="1:9">
      <c r="A36">
        <f>IF(AND('177T'!B36 = '18S2'!B36, '177T'!B36 = RNAseP!B36, '177T'!B36 &lt;&gt; ""), '177T'!B36, IF('177T'!B36 = "", "", "Mismatch"))</f>
        <v>174</v>
      </c>
      <c r="B36">
        <f>IF('177T'!C36="", "", '177T'!C36)</f>
        <v>-1</v>
      </c>
      <c r="C36">
        <f>IF('18S2'!C36="", "", '18S2'!C36)</f>
        <v>-1</v>
      </c>
      <c r="D36">
        <f>IF(RNAseP!C36="", "", RNAseP!C36)</f>
        <v>21.212759146641702</v>
      </c>
      <c r="E36" s="3" t="str">
        <f>IF(B36=-1, "-1", IF(B36&lt;VLOOKUP("177T", Cutoff!$A$1:$B$4, 2, FALSE), "1", "0"))</f>
        <v>-1</v>
      </c>
      <c r="F36" s="3" t="str">
        <f>IF(C36=-1, "-1", IF(C36&lt;VLOOKUP("18S2", Cutoff!$A$1:$B$4, 2, FALSE), "1", "0"))</f>
        <v>-1</v>
      </c>
      <c r="G36" s="3" t="str">
        <f>IF(D36=-1, "-1", IF(D36&lt;VLOOKUP("RNAseP", Cutoff!$A$1:$B$4, 2, FALSE), "1", "0"))</f>
        <v>1</v>
      </c>
      <c r="H36" s="3" t="str" cm="1">
        <f t="array" ref="H36">INDEX(Decision!$D$1:$D$28, MATCH(E36&amp;F36&amp;G36, Decision!$A$1:$A$28&amp;Decision!$B$1:$B$28&amp;Decision!$C$1:$C$28, 0))</f>
        <v>N</v>
      </c>
      <c r="I36" t="str" cm="1">
        <f t="array" ref="I36">INDEX(Decision!$E$1:$E$28, MATCH(E36&amp;F36&amp;G36, Decision!$A$1:$A$28&amp;Decision!$B$1:$B$28&amp;Decision!$C$1:$C$28, 0))</f>
        <v>negative</v>
      </c>
    </row>
    <row r="37" spans="1:9">
      <c r="A37">
        <f>IF(AND('177T'!B37 = '18S2'!B37, '177T'!B37 = RNAseP!B37, '177T'!B37 &lt;&gt; ""), '177T'!B37, IF('177T'!B37 = "", "", "Mismatch"))</f>
        <v>174</v>
      </c>
      <c r="B37">
        <f>IF('177T'!C37="", "", '177T'!C37)</f>
        <v>-1</v>
      </c>
      <c r="C37">
        <f>IF('18S2'!C37="", "", '18S2'!C37)</f>
        <v>-1</v>
      </c>
      <c r="D37">
        <f>IF(RNAseP!C37="", "", RNAseP!C37)</f>
        <v>21.259078277681699</v>
      </c>
      <c r="E37" s="3" t="str">
        <f>IF(B37=-1, "-1", IF(B37&lt;VLOOKUP("177T", Cutoff!$A$1:$B$4, 2, FALSE), "1", "0"))</f>
        <v>-1</v>
      </c>
      <c r="F37" s="3" t="str">
        <f>IF(C37=-1, "-1", IF(C37&lt;VLOOKUP("18S2", Cutoff!$A$1:$B$4, 2, FALSE), "1", "0"))</f>
        <v>-1</v>
      </c>
      <c r="G37" s="3" t="str">
        <f>IF(D37=-1, "-1", IF(D37&lt;VLOOKUP("RNAseP", Cutoff!$A$1:$B$4, 2, FALSE), "1", "0"))</f>
        <v>1</v>
      </c>
      <c r="H37" s="3" t="str" cm="1">
        <f t="array" ref="H37">INDEX(Decision!$D$1:$D$28, MATCH(E37&amp;F37&amp;G37, Decision!$A$1:$A$28&amp;Decision!$B$1:$B$28&amp;Decision!$C$1:$C$28, 0))</f>
        <v>N</v>
      </c>
      <c r="I37" t="str" cm="1">
        <f t="array" ref="I37">INDEX(Decision!$E$1:$E$28, MATCH(E37&amp;F37&amp;G37, Decision!$A$1:$A$28&amp;Decision!$B$1:$B$28&amp;Decision!$C$1:$C$28, 0))</f>
        <v>negative</v>
      </c>
    </row>
    <row r="38" spans="1:9">
      <c r="A38">
        <f>IF(AND('177T'!B38 = '18S2'!B38, '177T'!B38 = RNAseP!B38, '177T'!B38 &lt;&gt; ""), '177T'!B38, IF('177T'!B38 = "", "", "Mismatch"))</f>
        <v>175</v>
      </c>
      <c r="B38">
        <f>IF('177T'!C38="", "", '177T'!C38)</f>
        <v>-1</v>
      </c>
      <c r="C38">
        <f>IF('18S2'!C38="", "", '18S2'!C38)</f>
        <v>-1</v>
      </c>
      <c r="D38">
        <f>IF(RNAseP!C38="", "", RNAseP!C38)</f>
        <v>23.350740156643202</v>
      </c>
      <c r="E38" s="3" t="str">
        <f>IF(B38=-1, "-1", IF(B38&lt;VLOOKUP("177T", Cutoff!$A$1:$B$4, 2, FALSE), "1", "0"))</f>
        <v>-1</v>
      </c>
      <c r="F38" s="3" t="str">
        <f>IF(C38=-1, "-1", IF(C38&lt;VLOOKUP("18S2", Cutoff!$A$1:$B$4, 2, FALSE), "1", "0"))</f>
        <v>-1</v>
      </c>
      <c r="G38" s="3" t="str">
        <f>IF(D38=-1, "-1", IF(D38&lt;VLOOKUP("RNAseP", Cutoff!$A$1:$B$4, 2, FALSE), "1", "0"))</f>
        <v>1</v>
      </c>
      <c r="H38" s="3" t="str" cm="1">
        <f t="array" ref="H38">INDEX(Decision!$D$1:$D$28, MATCH(E38&amp;F38&amp;G38, Decision!$A$1:$A$28&amp;Decision!$B$1:$B$28&amp;Decision!$C$1:$C$28, 0))</f>
        <v>N</v>
      </c>
      <c r="I38" t="str" cm="1">
        <f t="array" ref="I38">INDEX(Decision!$E$1:$E$28, MATCH(E38&amp;F38&amp;G38, Decision!$A$1:$A$28&amp;Decision!$B$1:$B$28&amp;Decision!$C$1:$C$28, 0))</f>
        <v>negative</v>
      </c>
    </row>
    <row r="39" spans="1:9">
      <c r="A39">
        <f>IF(AND('177T'!B39 = '18S2'!B39, '177T'!B39 = RNAseP!B39, '177T'!B39 &lt;&gt; ""), '177T'!B39, IF('177T'!B39 = "", "", "Mismatch"))</f>
        <v>175</v>
      </c>
      <c r="B39">
        <f>IF('177T'!C39="", "", '177T'!C39)</f>
        <v>-1</v>
      </c>
      <c r="C39">
        <f>IF('18S2'!C39="", "", '18S2'!C39)</f>
        <v>-1</v>
      </c>
      <c r="D39">
        <f>IF(RNAseP!C39="", "", RNAseP!C39)</f>
        <v>23.2833469367473</v>
      </c>
      <c r="E39" s="3" t="str">
        <f>IF(B39=-1, "-1", IF(B39&lt;VLOOKUP("177T", Cutoff!$A$1:$B$4, 2, FALSE), "1", "0"))</f>
        <v>-1</v>
      </c>
      <c r="F39" s="3" t="str">
        <f>IF(C39=-1, "-1", IF(C39&lt;VLOOKUP("18S2", Cutoff!$A$1:$B$4, 2, FALSE), "1", "0"))</f>
        <v>-1</v>
      </c>
      <c r="G39" s="3" t="str">
        <f>IF(D39=-1, "-1", IF(D39&lt;VLOOKUP("RNAseP", Cutoff!$A$1:$B$4, 2, FALSE), "1", "0"))</f>
        <v>1</v>
      </c>
      <c r="H39" s="3" t="str" cm="1">
        <f t="array" ref="H39">INDEX(Decision!$D$1:$D$28, MATCH(E39&amp;F39&amp;G39, Decision!$A$1:$A$28&amp;Decision!$B$1:$B$28&amp;Decision!$C$1:$C$28, 0))</f>
        <v>N</v>
      </c>
      <c r="I39" t="str" cm="1">
        <f t="array" ref="I39">INDEX(Decision!$E$1:$E$28, MATCH(E39&amp;F39&amp;G39, Decision!$A$1:$A$28&amp;Decision!$B$1:$B$28&amp;Decision!$C$1:$C$28, 0))</f>
        <v>negative</v>
      </c>
    </row>
    <row r="40" spans="1:9">
      <c r="A40">
        <f>IF(AND('177T'!B40 = '18S2'!B40, '177T'!B40 = RNAseP!B40, '177T'!B40 &lt;&gt; ""), '177T'!B40, IF('177T'!B40 = "", "", "Mismatch"))</f>
        <v>175</v>
      </c>
      <c r="B40">
        <f>IF('177T'!C40="", "", '177T'!C40)</f>
        <v>-1</v>
      </c>
      <c r="C40">
        <f>IF('18S2'!C40="", "", '18S2'!C40)</f>
        <v>-1</v>
      </c>
      <c r="D40">
        <f>IF(RNAseP!C40="", "", RNAseP!C40)</f>
        <v>23.250833358491001</v>
      </c>
      <c r="E40" s="3" t="str">
        <f>IF(B40=-1, "-1", IF(B40&lt;VLOOKUP("177T", Cutoff!$A$1:$B$4, 2, FALSE), "1", "0"))</f>
        <v>-1</v>
      </c>
      <c r="F40" s="3" t="str">
        <f>IF(C40=-1, "-1", IF(C40&lt;VLOOKUP("18S2", Cutoff!$A$1:$B$4, 2, FALSE), "1", "0"))</f>
        <v>-1</v>
      </c>
      <c r="G40" s="3" t="str">
        <f>IF(D40=-1, "-1", IF(D40&lt;VLOOKUP("RNAseP", Cutoff!$A$1:$B$4, 2, FALSE), "1", "0"))</f>
        <v>1</v>
      </c>
      <c r="H40" s="3" t="str" cm="1">
        <f t="array" ref="H40">INDEX(Decision!$D$1:$D$28, MATCH(E40&amp;F40&amp;G40, Decision!$A$1:$A$28&amp;Decision!$B$1:$B$28&amp;Decision!$C$1:$C$28, 0))</f>
        <v>N</v>
      </c>
      <c r="I40" t="str" cm="1">
        <f t="array" ref="I40">INDEX(Decision!$E$1:$E$28, MATCH(E40&amp;F40&amp;G40, Decision!$A$1:$A$28&amp;Decision!$B$1:$B$28&amp;Decision!$C$1:$C$28, 0))</f>
        <v>negative</v>
      </c>
    </row>
    <row r="41" spans="1:9">
      <c r="A41">
        <f>IF(AND('177T'!B41 = '18S2'!B41, '177T'!B41 = RNAseP!B41, '177T'!B41 &lt;&gt; ""), '177T'!B41, IF('177T'!B41 = "", "", "Mismatch"))</f>
        <v>175</v>
      </c>
      <c r="B41">
        <f>IF('177T'!C41="", "", '177T'!C41)</f>
        <v>-1</v>
      </c>
      <c r="C41">
        <f>IF('18S2'!C41="", "", '18S2'!C41)</f>
        <v>-1</v>
      </c>
      <c r="D41">
        <f>IF(RNAseP!C41="", "", RNAseP!C41)</f>
        <v>23.167759121904702</v>
      </c>
      <c r="E41" s="3" t="str">
        <f>IF(B41=-1, "-1", IF(B41&lt;VLOOKUP("177T", Cutoff!$A$1:$B$4, 2, FALSE), "1", "0"))</f>
        <v>-1</v>
      </c>
      <c r="F41" s="3" t="str">
        <f>IF(C41=-1, "-1", IF(C41&lt;VLOOKUP("18S2", Cutoff!$A$1:$B$4, 2, FALSE), "1", "0"))</f>
        <v>-1</v>
      </c>
      <c r="G41" s="3" t="str">
        <f>IF(D41=-1, "-1", IF(D41&lt;VLOOKUP("RNAseP", Cutoff!$A$1:$B$4, 2, FALSE), "1", "0"))</f>
        <v>1</v>
      </c>
      <c r="H41" s="3" t="str" cm="1">
        <f t="array" ref="H41">INDEX(Decision!$D$1:$D$28, MATCH(E41&amp;F41&amp;G41, Decision!$A$1:$A$28&amp;Decision!$B$1:$B$28&amp;Decision!$C$1:$C$28, 0))</f>
        <v>N</v>
      </c>
      <c r="I41" t="str" cm="1">
        <f t="array" ref="I41">INDEX(Decision!$E$1:$E$28, MATCH(E41&amp;F41&amp;G41, Decision!$A$1:$A$28&amp;Decision!$B$1:$B$28&amp;Decision!$C$1:$C$28, 0))</f>
        <v>negative</v>
      </c>
    </row>
    <row r="42" spans="1:9">
      <c r="A42" t="str">
        <f>IF(AND('177T'!B42 = '18S2'!B42, '177T'!B42 = RNAseP!B42, '177T'!B42 &lt;&gt; ""), '177T'!B42, IF('177T'!B42 = "", "", "Mismatch"))</f>
        <v>CP</v>
      </c>
      <c r="B42">
        <f>IF('177T'!C42="", "", '177T'!C42)</f>
        <v>23.872753197832001</v>
      </c>
      <c r="C42">
        <f>IF('18S2'!C42="", "", '18S2'!C42)</f>
        <v>21.349964237926098</v>
      </c>
      <c r="D42">
        <f>IF(RNAseP!C42="", "", RNAseP!C42)</f>
        <v>33.079265953315598</v>
      </c>
      <c r="E42" s="3" t="str">
        <f>IF(B42=-1, "-1", IF(B42&lt;VLOOKUP("177T", Cutoff!$A$1:$B$4, 2, FALSE), "1", "0"))</f>
        <v>1</v>
      </c>
      <c r="F42" s="3" t="str">
        <f>IF(C42=-1, "-1", IF(C42&lt;VLOOKUP("18S2", Cutoff!$A$1:$B$4, 2, FALSE), "1", "0"))</f>
        <v>1</v>
      </c>
      <c r="G42" s="3" t="str">
        <f>IF(D42=-1, "-1", IF(D42&lt;VLOOKUP("RNAseP", Cutoff!$A$1:$B$4, 2, FALSE), "1", "0"))</f>
        <v>0</v>
      </c>
      <c r="H42" s="3" t="str" cm="1">
        <f t="array" ref="H42">INDEX(DecisionC!$E$1:$E$56, MATCH(A42&amp;E42&amp;F42&amp;G42, DecisionC!$A$1:$A$56&amp;DecisionC!$B$1:$B$56&amp;DecisionC!$C$1:$C$56&amp;DecisionC!$D$1:$D$56, 0))</f>
        <v>OK</v>
      </c>
      <c r="I42" s="3" t="str" cm="1">
        <f t="array" ref="I42">INDEX(DecisionC!$F$1:$F$56, MATCH(A42&amp;E42&amp;F42&amp;G42, DecisionC!$A$1:$A$56&amp;DecisionC!$B$1:$B$56&amp;DecisionC!$C$1:$C$56&amp;DecisionC!$D$1:$D$56, 0))</f>
        <v>CP3 works</v>
      </c>
    </row>
    <row r="43" spans="1:9">
      <c r="A43" t="str">
        <f>IF(AND('177T'!B43 = '18S2'!B43, '177T'!B43 = RNAseP!B43, '177T'!B43 &lt;&gt; ""), '177T'!B43, IF('177T'!B43 = "", "", "Mismatch"))</f>
        <v>CP</v>
      </c>
      <c r="B43">
        <f>IF('177T'!C43="", "", '177T'!C43)</f>
        <v>22.754377725902899</v>
      </c>
      <c r="C43">
        <f>IF('18S2'!C43="", "", '18S2'!C43)</f>
        <v>21.1305461634796</v>
      </c>
      <c r="D43">
        <f>IF(RNAseP!C43="", "", RNAseP!C43)</f>
        <v>33.683416247997002</v>
      </c>
      <c r="E43" s="3" t="str">
        <f>IF(B43=-1, "-1", IF(B43&lt;VLOOKUP("177T", Cutoff!$A$1:$B$4, 2, FALSE), "1", "0"))</f>
        <v>1</v>
      </c>
      <c r="F43" s="3" t="str">
        <f>IF(C43=-1, "-1", IF(C43&lt;VLOOKUP("18S2", Cutoff!$A$1:$B$4, 2, FALSE), "1", "0"))</f>
        <v>1</v>
      </c>
      <c r="G43" s="3" t="str">
        <f>IF(D43=-1, "-1", IF(D43&lt;VLOOKUP("RNAseP", Cutoff!$A$1:$B$4, 2, FALSE), "1", "0"))</f>
        <v>0</v>
      </c>
      <c r="H43" s="3" t="str" cm="1">
        <f t="array" ref="H43">INDEX(DecisionC!$E$1:$E$56, MATCH(A43&amp;E43&amp;F43&amp;G43, DecisionC!$A$1:$A$56&amp;DecisionC!$B$1:$B$56&amp;DecisionC!$C$1:$C$56&amp;DecisionC!$D$1:$D$56, 0))</f>
        <v>OK</v>
      </c>
      <c r="I43" s="3" t="str" cm="1">
        <f t="array" ref="I43">INDEX(DecisionC!$F$1:$F$56, MATCH(A43&amp;E43&amp;F43&amp;G43, DecisionC!$A$1:$A$56&amp;DecisionC!$B$1:$B$56&amp;DecisionC!$C$1:$C$56&amp;DecisionC!$D$1:$D$56, 0))</f>
        <v>CP3 works</v>
      </c>
    </row>
    <row r="44" spans="1:9">
      <c r="A44" t="str">
        <f>IF(AND('177T'!B44 = '18S2'!B44, '177T'!B44 = RNAseP!B44, '177T'!B44 &lt;&gt; ""), '177T'!B44, IF('177T'!B44 = "", "", "Mismatch"))</f>
        <v>CP</v>
      </c>
      <c r="B44">
        <f>IF('177T'!C44="", "", '177T'!C44)</f>
        <v>23.328852805875101</v>
      </c>
      <c r="C44">
        <f>IF('18S2'!C44="", "", '18S2'!C44)</f>
        <v>21.2811157543495</v>
      </c>
      <c r="D44">
        <f>IF(RNAseP!C44="", "", RNAseP!C44)</f>
        <v>34.263386417308197</v>
      </c>
      <c r="E44" s="3" t="str">
        <f>IF(B44=-1, "-1", IF(B44&lt;VLOOKUP("177T", Cutoff!$A$1:$B$4, 2, FALSE), "1", "0"))</f>
        <v>1</v>
      </c>
      <c r="F44" s="3" t="str">
        <f>IF(C44=-1, "-1", IF(C44&lt;VLOOKUP("18S2", Cutoff!$A$1:$B$4, 2, FALSE), "1", "0"))</f>
        <v>1</v>
      </c>
      <c r="G44" s="3" t="str">
        <f>IF(D44=-1, "-1", IF(D44&lt;VLOOKUP("RNAseP", Cutoff!$A$1:$B$4, 2, FALSE), "1", "0"))</f>
        <v>0</v>
      </c>
      <c r="H44" s="3" t="str" cm="1">
        <f t="array" ref="H44">INDEX(DecisionC!$E$1:$E$56, MATCH(A44&amp;E44&amp;F44&amp;G44, DecisionC!$A$1:$A$56&amp;DecisionC!$B$1:$B$56&amp;DecisionC!$C$1:$C$56&amp;DecisionC!$D$1:$D$56, 0))</f>
        <v>OK</v>
      </c>
      <c r="I44" s="3" t="str" cm="1">
        <f t="array" ref="I44">INDEX(DecisionC!$F$1:$F$56, MATCH(A44&amp;E44&amp;F44&amp;G44, DecisionC!$A$1:$A$56&amp;DecisionC!$B$1:$B$56&amp;DecisionC!$C$1:$C$56&amp;DecisionC!$D$1:$D$56, 0))</f>
        <v>CP3 works</v>
      </c>
    </row>
    <row r="45" spans="1:9">
      <c r="A45" t="str">
        <f>IF(AND('177T'!B45 = '18S2'!B45, '177T'!B45 = RNAseP!B45, '177T'!B45 &lt;&gt; ""), '177T'!B45, IF('177T'!B45 = "", "", "Mismatch"))</f>
        <v>CP</v>
      </c>
      <c r="B45">
        <f>IF('177T'!C45="", "", '177T'!C45)</f>
        <v>23.147640560261902</v>
      </c>
      <c r="C45">
        <f>IF('18S2'!C45="", "", '18S2'!C45)</f>
        <v>21.252741404485501</v>
      </c>
      <c r="D45">
        <f>IF(RNAseP!C45="", "", RNAseP!C45)</f>
        <v>35.025404883303402</v>
      </c>
      <c r="E45" s="3" t="str">
        <f>IF(B45=-1, "-1", IF(B45&lt;VLOOKUP("177T", Cutoff!$A$1:$B$4, 2, FALSE), "1", "0"))</f>
        <v>1</v>
      </c>
      <c r="F45" s="3" t="str">
        <f>IF(C45=-1, "-1", IF(C45&lt;VLOOKUP("18S2", Cutoff!$A$1:$B$4, 2, FALSE), "1", "0"))</f>
        <v>1</v>
      </c>
      <c r="G45" s="3" t="str">
        <f>IF(D45=-1, "-1", IF(D45&lt;VLOOKUP("RNAseP", Cutoff!$A$1:$B$4, 2, FALSE), "1", "0"))</f>
        <v>0</v>
      </c>
      <c r="H45" s="3" t="str" cm="1">
        <f t="array" ref="H45">INDEX(DecisionC!$E$1:$E$56, MATCH(A45&amp;E45&amp;F45&amp;G45, DecisionC!$A$1:$A$56&amp;DecisionC!$B$1:$B$56&amp;DecisionC!$C$1:$C$56&amp;DecisionC!$D$1:$D$56, 0))</f>
        <v>OK</v>
      </c>
      <c r="I45" s="3" t="str" cm="1">
        <f t="array" ref="I45">INDEX(DecisionC!$F$1:$F$56, MATCH(A45&amp;E45&amp;F45&amp;G45, DecisionC!$A$1:$A$56&amp;DecisionC!$B$1:$B$56&amp;DecisionC!$C$1:$C$56&amp;DecisionC!$D$1:$D$56, 0))</f>
        <v>CP3 works</v>
      </c>
    </row>
    <row r="46" spans="1:9">
      <c r="A46" t="str">
        <f>IF(AND('177T'!B46 = '18S2'!B46, '177T'!B46 = RNAseP!B46, '177T'!B46 &lt;&gt; ""), '177T'!B46, IF('177T'!B46 = "", "", "Mismatch"))</f>
        <v>CN</v>
      </c>
      <c r="B46">
        <f>IF('177T'!C46="", "", '177T'!C46)</f>
        <v>-1</v>
      </c>
      <c r="C46">
        <f>IF('18S2'!C46="", "", '18S2'!C46)</f>
        <v>-1</v>
      </c>
      <c r="D46">
        <f>IF(RNAseP!C46="", "", RNAseP!C46)</f>
        <v>36.364973931443302</v>
      </c>
      <c r="E46" s="3" t="str">
        <f>IF(B46=-1, "-1", IF(B46&lt;VLOOKUP("177T", Cutoff!$A$1:$B$4, 2, FALSE), "1", "0"))</f>
        <v>-1</v>
      </c>
      <c r="F46" s="3" t="str">
        <f>IF(C46=-1, "-1", IF(C46&lt;VLOOKUP("18S2", Cutoff!$A$1:$B$4, 2, FALSE), "1", "0"))</f>
        <v>-1</v>
      </c>
      <c r="G46" s="3" t="str">
        <f>IF(D46=-1, "-1", IF(D46&lt;VLOOKUP("RNAseP", Cutoff!$A$1:$B$4, 2, FALSE), "1", "0"))</f>
        <v>0</v>
      </c>
      <c r="H46" s="3" t="str" cm="1">
        <f t="array" ref="H46">INDEX(DecisionC!$E$1:$E$56, MATCH(A46&amp;E46&amp;F46&amp;G46, DecisionC!$A$1:$A$56&amp;DecisionC!$B$1:$B$56&amp;DecisionC!$C$1:$C$56&amp;DecisionC!$D$1:$D$56, 0))</f>
        <v>F</v>
      </c>
      <c r="I46" s="3" t="str" cm="1">
        <f t="array" ref="I46">INDEX(DecisionC!$F$1:$F$56, MATCH(A46&amp;E46&amp;F46&amp;G46, DecisionC!$A$1:$A$56&amp;DecisionC!$B$1:$B$56&amp;DecisionC!$C$1:$C$56&amp;DecisionC!$D$1:$D$56, 0))</f>
        <v>RNAseP</v>
      </c>
    </row>
    <row r="47" spans="1:9">
      <c r="A47" t="str">
        <f>IF(AND('177T'!B47 = '18S2'!B47, '177T'!B47 = RNAseP!B47, '177T'!B47 &lt;&gt; ""), '177T'!B47, IF('177T'!B47 = "", "", "Mismatch"))</f>
        <v>CN</v>
      </c>
      <c r="B47">
        <f>IF('177T'!C47="", "", '177T'!C47)</f>
        <v>-1</v>
      </c>
      <c r="C47">
        <f>IF('18S2'!C47="", "", '18S2'!C47)</f>
        <v>-1</v>
      </c>
      <c r="D47">
        <f>IF(RNAseP!C47="", "", RNAseP!C47)</f>
        <v>36.411096031577401</v>
      </c>
      <c r="E47" s="3" t="str">
        <f>IF(B47=-1, "-1", IF(B47&lt;VLOOKUP("177T", Cutoff!$A$1:$B$4, 2, FALSE), "1", "0"))</f>
        <v>-1</v>
      </c>
      <c r="F47" s="3" t="str">
        <f>IF(C47=-1, "-1", IF(C47&lt;VLOOKUP("18S2", Cutoff!$A$1:$B$4, 2, FALSE), "1", "0"))</f>
        <v>-1</v>
      </c>
      <c r="G47" s="3" t="str">
        <f>IF(D47=-1, "-1", IF(D47&lt;VLOOKUP("RNAseP", Cutoff!$A$1:$B$4, 2, FALSE), "1", "0"))</f>
        <v>0</v>
      </c>
      <c r="H47" s="3" t="str" cm="1">
        <f t="array" ref="H47">INDEX(DecisionC!$E$1:$E$56, MATCH(A47&amp;E47&amp;F47&amp;G47, DecisionC!$A$1:$A$56&amp;DecisionC!$B$1:$B$56&amp;DecisionC!$C$1:$C$56&amp;DecisionC!$D$1:$D$56, 0))</f>
        <v>F</v>
      </c>
      <c r="I47" s="3" t="str" cm="1">
        <f t="array" ref="I47">INDEX(DecisionC!$F$1:$F$56, MATCH(A47&amp;E47&amp;F47&amp;G47, DecisionC!$A$1:$A$56&amp;DecisionC!$B$1:$B$56&amp;DecisionC!$C$1:$C$56&amp;DecisionC!$D$1:$D$56, 0))</f>
        <v>RNAseP</v>
      </c>
    </row>
    <row r="48" spans="1:9">
      <c r="A48" t="str">
        <f>IF(AND('177T'!B48 = '18S2'!B48, '177T'!B48 = RNAseP!B48, '177T'!B48 &lt;&gt; ""), '177T'!B48, IF('177T'!B48 = "", "", "Mismatch"))</f>
        <v>CN</v>
      </c>
      <c r="B48">
        <f>IF('177T'!C48="", "", '177T'!C48)</f>
        <v>-1</v>
      </c>
      <c r="C48">
        <f>IF('18S2'!C48="", "", '18S2'!C48)</f>
        <v>-1</v>
      </c>
      <c r="D48">
        <f>IF(RNAseP!C48="", "", RNAseP!C48)</f>
        <v>37.131427968136698</v>
      </c>
      <c r="E48" s="3" t="str">
        <f>IF(B48=-1, "-1", IF(B48&lt;VLOOKUP("177T", Cutoff!$A$1:$B$4, 2, FALSE), "1", "0"))</f>
        <v>-1</v>
      </c>
      <c r="F48" s="3" t="str">
        <f>IF(C48=-1, "-1", IF(C48&lt;VLOOKUP("18S2", Cutoff!$A$1:$B$4, 2, FALSE), "1", "0"))</f>
        <v>-1</v>
      </c>
      <c r="G48" s="3" t="str">
        <f>IF(D48=-1, "-1", IF(D48&lt;VLOOKUP("RNAseP", Cutoff!$A$1:$B$4, 2, FALSE), "1", "0"))</f>
        <v>0</v>
      </c>
      <c r="H48" s="3" t="str" cm="1">
        <f t="array" ref="H48">INDEX(DecisionC!$E$1:$E$56, MATCH(A48&amp;E48&amp;F48&amp;G48, DecisionC!$A$1:$A$56&amp;DecisionC!$B$1:$B$56&amp;DecisionC!$C$1:$C$56&amp;DecisionC!$D$1:$D$56, 0))</f>
        <v>F</v>
      </c>
      <c r="I48" s="3" t="str" cm="1">
        <f t="array" ref="I48">INDEX(DecisionC!$F$1:$F$56, MATCH(A48&amp;E48&amp;F48&amp;G48, DecisionC!$A$1:$A$56&amp;DecisionC!$B$1:$B$56&amp;DecisionC!$C$1:$C$56&amp;DecisionC!$D$1:$D$56, 0))</f>
        <v>RNAseP</v>
      </c>
    </row>
    <row r="49" spans="1:9">
      <c r="A49" t="str">
        <f>IF(AND('177T'!B49 = '18S2'!B49, '177T'!B49 = RNAseP!B49, '177T'!B49 &lt;&gt; ""), '177T'!B49, IF('177T'!B49 = "", "", "Mismatch"))</f>
        <v>CN</v>
      </c>
      <c r="B49">
        <f>IF('177T'!C49="", "", '177T'!C49)</f>
        <v>-1</v>
      </c>
      <c r="C49">
        <f>IF('18S2'!C49="", "", '18S2'!C49)</f>
        <v>-1</v>
      </c>
      <c r="D49">
        <f>IF(RNAseP!C49="", "", RNAseP!C49)</f>
        <v>37.251122242609398</v>
      </c>
      <c r="E49" s="3" t="str">
        <f>IF(B49=-1, "-1", IF(B49&lt;VLOOKUP("177T", Cutoff!$A$1:$B$4, 2, FALSE), "1", "0"))</f>
        <v>-1</v>
      </c>
      <c r="F49" s="3" t="str">
        <f>IF(C49=-1, "-1", IF(C49&lt;VLOOKUP("18S2", Cutoff!$A$1:$B$4, 2, FALSE), "1", "0"))</f>
        <v>-1</v>
      </c>
      <c r="G49" s="3" t="str">
        <f>IF(D49=-1, "-1", IF(D49&lt;VLOOKUP("RNAseP", Cutoff!$A$1:$B$4, 2, FALSE), "1", "0"))</f>
        <v>0</v>
      </c>
      <c r="H49" s="3" t="str" cm="1">
        <f t="array" ref="H49">INDEX(DecisionC!$E$1:$E$56, MATCH(A49&amp;E49&amp;F49&amp;G49, DecisionC!$A$1:$A$56&amp;DecisionC!$B$1:$B$56&amp;DecisionC!$C$1:$C$56&amp;DecisionC!$D$1:$D$56, 0))</f>
        <v>F</v>
      </c>
      <c r="I49" s="3" t="str" cm="1">
        <f t="array" ref="I49">INDEX(DecisionC!$F$1:$F$56, MATCH(A49&amp;E49&amp;F49&amp;G49, DecisionC!$A$1:$A$56&amp;DecisionC!$B$1:$B$56&amp;DecisionC!$C$1:$C$56&amp;DecisionC!$D$1:$D$56, 0))</f>
        <v>RNAseP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2A117-68C5-40F2-95A2-4E82CBFB73E8}">
  <sheetPr>
    <tabColor theme="1" tint="0.14999847407452621"/>
  </sheetPr>
  <dimension ref="A1:C4"/>
  <sheetViews>
    <sheetView workbookViewId="0">
      <selection activeCell="A4" sqref="A4:XFD4"/>
    </sheetView>
  </sheetViews>
  <sheetFormatPr defaultColWidth="9.140625" defaultRowHeight="15"/>
  <sheetData>
    <row r="1" spans="1:3">
      <c r="A1" s="1" t="s">
        <v>15</v>
      </c>
      <c r="B1" s="1" t="s">
        <v>16</v>
      </c>
      <c r="C1" s="1"/>
    </row>
    <row r="2" spans="1:3">
      <c r="A2" t="s">
        <v>9</v>
      </c>
      <c r="B2">
        <v>35</v>
      </c>
    </row>
    <row r="3" spans="1:3">
      <c r="A3" t="s">
        <v>10</v>
      </c>
      <c r="B3">
        <v>35</v>
      </c>
    </row>
    <row r="4" spans="1:3">
      <c r="A4" t="s">
        <v>11</v>
      </c>
      <c r="B4">
        <v>28</v>
      </c>
    </row>
  </sheetData>
  <sheetProtection sheet="1" objects="1" scenarios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25EE5-67BE-44F8-9404-2827F213376A}">
  <sheetPr>
    <tabColor theme="3" tint="0.39997558519241921"/>
  </sheetPr>
  <dimension ref="A1:E28"/>
  <sheetViews>
    <sheetView workbookViewId="0">
      <pane ySplit="1" topLeftCell="A12" activePane="bottomLeft" state="frozen"/>
      <selection pane="bottomLeft" activeCell="C12" sqref="C12"/>
    </sheetView>
  </sheetViews>
  <sheetFormatPr defaultColWidth="9.140625" defaultRowHeight="15"/>
  <cols>
    <col min="1" max="1" width="8.85546875" bestFit="1" customWidth="1"/>
    <col min="2" max="2" width="8.7109375" bestFit="1" customWidth="1"/>
    <col min="3" max="3" width="8.7109375" customWidth="1"/>
  </cols>
  <sheetData>
    <row r="1" spans="1:5">
      <c r="A1" s="1" t="s">
        <v>9</v>
      </c>
      <c r="B1" s="1" t="s">
        <v>10</v>
      </c>
      <c r="C1" s="1" t="s">
        <v>11</v>
      </c>
      <c r="D1" s="1" t="s">
        <v>13</v>
      </c>
      <c r="E1" s="1" t="s">
        <v>14</v>
      </c>
    </row>
    <row r="2" spans="1:5">
      <c r="A2">
        <v>-1</v>
      </c>
      <c r="B2">
        <v>-1</v>
      </c>
      <c r="C2">
        <v>-1</v>
      </c>
      <c r="D2" t="s">
        <v>17</v>
      </c>
      <c r="E2" t="s">
        <v>18</v>
      </c>
    </row>
    <row r="3" spans="1:5">
      <c r="A3">
        <v>0</v>
      </c>
      <c r="B3">
        <v>-1</v>
      </c>
      <c r="C3">
        <v>-1</v>
      </c>
      <c r="D3" t="s">
        <v>17</v>
      </c>
      <c r="E3" t="s">
        <v>18</v>
      </c>
    </row>
    <row r="4" spans="1:5">
      <c r="A4">
        <v>1</v>
      </c>
      <c r="B4">
        <v>-1</v>
      </c>
      <c r="C4">
        <v>-1</v>
      </c>
      <c r="D4" t="s">
        <v>17</v>
      </c>
      <c r="E4" t="s">
        <v>18</v>
      </c>
    </row>
    <row r="5" spans="1:5">
      <c r="A5">
        <v>-1</v>
      </c>
      <c r="B5">
        <v>0</v>
      </c>
      <c r="C5">
        <v>-1</v>
      </c>
      <c r="D5" t="s">
        <v>17</v>
      </c>
      <c r="E5" t="s">
        <v>18</v>
      </c>
    </row>
    <row r="6" spans="1:5">
      <c r="A6">
        <v>0</v>
      </c>
      <c r="B6">
        <v>0</v>
      </c>
      <c r="C6">
        <v>-1</v>
      </c>
      <c r="D6" t="s">
        <v>17</v>
      </c>
      <c r="E6" t="s">
        <v>18</v>
      </c>
    </row>
    <row r="7" spans="1:5">
      <c r="A7">
        <v>1</v>
      </c>
      <c r="B7">
        <v>0</v>
      </c>
      <c r="C7">
        <v>-1</v>
      </c>
      <c r="D7" t="s">
        <v>17</v>
      </c>
      <c r="E7" t="s">
        <v>18</v>
      </c>
    </row>
    <row r="8" spans="1:5">
      <c r="A8">
        <v>-1</v>
      </c>
      <c r="B8">
        <v>1</v>
      </c>
      <c r="C8">
        <v>-1</v>
      </c>
      <c r="D8" t="s">
        <v>17</v>
      </c>
      <c r="E8" t="s">
        <v>18</v>
      </c>
    </row>
    <row r="9" spans="1:5">
      <c r="A9">
        <v>0</v>
      </c>
      <c r="B9">
        <v>1</v>
      </c>
      <c r="C9">
        <v>-1</v>
      </c>
      <c r="D9" t="s">
        <v>17</v>
      </c>
      <c r="E9" t="s">
        <v>18</v>
      </c>
    </row>
    <row r="10" spans="1:5">
      <c r="A10">
        <v>1</v>
      </c>
      <c r="B10">
        <v>1</v>
      </c>
      <c r="C10">
        <v>-1</v>
      </c>
      <c r="D10" t="s">
        <v>17</v>
      </c>
      <c r="E10" t="s">
        <v>18</v>
      </c>
    </row>
    <row r="11" spans="1:5">
      <c r="A11">
        <v>-1</v>
      </c>
      <c r="B11">
        <v>-1</v>
      </c>
      <c r="C11">
        <v>0</v>
      </c>
      <c r="D11" t="s">
        <v>17</v>
      </c>
      <c r="E11" t="s">
        <v>19</v>
      </c>
    </row>
    <row r="12" spans="1:5">
      <c r="A12">
        <v>0</v>
      </c>
      <c r="B12">
        <v>-1</v>
      </c>
      <c r="C12">
        <v>0</v>
      </c>
      <c r="D12" t="s">
        <v>17</v>
      </c>
      <c r="E12" t="s">
        <v>19</v>
      </c>
    </row>
    <row r="13" spans="1:5">
      <c r="A13">
        <v>1</v>
      </c>
      <c r="B13">
        <v>-1</v>
      </c>
      <c r="C13">
        <v>0</v>
      </c>
      <c r="D13" t="s">
        <v>17</v>
      </c>
      <c r="E13" t="s">
        <v>19</v>
      </c>
    </row>
    <row r="14" spans="1:5">
      <c r="A14">
        <v>-1</v>
      </c>
      <c r="B14">
        <v>0</v>
      </c>
      <c r="C14">
        <v>0</v>
      </c>
      <c r="D14" t="s">
        <v>17</v>
      </c>
      <c r="E14" t="s">
        <v>19</v>
      </c>
    </row>
    <row r="15" spans="1:5">
      <c r="A15">
        <v>0</v>
      </c>
      <c r="B15">
        <v>0</v>
      </c>
      <c r="C15">
        <v>0</v>
      </c>
      <c r="D15" t="s">
        <v>17</v>
      </c>
      <c r="E15" t="s">
        <v>19</v>
      </c>
    </row>
    <row r="16" spans="1:5">
      <c r="A16">
        <v>1</v>
      </c>
      <c r="B16">
        <v>0</v>
      </c>
      <c r="C16">
        <v>0</v>
      </c>
      <c r="D16" t="s">
        <v>17</v>
      </c>
      <c r="E16" t="s">
        <v>19</v>
      </c>
    </row>
    <row r="17" spans="1:5">
      <c r="A17">
        <v>-1</v>
      </c>
      <c r="B17">
        <v>1</v>
      </c>
      <c r="C17">
        <v>0</v>
      </c>
      <c r="D17" t="s">
        <v>17</v>
      </c>
      <c r="E17" t="s">
        <v>19</v>
      </c>
    </row>
    <row r="18" spans="1:5">
      <c r="A18">
        <v>0</v>
      </c>
      <c r="B18">
        <v>1</v>
      </c>
      <c r="C18">
        <v>0</v>
      </c>
      <c r="D18" t="s">
        <v>17</v>
      </c>
      <c r="E18" t="s">
        <v>19</v>
      </c>
    </row>
    <row r="19" spans="1:5">
      <c r="A19">
        <v>1</v>
      </c>
      <c r="B19">
        <v>1</v>
      </c>
      <c r="C19">
        <v>0</v>
      </c>
      <c r="D19" t="s">
        <v>17</v>
      </c>
      <c r="E19" t="s">
        <v>19</v>
      </c>
    </row>
    <row r="20" spans="1:5">
      <c r="A20">
        <v>-1</v>
      </c>
      <c r="B20">
        <v>-1</v>
      </c>
      <c r="C20">
        <v>1</v>
      </c>
      <c r="D20" t="s">
        <v>20</v>
      </c>
      <c r="E20" t="s">
        <v>21</v>
      </c>
    </row>
    <row r="21" spans="1:5">
      <c r="A21">
        <v>0</v>
      </c>
      <c r="B21">
        <v>-1</v>
      </c>
      <c r="C21">
        <v>1</v>
      </c>
      <c r="D21" t="s">
        <v>22</v>
      </c>
      <c r="E21" t="s">
        <v>23</v>
      </c>
    </row>
    <row r="22" spans="1:5">
      <c r="A22">
        <v>1</v>
      </c>
      <c r="B22">
        <v>-1</v>
      </c>
      <c r="C22">
        <v>1</v>
      </c>
      <c r="D22" t="s">
        <v>24</v>
      </c>
      <c r="E22" t="s">
        <v>25</v>
      </c>
    </row>
    <row r="23" spans="1:5">
      <c r="A23">
        <v>-1</v>
      </c>
      <c r="B23">
        <v>0</v>
      </c>
      <c r="C23">
        <v>1</v>
      </c>
      <c r="D23" t="s">
        <v>22</v>
      </c>
      <c r="E23" t="s">
        <v>26</v>
      </c>
    </row>
    <row r="24" spans="1:5">
      <c r="A24">
        <v>0</v>
      </c>
      <c r="B24">
        <v>0</v>
      </c>
      <c r="C24">
        <v>1</v>
      </c>
      <c r="D24" t="s">
        <v>22</v>
      </c>
      <c r="E24" t="s">
        <v>27</v>
      </c>
    </row>
    <row r="25" spans="1:5">
      <c r="A25">
        <v>1</v>
      </c>
      <c r="B25">
        <v>0</v>
      </c>
      <c r="C25">
        <v>1</v>
      </c>
      <c r="D25" t="s">
        <v>24</v>
      </c>
      <c r="E25" t="s">
        <v>28</v>
      </c>
    </row>
    <row r="26" spans="1:5">
      <c r="A26">
        <v>-1</v>
      </c>
      <c r="B26">
        <v>1</v>
      </c>
      <c r="C26">
        <v>1</v>
      </c>
      <c r="D26" t="s">
        <v>24</v>
      </c>
      <c r="E26" t="s">
        <v>29</v>
      </c>
    </row>
    <row r="27" spans="1:5">
      <c r="A27">
        <v>0</v>
      </c>
      <c r="B27">
        <v>1</v>
      </c>
      <c r="C27">
        <v>1</v>
      </c>
      <c r="D27" t="s">
        <v>24</v>
      </c>
      <c r="E27" t="s">
        <v>30</v>
      </c>
    </row>
    <row r="28" spans="1:5">
      <c r="A28">
        <v>1</v>
      </c>
      <c r="B28">
        <v>1</v>
      </c>
      <c r="C28">
        <v>1</v>
      </c>
      <c r="D28" t="s">
        <v>24</v>
      </c>
      <c r="E28" t="s">
        <v>31</v>
      </c>
    </row>
  </sheetData>
  <sheetProtection sheet="1" objects="1" scenarios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3E0B6-5CDC-4CD2-8A0F-CAE2E892A1DD}">
  <sheetPr>
    <tabColor theme="5"/>
  </sheetPr>
  <dimension ref="A1:F55"/>
  <sheetViews>
    <sheetView topLeftCell="A2" workbookViewId="0">
      <selection activeCell="C17" sqref="C17"/>
    </sheetView>
  </sheetViews>
  <sheetFormatPr defaultColWidth="9.140625" defaultRowHeight="15"/>
  <cols>
    <col min="5" max="5" width="14.7109375" bestFit="1" customWidth="1"/>
  </cols>
  <sheetData>
    <row r="1" spans="1:6">
      <c r="A1" s="1" t="s">
        <v>1</v>
      </c>
      <c r="B1" s="1" t="s">
        <v>9</v>
      </c>
      <c r="C1" s="1" t="s">
        <v>10</v>
      </c>
      <c r="D1" s="1" t="s">
        <v>11</v>
      </c>
      <c r="E1" s="1" t="s">
        <v>13</v>
      </c>
      <c r="F1" s="1" t="s">
        <v>14</v>
      </c>
    </row>
    <row r="2" spans="1:6">
      <c r="A2" t="s">
        <v>7</v>
      </c>
      <c r="B2">
        <v>-1</v>
      </c>
      <c r="C2">
        <v>-1</v>
      </c>
      <c r="D2">
        <v>-1</v>
      </c>
      <c r="E2" t="s">
        <v>17</v>
      </c>
      <c r="F2" t="s">
        <v>32</v>
      </c>
    </row>
    <row r="3" spans="1:6">
      <c r="A3" t="s">
        <v>7</v>
      </c>
      <c r="B3">
        <v>0</v>
      </c>
      <c r="C3">
        <v>-1</v>
      </c>
      <c r="D3">
        <v>-1</v>
      </c>
      <c r="E3" t="s">
        <v>17</v>
      </c>
      <c r="F3" t="s">
        <v>33</v>
      </c>
    </row>
    <row r="4" spans="1:6">
      <c r="A4" t="s">
        <v>7</v>
      </c>
      <c r="B4">
        <v>1</v>
      </c>
      <c r="C4">
        <v>-1</v>
      </c>
      <c r="D4">
        <v>-1</v>
      </c>
      <c r="E4" t="s">
        <v>17</v>
      </c>
      <c r="F4" t="s">
        <v>34</v>
      </c>
    </row>
    <row r="5" spans="1:6">
      <c r="A5" t="s">
        <v>7</v>
      </c>
      <c r="B5">
        <v>-1</v>
      </c>
      <c r="C5">
        <v>0</v>
      </c>
      <c r="D5">
        <v>-1</v>
      </c>
      <c r="E5" t="s">
        <v>17</v>
      </c>
      <c r="F5" t="s">
        <v>33</v>
      </c>
    </row>
    <row r="6" spans="1:6">
      <c r="A6" t="s">
        <v>7</v>
      </c>
      <c r="B6">
        <v>0</v>
      </c>
      <c r="C6">
        <v>0</v>
      </c>
      <c r="D6">
        <v>-1</v>
      </c>
      <c r="E6" t="s">
        <v>17</v>
      </c>
      <c r="F6" t="s">
        <v>33</v>
      </c>
    </row>
    <row r="7" spans="1:6">
      <c r="A7" t="s">
        <v>7</v>
      </c>
      <c r="B7">
        <v>1</v>
      </c>
      <c r="C7">
        <v>0</v>
      </c>
      <c r="D7">
        <v>-1</v>
      </c>
      <c r="E7" t="s">
        <v>17</v>
      </c>
      <c r="F7" t="s">
        <v>34</v>
      </c>
    </row>
    <row r="8" spans="1:6">
      <c r="A8" t="s">
        <v>7</v>
      </c>
      <c r="B8">
        <v>-1</v>
      </c>
      <c r="C8">
        <v>1</v>
      </c>
      <c r="D8">
        <v>-1</v>
      </c>
      <c r="E8" t="s">
        <v>17</v>
      </c>
      <c r="F8" t="s">
        <v>35</v>
      </c>
    </row>
    <row r="9" spans="1:6">
      <c r="A9" t="s">
        <v>7</v>
      </c>
      <c r="B9">
        <v>0</v>
      </c>
      <c r="C9">
        <v>1</v>
      </c>
      <c r="D9">
        <v>-1</v>
      </c>
      <c r="E9" t="s">
        <v>17</v>
      </c>
      <c r="F9" t="s">
        <v>35</v>
      </c>
    </row>
    <row r="10" spans="1:6">
      <c r="A10" t="s">
        <v>7</v>
      </c>
      <c r="B10">
        <v>1</v>
      </c>
      <c r="C10">
        <v>1</v>
      </c>
      <c r="D10">
        <v>-1</v>
      </c>
      <c r="E10" t="s">
        <v>17</v>
      </c>
      <c r="F10" t="s">
        <v>11</v>
      </c>
    </row>
    <row r="11" spans="1:6">
      <c r="A11" t="s">
        <v>7</v>
      </c>
      <c r="B11">
        <v>-1</v>
      </c>
      <c r="C11">
        <v>-1</v>
      </c>
      <c r="D11">
        <v>0</v>
      </c>
      <c r="E11" t="s">
        <v>17</v>
      </c>
      <c r="F11" t="s">
        <v>36</v>
      </c>
    </row>
    <row r="12" spans="1:6">
      <c r="A12" t="s">
        <v>7</v>
      </c>
      <c r="B12">
        <v>0</v>
      </c>
      <c r="C12">
        <v>-1</v>
      </c>
      <c r="D12">
        <v>0</v>
      </c>
      <c r="E12" t="s">
        <v>17</v>
      </c>
      <c r="F12" t="s">
        <v>36</v>
      </c>
    </row>
    <row r="13" spans="1:6">
      <c r="A13" t="s">
        <v>7</v>
      </c>
      <c r="B13">
        <v>1</v>
      </c>
      <c r="C13">
        <v>-1</v>
      </c>
      <c r="D13">
        <v>0</v>
      </c>
      <c r="E13" t="s">
        <v>17</v>
      </c>
      <c r="F13" t="s">
        <v>10</v>
      </c>
    </row>
    <row r="14" spans="1:6">
      <c r="A14" t="s">
        <v>7</v>
      </c>
      <c r="B14">
        <v>-1</v>
      </c>
      <c r="C14">
        <v>0</v>
      </c>
      <c r="D14">
        <v>0</v>
      </c>
      <c r="E14" t="s">
        <v>17</v>
      </c>
      <c r="F14" t="s">
        <v>36</v>
      </c>
    </row>
    <row r="15" spans="1:6">
      <c r="A15" t="s">
        <v>7</v>
      </c>
      <c r="B15">
        <v>0</v>
      </c>
      <c r="C15">
        <v>0</v>
      </c>
      <c r="D15">
        <v>0</v>
      </c>
      <c r="E15" t="s">
        <v>17</v>
      </c>
      <c r="F15" t="s">
        <v>36</v>
      </c>
    </row>
    <row r="16" spans="1:6">
      <c r="A16" t="s">
        <v>7</v>
      </c>
      <c r="B16">
        <v>1</v>
      </c>
      <c r="C16">
        <v>0</v>
      </c>
      <c r="D16">
        <v>0</v>
      </c>
      <c r="E16" t="s">
        <v>17</v>
      </c>
      <c r="F16" t="s">
        <v>10</v>
      </c>
    </row>
    <row r="17" spans="1:6">
      <c r="A17" t="s">
        <v>7</v>
      </c>
      <c r="B17">
        <v>-1</v>
      </c>
      <c r="C17">
        <v>1</v>
      </c>
      <c r="D17">
        <v>0</v>
      </c>
      <c r="E17" t="s">
        <v>17</v>
      </c>
      <c r="F17" t="s">
        <v>9</v>
      </c>
    </row>
    <row r="18" spans="1:6">
      <c r="A18" t="s">
        <v>7</v>
      </c>
      <c r="B18">
        <v>0</v>
      </c>
      <c r="C18">
        <v>1</v>
      </c>
      <c r="D18">
        <v>0</v>
      </c>
      <c r="E18" t="s">
        <v>17</v>
      </c>
      <c r="F18" t="s">
        <v>9</v>
      </c>
    </row>
    <row r="19" spans="1:6">
      <c r="A19" t="s">
        <v>7</v>
      </c>
      <c r="B19">
        <v>1</v>
      </c>
      <c r="C19">
        <v>1</v>
      </c>
      <c r="D19">
        <v>0</v>
      </c>
      <c r="E19" t="s">
        <v>37</v>
      </c>
      <c r="F19" t="s">
        <v>38</v>
      </c>
    </row>
    <row r="20" spans="1:6">
      <c r="A20" t="s">
        <v>7</v>
      </c>
      <c r="B20">
        <v>-1</v>
      </c>
      <c r="C20">
        <v>-1</v>
      </c>
      <c r="D20">
        <v>1</v>
      </c>
      <c r="E20" t="s">
        <v>17</v>
      </c>
      <c r="F20" t="s">
        <v>36</v>
      </c>
    </row>
    <row r="21" spans="1:6">
      <c r="A21" t="s">
        <v>7</v>
      </c>
      <c r="B21">
        <v>0</v>
      </c>
      <c r="C21">
        <v>-1</v>
      </c>
      <c r="D21">
        <v>1</v>
      </c>
      <c r="E21" t="s">
        <v>17</v>
      </c>
      <c r="F21" t="s">
        <v>36</v>
      </c>
    </row>
    <row r="22" spans="1:6">
      <c r="A22" t="s">
        <v>7</v>
      </c>
      <c r="B22">
        <v>1</v>
      </c>
      <c r="C22">
        <v>-1</v>
      </c>
      <c r="D22">
        <v>1</v>
      </c>
      <c r="E22" t="s">
        <v>17</v>
      </c>
      <c r="F22" t="s">
        <v>10</v>
      </c>
    </row>
    <row r="23" spans="1:6">
      <c r="A23" t="s">
        <v>7</v>
      </c>
      <c r="B23">
        <v>-1</v>
      </c>
      <c r="C23">
        <v>0</v>
      </c>
      <c r="D23">
        <v>1</v>
      </c>
      <c r="E23" t="s">
        <v>17</v>
      </c>
      <c r="F23" t="s">
        <v>36</v>
      </c>
    </row>
    <row r="24" spans="1:6">
      <c r="A24" t="s">
        <v>7</v>
      </c>
      <c r="B24">
        <v>0</v>
      </c>
      <c r="C24">
        <v>0</v>
      </c>
      <c r="D24">
        <v>1</v>
      </c>
      <c r="E24" t="s">
        <v>17</v>
      </c>
      <c r="F24" t="s">
        <v>36</v>
      </c>
    </row>
    <row r="25" spans="1:6">
      <c r="A25" t="s">
        <v>7</v>
      </c>
      <c r="B25">
        <v>1</v>
      </c>
      <c r="C25">
        <v>0</v>
      </c>
      <c r="D25">
        <v>1</v>
      </c>
      <c r="E25" t="s">
        <v>17</v>
      </c>
      <c r="F25" t="s">
        <v>10</v>
      </c>
    </row>
    <row r="26" spans="1:6">
      <c r="A26" t="s">
        <v>7</v>
      </c>
      <c r="B26">
        <v>-1</v>
      </c>
      <c r="C26">
        <v>1</v>
      </c>
      <c r="D26">
        <v>1</v>
      </c>
      <c r="E26" t="s">
        <v>17</v>
      </c>
      <c r="F26" t="s">
        <v>9</v>
      </c>
    </row>
    <row r="27" spans="1:6">
      <c r="A27" t="s">
        <v>7</v>
      </c>
      <c r="B27">
        <v>0</v>
      </c>
      <c r="C27">
        <v>1</v>
      </c>
      <c r="D27">
        <v>1</v>
      </c>
      <c r="E27" t="s">
        <v>17</v>
      </c>
      <c r="F27" t="s">
        <v>9</v>
      </c>
    </row>
    <row r="28" spans="1:6">
      <c r="A28" t="s">
        <v>7</v>
      </c>
      <c r="B28">
        <v>1</v>
      </c>
      <c r="C28">
        <v>1</v>
      </c>
      <c r="D28">
        <v>1</v>
      </c>
      <c r="E28" t="s">
        <v>37</v>
      </c>
      <c r="F28" t="s">
        <v>38</v>
      </c>
    </row>
    <row r="29" spans="1:6">
      <c r="A29" t="s">
        <v>8</v>
      </c>
      <c r="B29">
        <v>1</v>
      </c>
      <c r="C29">
        <v>1</v>
      </c>
      <c r="D29">
        <v>1</v>
      </c>
      <c r="E29" t="s">
        <v>17</v>
      </c>
      <c r="F29" t="s">
        <v>33</v>
      </c>
    </row>
    <row r="30" spans="1:6">
      <c r="A30" t="s">
        <v>8</v>
      </c>
      <c r="B30">
        <v>0</v>
      </c>
      <c r="C30">
        <v>1</v>
      </c>
      <c r="D30">
        <v>1</v>
      </c>
      <c r="E30" t="s">
        <v>17</v>
      </c>
      <c r="F30" t="s">
        <v>33</v>
      </c>
    </row>
    <row r="31" spans="1:6">
      <c r="A31" t="s">
        <v>8</v>
      </c>
      <c r="B31">
        <v>-1</v>
      </c>
      <c r="C31">
        <v>1</v>
      </c>
      <c r="D31">
        <v>1</v>
      </c>
      <c r="E31" t="s">
        <v>17</v>
      </c>
      <c r="F31" t="s">
        <v>34</v>
      </c>
    </row>
    <row r="32" spans="1:6">
      <c r="A32" t="s">
        <v>8</v>
      </c>
      <c r="B32">
        <v>1</v>
      </c>
      <c r="C32">
        <v>0</v>
      </c>
      <c r="D32">
        <v>1</v>
      </c>
      <c r="E32" t="s">
        <v>17</v>
      </c>
      <c r="F32" t="s">
        <v>33</v>
      </c>
    </row>
    <row r="33" spans="1:6">
      <c r="A33" t="s">
        <v>8</v>
      </c>
      <c r="B33">
        <v>0</v>
      </c>
      <c r="C33">
        <v>0</v>
      </c>
      <c r="D33">
        <v>1</v>
      </c>
      <c r="E33" t="s">
        <v>17</v>
      </c>
      <c r="F33" t="s">
        <v>33</v>
      </c>
    </row>
    <row r="34" spans="1:6">
      <c r="A34" t="s">
        <v>8</v>
      </c>
      <c r="B34">
        <v>-1</v>
      </c>
      <c r="C34">
        <v>0</v>
      </c>
      <c r="D34">
        <v>1</v>
      </c>
      <c r="E34" t="s">
        <v>17</v>
      </c>
      <c r="F34" t="s">
        <v>34</v>
      </c>
    </row>
    <row r="35" spans="1:6">
      <c r="A35" t="s">
        <v>8</v>
      </c>
      <c r="B35">
        <v>1</v>
      </c>
      <c r="C35">
        <v>-1</v>
      </c>
      <c r="D35">
        <v>1</v>
      </c>
      <c r="E35" t="s">
        <v>17</v>
      </c>
      <c r="F35" t="s">
        <v>35</v>
      </c>
    </row>
    <row r="36" spans="1:6">
      <c r="A36" t="s">
        <v>8</v>
      </c>
      <c r="B36">
        <v>0</v>
      </c>
      <c r="C36">
        <v>-1</v>
      </c>
      <c r="D36">
        <v>1</v>
      </c>
      <c r="E36" t="s">
        <v>17</v>
      </c>
      <c r="F36" t="s">
        <v>35</v>
      </c>
    </row>
    <row r="37" spans="1:6">
      <c r="A37" t="s">
        <v>8</v>
      </c>
      <c r="B37">
        <v>-1</v>
      </c>
      <c r="C37">
        <v>-1</v>
      </c>
      <c r="D37">
        <v>1</v>
      </c>
      <c r="E37" t="s">
        <v>17</v>
      </c>
      <c r="F37" t="s">
        <v>11</v>
      </c>
    </row>
    <row r="38" spans="1:6">
      <c r="A38" t="s">
        <v>8</v>
      </c>
      <c r="B38">
        <v>1</v>
      </c>
      <c r="C38">
        <v>1</v>
      </c>
      <c r="D38">
        <v>0</v>
      </c>
      <c r="E38" t="s">
        <v>17</v>
      </c>
      <c r="F38" t="s">
        <v>33</v>
      </c>
    </row>
    <row r="39" spans="1:6">
      <c r="A39" t="s">
        <v>8</v>
      </c>
      <c r="B39">
        <v>0</v>
      </c>
      <c r="C39">
        <v>1</v>
      </c>
      <c r="D39">
        <v>0</v>
      </c>
      <c r="E39" t="s">
        <v>17</v>
      </c>
      <c r="F39" t="s">
        <v>33</v>
      </c>
    </row>
    <row r="40" spans="1:6">
      <c r="A40" t="s">
        <v>8</v>
      </c>
      <c r="B40">
        <v>-1</v>
      </c>
      <c r="C40">
        <v>1</v>
      </c>
      <c r="D40">
        <v>0</v>
      </c>
      <c r="E40" t="s">
        <v>17</v>
      </c>
      <c r="F40" t="s">
        <v>34</v>
      </c>
    </row>
    <row r="41" spans="1:6">
      <c r="A41" t="s">
        <v>8</v>
      </c>
      <c r="B41">
        <v>1</v>
      </c>
      <c r="C41">
        <v>0</v>
      </c>
      <c r="D41">
        <v>0</v>
      </c>
      <c r="E41" t="s">
        <v>17</v>
      </c>
      <c r="F41" t="s">
        <v>33</v>
      </c>
    </row>
    <row r="42" spans="1:6">
      <c r="A42" t="s">
        <v>8</v>
      </c>
      <c r="B42">
        <v>0</v>
      </c>
      <c r="C42">
        <v>0</v>
      </c>
      <c r="D42">
        <v>0</v>
      </c>
      <c r="E42" t="s">
        <v>17</v>
      </c>
      <c r="F42" t="s">
        <v>33</v>
      </c>
    </row>
    <row r="43" spans="1:6">
      <c r="A43" t="s">
        <v>8</v>
      </c>
      <c r="B43">
        <v>-1</v>
      </c>
      <c r="C43">
        <v>0</v>
      </c>
      <c r="D43">
        <v>0</v>
      </c>
      <c r="E43" t="s">
        <v>17</v>
      </c>
      <c r="F43" t="s">
        <v>34</v>
      </c>
    </row>
    <row r="44" spans="1:6">
      <c r="A44" t="s">
        <v>8</v>
      </c>
      <c r="B44">
        <v>1</v>
      </c>
      <c r="C44">
        <v>-1</v>
      </c>
      <c r="D44">
        <v>0</v>
      </c>
      <c r="E44" t="s">
        <v>17</v>
      </c>
      <c r="F44" t="s">
        <v>35</v>
      </c>
    </row>
    <row r="45" spans="1:6">
      <c r="A45" t="s">
        <v>8</v>
      </c>
      <c r="B45">
        <v>0</v>
      </c>
      <c r="C45">
        <v>-1</v>
      </c>
      <c r="D45">
        <v>0</v>
      </c>
      <c r="E45" t="s">
        <v>17</v>
      </c>
      <c r="F45" t="s">
        <v>35</v>
      </c>
    </row>
    <row r="46" spans="1:6">
      <c r="A46" t="s">
        <v>8</v>
      </c>
      <c r="B46">
        <v>-1</v>
      </c>
      <c r="C46">
        <v>-1</v>
      </c>
      <c r="D46">
        <v>0</v>
      </c>
      <c r="E46" t="s">
        <v>17</v>
      </c>
      <c r="F46" t="s">
        <v>11</v>
      </c>
    </row>
    <row r="47" spans="1:6">
      <c r="A47" t="s">
        <v>8</v>
      </c>
      <c r="B47">
        <v>1</v>
      </c>
      <c r="C47">
        <v>1</v>
      </c>
      <c r="D47">
        <v>-1</v>
      </c>
      <c r="E47" t="s">
        <v>17</v>
      </c>
      <c r="F47" t="s">
        <v>36</v>
      </c>
    </row>
    <row r="48" spans="1:6">
      <c r="A48" t="s">
        <v>8</v>
      </c>
      <c r="B48">
        <v>0</v>
      </c>
      <c r="C48">
        <v>1</v>
      </c>
      <c r="D48">
        <v>-1</v>
      </c>
      <c r="E48" t="s">
        <v>17</v>
      </c>
      <c r="F48" t="s">
        <v>36</v>
      </c>
    </row>
    <row r="49" spans="1:6">
      <c r="A49" t="s">
        <v>8</v>
      </c>
      <c r="B49">
        <v>-1</v>
      </c>
      <c r="C49">
        <v>1</v>
      </c>
      <c r="D49">
        <v>-1</v>
      </c>
      <c r="E49" t="s">
        <v>17</v>
      </c>
      <c r="F49" t="s">
        <v>10</v>
      </c>
    </row>
    <row r="50" spans="1:6">
      <c r="A50" t="s">
        <v>8</v>
      </c>
      <c r="B50">
        <v>1</v>
      </c>
      <c r="C50">
        <v>0</v>
      </c>
      <c r="D50">
        <v>-1</v>
      </c>
      <c r="E50" t="s">
        <v>17</v>
      </c>
      <c r="F50" t="s">
        <v>36</v>
      </c>
    </row>
    <row r="51" spans="1:6">
      <c r="A51" t="s">
        <v>8</v>
      </c>
      <c r="B51">
        <v>0</v>
      </c>
      <c r="C51">
        <v>0</v>
      </c>
      <c r="D51">
        <v>-1</v>
      </c>
      <c r="E51" t="s">
        <v>17</v>
      </c>
      <c r="F51" t="s">
        <v>36</v>
      </c>
    </row>
    <row r="52" spans="1:6">
      <c r="A52" t="s">
        <v>8</v>
      </c>
      <c r="B52">
        <v>-1</v>
      </c>
      <c r="C52">
        <v>0</v>
      </c>
      <c r="D52">
        <v>-1</v>
      </c>
      <c r="E52" t="s">
        <v>17</v>
      </c>
      <c r="F52" t="s">
        <v>10</v>
      </c>
    </row>
    <row r="53" spans="1:6">
      <c r="A53" t="s">
        <v>8</v>
      </c>
      <c r="B53">
        <v>1</v>
      </c>
      <c r="C53">
        <v>-1</v>
      </c>
      <c r="D53">
        <v>-1</v>
      </c>
      <c r="E53" t="s">
        <v>17</v>
      </c>
      <c r="F53" t="s">
        <v>9</v>
      </c>
    </row>
    <row r="54" spans="1:6">
      <c r="A54" t="s">
        <v>8</v>
      </c>
      <c r="B54">
        <v>0</v>
      </c>
      <c r="C54">
        <v>-1</v>
      </c>
      <c r="D54">
        <v>-1</v>
      </c>
      <c r="E54" t="s">
        <v>17</v>
      </c>
      <c r="F54" t="s">
        <v>9</v>
      </c>
    </row>
    <row r="55" spans="1:6">
      <c r="A55" t="s">
        <v>8</v>
      </c>
      <c r="B55">
        <v>-1</v>
      </c>
      <c r="C55">
        <v>-1</v>
      </c>
      <c r="D55">
        <v>-1</v>
      </c>
      <c r="E55" t="s">
        <v>37</v>
      </c>
      <c r="F55" t="s">
        <v>39</v>
      </c>
    </row>
  </sheetData>
  <sheetProtection sheet="1" objects="1" scenario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E3F19-D299-41D2-B191-DE66BABB643F}">
  <sheetPr>
    <tabColor theme="8" tint="-0.249977111117893"/>
  </sheetPr>
  <dimension ref="A1:L58"/>
  <sheetViews>
    <sheetView tabSelected="1" workbookViewId="0">
      <selection activeCell="C12" sqref="C12:G12"/>
    </sheetView>
  </sheetViews>
  <sheetFormatPr defaultColWidth="9.140625" defaultRowHeight="15"/>
  <cols>
    <col min="1" max="1" width="13.42578125" style="20" bestFit="1" customWidth="1"/>
    <col min="2" max="2" width="13.42578125" style="20" customWidth="1"/>
    <col min="3" max="3" width="13.42578125" style="12" customWidth="1"/>
    <col min="4" max="6" width="14.85546875" style="12" customWidth="1"/>
    <col min="7" max="7" width="23.85546875" style="12" bestFit="1" customWidth="1"/>
    <col min="8" max="8" width="13.42578125" style="12" customWidth="1"/>
    <col min="9" max="16384" width="9.140625" style="12"/>
  </cols>
  <sheetData>
    <row r="1" spans="1:8" ht="18.75">
      <c r="A1" s="28" t="s">
        <v>40</v>
      </c>
      <c r="B1" s="28"/>
    </row>
    <row r="3" spans="1:8">
      <c r="A3" s="24" t="s">
        <v>41</v>
      </c>
      <c r="B3" s="25"/>
      <c r="C3" s="26">
        <v>45930</v>
      </c>
      <c r="D3" s="26"/>
      <c r="E3" s="26"/>
      <c r="F3" s="26"/>
      <c r="G3" s="26"/>
    </row>
    <row r="4" spans="1:8">
      <c r="A4" s="24" t="s">
        <v>42</v>
      </c>
      <c r="B4" s="29"/>
      <c r="C4" s="27" t="s">
        <v>43</v>
      </c>
      <c r="D4" s="27"/>
      <c r="E4" s="27"/>
      <c r="F4" s="27"/>
      <c r="G4" s="27"/>
    </row>
    <row r="5" spans="1:8">
      <c r="A5" s="24" t="s">
        <v>44</v>
      </c>
      <c r="B5" s="25"/>
      <c r="C5" s="27" t="s">
        <v>45</v>
      </c>
      <c r="D5" s="27"/>
      <c r="E5" s="27"/>
      <c r="F5" s="27"/>
      <c r="G5" s="27"/>
    </row>
    <row r="6" spans="1:8">
      <c r="A6" s="24" t="s">
        <v>46</v>
      </c>
      <c r="B6" s="25"/>
      <c r="C6" s="27">
        <v>301</v>
      </c>
      <c r="D6" s="27"/>
      <c r="E6" s="27"/>
      <c r="F6" s="27"/>
      <c r="G6" s="27"/>
    </row>
    <row r="7" spans="1:8">
      <c r="A7" s="24" t="s">
        <v>47</v>
      </c>
      <c r="B7" s="25"/>
      <c r="C7" s="27">
        <v>66262118</v>
      </c>
      <c r="D7" s="27"/>
      <c r="E7" s="27"/>
      <c r="F7" s="27"/>
      <c r="G7" s="27"/>
    </row>
    <row r="8" spans="1:8">
      <c r="A8" s="24" t="s">
        <v>48</v>
      </c>
      <c r="B8" s="25"/>
      <c r="C8" s="26">
        <v>45771</v>
      </c>
      <c r="D8" s="26"/>
      <c r="E8" s="26"/>
      <c r="F8" s="26"/>
      <c r="G8" s="26"/>
    </row>
    <row r="9" spans="1:8">
      <c r="A9" s="24" t="s">
        <v>49</v>
      </c>
      <c r="B9" s="25"/>
      <c r="C9" s="26">
        <v>45771</v>
      </c>
      <c r="D9" s="26"/>
      <c r="E9" s="26"/>
      <c r="F9" s="26"/>
      <c r="G9" s="26"/>
    </row>
    <row r="10" spans="1:8">
      <c r="A10" s="24" t="s">
        <v>50</v>
      </c>
      <c r="B10" s="25"/>
      <c r="C10" s="26">
        <v>45771</v>
      </c>
      <c r="D10" s="26"/>
      <c r="E10" s="26"/>
      <c r="F10" s="26"/>
      <c r="G10" s="26"/>
    </row>
    <row r="11" spans="1:8">
      <c r="A11" s="24" t="s">
        <v>51</v>
      </c>
      <c r="B11" s="25"/>
      <c r="C11" s="26">
        <v>45771</v>
      </c>
      <c r="D11" s="27"/>
      <c r="E11" s="27"/>
      <c r="F11" s="27"/>
      <c r="G11" s="27"/>
    </row>
    <row r="12" spans="1:8">
      <c r="A12" s="24" t="s">
        <v>52</v>
      </c>
      <c r="B12" s="25"/>
      <c r="C12" s="26">
        <v>45674</v>
      </c>
      <c r="D12" s="27"/>
      <c r="E12" s="27"/>
      <c r="F12" s="27"/>
      <c r="G12" s="27"/>
    </row>
    <row r="15" spans="1:8">
      <c r="A15" s="22" t="str" cm="1">
        <f t="array" ref="A15">IF(INDEX(Analysis!A:A,MATCH(0,COUNTIF($A$14:A14,Analysis!A:A),0))="","",INDEX(Analysis!A:A,MATCH(0,COUNTIF($A$14:A14,Analysis!A:A),0)))</f>
        <v>Sample</v>
      </c>
      <c r="B15" s="13" t="s">
        <v>53</v>
      </c>
      <c r="C15" s="13" t="s">
        <v>54</v>
      </c>
      <c r="D15" s="14" t="s">
        <v>9</v>
      </c>
      <c r="E15" s="15" t="s">
        <v>10</v>
      </c>
      <c r="F15" s="16" t="s">
        <v>11</v>
      </c>
      <c r="G15" s="23" t="s">
        <v>55</v>
      </c>
      <c r="H15" s="17"/>
    </row>
    <row r="16" spans="1:8">
      <c r="A16" s="21" cm="1">
        <f t="array" ref="A16">IF(INDEX(Analysis!A:A,MATCH(0,COUNTIF($A$14:A15,Analysis!A:A),0))="","",INDEX(Analysis!A:A,MATCH(0,COUNTIF($A$14:A15,Analysis!A:A),0)))</f>
        <v>166</v>
      </c>
      <c r="B16" s="11">
        <v>2501963</v>
      </c>
      <c r="C16" s="21" t="str">
        <f>IF(COUNTIFS(Analysis!$A$2:$A$82,A16,Analysis!$H$2:$H$82,"F")&gt;COUNTIFS(Analysis!$A$2:$A$82,A16,Analysis!$H$2:$H$82,"N")+COUNTIFS(Analysis!$A$2:$A$82,A16,Analysis!$H$2:$H$82,"P")+COUNTIFS(Analysis!$A$2:$A$82,A16,Analysis!$H$2:$H$82,"S"),"F",
IF(COUNTIFS(Analysis!$A$2:$A$82,A16,Analysis!$H$2:$H$82,"N")&gt;COUNTIFS(Analysis!$A$2:$A$82,A16,Analysis!$H$2:$H$82,"F")+COUNTIFS(Analysis!$A$2:$A$82,A16,Analysis!$H$2:$H$82,"P")+COUNTIFS(Analysis!$A$2:$A$82,A16,Analysis!$H$2:$H$82,"S"),"N",
IF(COUNTIFS(Analysis!$A$2:$A$82,A16,Analysis!$H$2:$H$82,"P")&gt;COUNTIFS(Analysis!$A$2:$A$82,A16,Analysis!$H$2:$H$82,"F")+COUNTIFS(Analysis!$A$2:$A$82,A16,Analysis!$H$2:$H$82,"N")+COUNTIFS(Analysis!$A$2:$A$82,A16,Analysis!$H$2:$H$82,"S"),"P",
IF(COUNTIFS(Analysis!$A$2:$A$82,A16,Analysis!$H$2:$H$82,"S")&gt;COUNTIFS(Analysis!$A$2:$A$82,A16,Analysis!$H$2:$H$82,"F")+COUNTIFS(Analysis!$A$2:$A$82,A16,Analysis!$H$2:$H$82,"N")+COUNTIFS(Analysis!$A$2:$A$82,A16,Analysis!$H$2:$H$82,"P"),"S","R"))))</f>
        <v>N</v>
      </c>
      <c r="D16" s="21" t="str" cm="1">
        <f t="array" ref="D16">IFERROR(
  IF(
    ROUND(AVERAGEIFS(Analysis!$B$2:$B$100, Analysis!$A$2:$A$100, Replicates!$A2, Analysis!$B$2:$B$100, "&lt;&gt;-1"), 1)="",
    "",
    ROUND(AVERAGEIFS(Analysis!$B$2:$B$100, Analysis!$A$2:$A$100, Replicates!$A2, Analysis!$B$2:$B$100, "&lt;&gt;-1"), 1) &amp;
    IF(
      ISNUMBER(
        ROUND(_xlfn.STDEV.S(IF((Analysis!$A$2:$A$100=Replicates!$A2) * (Analysis!$B$2:$B$100&lt;&gt;-1), Analysis!$B$2:$B$100, "")), 1)
      ),
      " +/- " &amp; ROUND(_xlfn.STDEV.S(IF((Analysis!$A$2:$A$100=Replicates!$A2) * (Analysis!$B$2:$B$100&lt;&gt;-1), Analysis!$B$2:$B$100, "")), 1),
      ""
    )
  ),
  ""
)</f>
        <v/>
      </c>
      <c r="E16" s="21" t="str" cm="1">
        <f t="array" ref="E16">IFERROR(
  IF(
    ROUND(AVERAGEIFS(Analysis!$C$2:$C$100, Analysis!$A$2:$A$100, Replicates!$A2, Analysis!$C$2:$C$100, "&lt;&gt;-1"), 1)="",
    "",
    ROUND(AVERAGEIFS(Analysis!$C$2:$C$100, Analysis!$A$2:$A$100, Replicates!$A2, Analysis!$C$2:$C$100, "&lt;&gt;-1"), 1) &amp;
    IF(
      ISNUMBER(
        ROUND(_xlfn.STDEV.S(IF((Analysis!$A$2:$A$100=Replicates!$A2) * (Analysis!$C$2:$C$100&lt;&gt;-1), Analysis!$C$2:$C$100, "")), 1)
      ),
      " +/- " &amp; ROUND(_xlfn.STDEV.S(IF((Analysis!$A$2:$A$100=Replicates!$A2) * (Analysis!$C$2:$C$100&lt;&gt;-1), Analysis!$C$2:$C$100, "")), 1),
      ""
    )
  ),
  ""
)</f>
        <v/>
      </c>
      <c r="F16" s="21" t="str" cm="1">
        <f t="array" ref="F16">IFERROR(
  IF(
    ROUND(AVERAGEIFS(Analysis!$D$2:$D$100, Analysis!$A$2:$A$100, Replicates!$A2, Analysis!$D$2:$D$100, "&lt;&gt;-1"), 1)="",
    "",
    ROUND(AVERAGEIFS(Analysis!$D$2:$D$100, Analysis!$A$2:$A$100, Replicates!$A2, Analysis!$D$2:$D$100, "&lt;&gt;-1"), 1) &amp;
    IF(
      ISNUMBER(
        ROUND(_xlfn.STDEV.S(IF((Analysis!$A$2:$A$100=Replicates!$A2) * (Analysis!$D$2:$D$100&lt;&gt;-1), Analysis!$D$2:$D$100, "")), 1)
      ),
      " +/- " &amp; ROUND(_xlfn.STDEV.S(IF((Analysis!$A$2:$A$100=Replicates!$A2) * (Analysis!$D$2:$D$100&lt;&gt;-1), Analysis!$D$2:$D$100, "")), 1),
      ""
    )
  ),
  ""
)</f>
        <v>21,5 +/- 0</v>
      </c>
      <c r="G16" s="18"/>
    </row>
    <row r="17" spans="1:12">
      <c r="A17" s="21" cm="1">
        <f t="array" ref="A17">IF(INDEX(Analysis!A:A,MATCH(0,COUNTIF($A$14:A16,Analysis!A:A),0))="","",INDEX(Analysis!A:A,MATCH(0,COUNTIF($A$14:A16,Analysis!A:A),0)))</f>
        <v>167</v>
      </c>
      <c r="B17" s="11">
        <v>2501940</v>
      </c>
      <c r="C17" s="21" t="str">
        <f>IF(COUNTIFS(Analysis!$A$2:$A$82,A17,Analysis!$H$2:$H$82,"F")&gt;COUNTIFS(Analysis!$A$2:$A$82,A17,Analysis!$H$2:$H$82,"N")+COUNTIFS(Analysis!$A$2:$A$82,A17,Analysis!$H$2:$H$82,"P")+COUNTIFS(Analysis!$A$2:$A$82,A17,Analysis!$H$2:$H$82,"S"),"F",
IF(COUNTIFS(Analysis!$A$2:$A$82,A17,Analysis!$H$2:$H$82,"N")&gt;COUNTIFS(Analysis!$A$2:$A$82,A17,Analysis!$H$2:$H$82,"F")+COUNTIFS(Analysis!$A$2:$A$82,A17,Analysis!$H$2:$H$82,"P")+COUNTIFS(Analysis!$A$2:$A$82,A17,Analysis!$H$2:$H$82,"S"),"N",
IF(COUNTIFS(Analysis!$A$2:$A$82,A17,Analysis!$H$2:$H$82,"P")&gt;COUNTIFS(Analysis!$A$2:$A$82,A17,Analysis!$H$2:$H$82,"F")+COUNTIFS(Analysis!$A$2:$A$82,A17,Analysis!$H$2:$H$82,"N")+COUNTIFS(Analysis!$A$2:$A$82,A17,Analysis!$H$2:$H$82,"S"),"P",
IF(COUNTIFS(Analysis!$A$2:$A$82,A17,Analysis!$H$2:$H$82,"S")&gt;COUNTIFS(Analysis!$A$2:$A$82,A17,Analysis!$H$2:$H$82,"F")+COUNTIFS(Analysis!$A$2:$A$82,A17,Analysis!$H$2:$H$82,"N")+COUNTIFS(Analysis!$A$2:$A$82,A17,Analysis!$H$2:$H$82,"P"),"S","R"))))</f>
        <v>N</v>
      </c>
      <c r="D17" s="21" t="str" cm="1">
        <f t="array" ref="D17">IFERROR(
  IF(
    ROUND(AVERAGEIFS(Analysis!$B$2:$B$100, Analysis!$A$2:$A$100, Replicates!$A3, Analysis!$B$2:$B$100, "&lt;&gt;-1"), 1)="",
    "",
    ROUND(AVERAGEIFS(Analysis!$B$2:$B$100, Analysis!$A$2:$A$100, Replicates!$A3, Analysis!$B$2:$B$100, "&lt;&gt;-1"), 1) &amp;
    IF(
      ISNUMBER(
        ROUND(_xlfn.STDEV.S(IF((Analysis!$A$2:$A$100=Replicates!$A3) * (Analysis!$B$2:$B$100&lt;&gt;-1), Analysis!$B$2:$B$100, "")), 1)
      ),
      " +/- " &amp; ROUND(_xlfn.STDEV.S(IF((Analysis!$A$2:$A$100=Replicates!$A3) * (Analysis!$B$2:$B$100&lt;&gt;-1), Analysis!$B$2:$B$100, "")), 1),
      ""
    )
  ),
  ""
)</f>
        <v/>
      </c>
      <c r="E17" s="21" t="str" cm="1">
        <f t="array" ref="E17">IFERROR(
  IF(
    ROUND(AVERAGEIFS(Analysis!$C$2:$C$100, Analysis!$A$2:$A$100, Replicates!$A3, Analysis!$C$2:$C$100, "&lt;&gt;-1"), 1)="",
    "",
    ROUND(AVERAGEIFS(Analysis!$C$2:$C$100, Analysis!$A$2:$A$100, Replicates!$A3, Analysis!$C$2:$C$100, "&lt;&gt;-1"), 1) &amp;
    IF(
      ISNUMBER(
        ROUND(_xlfn.STDEV.S(IF((Analysis!$A$2:$A$100=Replicates!$A3) * (Analysis!$C$2:$C$100&lt;&gt;-1), Analysis!$C$2:$C$100, "")), 1)
      ),
      " +/- " &amp; ROUND(_xlfn.STDEV.S(IF((Analysis!$A$2:$A$100=Replicates!$A3) * (Analysis!$C$2:$C$100&lt;&gt;-1), Analysis!$C$2:$C$100, "")), 1),
      ""
    )
  ),
  ""
)</f>
        <v/>
      </c>
      <c r="F17" s="21" t="str" cm="1">
        <f t="array" ref="F17">IFERROR(
  IF(
    ROUND(AVERAGEIFS(Analysis!$D$2:$D$100, Analysis!$A$2:$A$100, Replicates!$A3, Analysis!$D$2:$D$100, "&lt;&gt;-1"), 1)="",
    "",
    ROUND(AVERAGEIFS(Analysis!$D$2:$D$100, Analysis!$A$2:$A$100, Replicates!$A3, Analysis!$D$2:$D$100, "&lt;&gt;-1"), 1) &amp;
    IF(
      ISNUMBER(
        ROUND(_xlfn.STDEV.S(IF((Analysis!$A$2:$A$100=Replicates!$A3) * (Analysis!$D$2:$D$100&lt;&gt;-1), Analysis!$D$2:$D$100, "")), 1)
      ),
      " +/- " &amp; ROUND(_xlfn.STDEV.S(IF((Analysis!$A$2:$A$100=Replicates!$A3) * (Analysis!$D$2:$D$100&lt;&gt;-1), Analysis!$D$2:$D$100, "")), 1),
      ""
    )
  ),
  ""
)</f>
        <v>21 +/- 0,1</v>
      </c>
      <c r="G17" s="18"/>
      <c r="J17" s="17"/>
    </row>
    <row r="18" spans="1:12">
      <c r="A18" s="21" cm="1">
        <f t="array" ref="A18">IF(INDEX(Analysis!A:A,MATCH(0,COUNTIF($A$14:A17,Analysis!A:A),0))="","",INDEX(Analysis!A:A,MATCH(0,COUNTIF($A$14:A17,Analysis!A:A),0)))</f>
        <v>168</v>
      </c>
      <c r="B18" s="11">
        <v>2500044</v>
      </c>
      <c r="C18" s="21" t="str">
        <f>IF(COUNTIFS(Analysis!$A$2:$A$82,A18,Analysis!$H$2:$H$82,"F")&gt;COUNTIFS(Analysis!$A$2:$A$82,A18,Analysis!$H$2:$H$82,"N")+COUNTIFS(Analysis!$A$2:$A$82,A18,Analysis!$H$2:$H$82,"P")+COUNTIFS(Analysis!$A$2:$A$82,A18,Analysis!$H$2:$H$82,"S"),"F",
IF(COUNTIFS(Analysis!$A$2:$A$82,A18,Analysis!$H$2:$H$82,"N")&gt;COUNTIFS(Analysis!$A$2:$A$82,A18,Analysis!$H$2:$H$82,"F")+COUNTIFS(Analysis!$A$2:$A$82,A18,Analysis!$H$2:$H$82,"P")+COUNTIFS(Analysis!$A$2:$A$82,A18,Analysis!$H$2:$H$82,"S"),"N",
IF(COUNTIFS(Analysis!$A$2:$A$82,A18,Analysis!$H$2:$H$82,"P")&gt;COUNTIFS(Analysis!$A$2:$A$82,A18,Analysis!$H$2:$H$82,"F")+COUNTIFS(Analysis!$A$2:$A$82,A18,Analysis!$H$2:$H$82,"N")+COUNTIFS(Analysis!$A$2:$A$82,A18,Analysis!$H$2:$H$82,"S"),"P",
IF(COUNTIFS(Analysis!$A$2:$A$82,A18,Analysis!$H$2:$H$82,"S")&gt;COUNTIFS(Analysis!$A$2:$A$82,A18,Analysis!$H$2:$H$82,"F")+COUNTIFS(Analysis!$A$2:$A$82,A18,Analysis!$H$2:$H$82,"N")+COUNTIFS(Analysis!$A$2:$A$82,A18,Analysis!$H$2:$H$82,"P"),"S","R"))))</f>
        <v>N</v>
      </c>
      <c r="D18" s="21" t="str" cm="1">
        <f t="array" ref="D18">IFERROR(
  IF(
    ROUND(AVERAGEIFS(Analysis!$B$2:$B$100, Analysis!$A$2:$A$100, Replicates!$A4, Analysis!$B$2:$B$100, "&lt;&gt;-1"), 1)="",
    "",
    ROUND(AVERAGEIFS(Analysis!$B$2:$B$100, Analysis!$A$2:$A$100, Replicates!$A4, Analysis!$B$2:$B$100, "&lt;&gt;-1"), 1) &amp;
    IF(
      ISNUMBER(
        ROUND(_xlfn.STDEV.S(IF((Analysis!$A$2:$A$100=Replicates!$A4) * (Analysis!$B$2:$B$100&lt;&gt;-1), Analysis!$B$2:$B$100, "")), 1)
      ),
      " +/- " &amp; ROUND(_xlfn.STDEV.S(IF((Analysis!$A$2:$A$100=Replicates!$A4) * (Analysis!$B$2:$B$100&lt;&gt;-1), Analysis!$B$2:$B$100, "")), 1),
      ""
    )
  ),
  ""
)</f>
        <v/>
      </c>
      <c r="E18" s="21" t="str" cm="1">
        <f t="array" ref="E18">IFERROR(
  IF(
    ROUND(AVERAGEIFS(Analysis!$C$2:$C$100, Analysis!$A$2:$A$100, Replicates!$A4, Analysis!$C$2:$C$100, "&lt;&gt;-1"), 1)="",
    "",
    ROUND(AVERAGEIFS(Analysis!$C$2:$C$100, Analysis!$A$2:$A$100, Replicates!$A4, Analysis!$C$2:$C$100, "&lt;&gt;-1"), 1) &amp;
    IF(
      ISNUMBER(
        ROUND(_xlfn.STDEV.S(IF((Analysis!$A$2:$A$100=Replicates!$A4) * (Analysis!$C$2:$C$100&lt;&gt;-1), Analysis!$C$2:$C$100, "")), 1)
      ),
      " +/- " &amp; ROUND(_xlfn.STDEV.S(IF((Analysis!$A$2:$A$100=Replicates!$A4) * (Analysis!$C$2:$C$100&lt;&gt;-1), Analysis!$C$2:$C$100, "")), 1),
      ""
    )
  ),
  ""
)</f>
        <v/>
      </c>
      <c r="F18" s="21" t="str" cm="1">
        <f t="array" ref="F18">IFERROR(
  IF(
    ROUND(AVERAGEIFS(Analysis!$D$2:$D$100, Analysis!$A$2:$A$100, Replicates!$A4, Analysis!$D$2:$D$100, "&lt;&gt;-1"), 1)="",
    "",
    ROUND(AVERAGEIFS(Analysis!$D$2:$D$100, Analysis!$A$2:$A$100, Replicates!$A4, Analysis!$D$2:$D$100, "&lt;&gt;-1"), 1) &amp;
    IF(
      ISNUMBER(
        ROUND(_xlfn.STDEV.S(IF((Analysis!$A$2:$A$100=Replicates!$A4) * (Analysis!$D$2:$D$100&lt;&gt;-1), Analysis!$D$2:$D$100, "")), 1)
      ),
      " +/- " &amp; ROUND(_xlfn.STDEV.S(IF((Analysis!$A$2:$A$100=Replicates!$A4) * (Analysis!$D$2:$D$100&lt;&gt;-1), Analysis!$D$2:$D$100, "")), 1),
      ""
    )
  ),
  ""
)</f>
        <v>22,1 +/- 0</v>
      </c>
      <c r="G18" s="18"/>
    </row>
    <row r="19" spans="1:12">
      <c r="A19" s="21" cm="1">
        <f t="array" ref="A19">IF(INDEX(Analysis!A:A,MATCH(0,COUNTIF($A$14:A18,Analysis!A:A),0))="","",INDEX(Analysis!A:A,MATCH(0,COUNTIF($A$14:A18,Analysis!A:A),0)))</f>
        <v>169</v>
      </c>
      <c r="B19" s="11">
        <v>2500062</v>
      </c>
      <c r="C19" s="21" t="str">
        <f>IF(COUNTIFS(Analysis!$A$2:$A$82,A19,Analysis!$H$2:$H$82,"F")&gt;COUNTIFS(Analysis!$A$2:$A$82,A19,Analysis!$H$2:$H$82,"N")+COUNTIFS(Analysis!$A$2:$A$82,A19,Analysis!$H$2:$H$82,"P")+COUNTIFS(Analysis!$A$2:$A$82,A19,Analysis!$H$2:$H$82,"S"),"F",
IF(COUNTIFS(Analysis!$A$2:$A$82,A19,Analysis!$H$2:$H$82,"N")&gt;COUNTIFS(Analysis!$A$2:$A$82,A19,Analysis!$H$2:$H$82,"F")+COUNTIFS(Analysis!$A$2:$A$82,A19,Analysis!$H$2:$H$82,"P")+COUNTIFS(Analysis!$A$2:$A$82,A19,Analysis!$H$2:$H$82,"S"),"N",
IF(COUNTIFS(Analysis!$A$2:$A$82,A19,Analysis!$H$2:$H$82,"P")&gt;COUNTIFS(Analysis!$A$2:$A$82,A19,Analysis!$H$2:$H$82,"F")+COUNTIFS(Analysis!$A$2:$A$82,A19,Analysis!$H$2:$H$82,"N")+COUNTIFS(Analysis!$A$2:$A$82,A19,Analysis!$H$2:$H$82,"S"),"P",
IF(COUNTIFS(Analysis!$A$2:$A$82,A19,Analysis!$H$2:$H$82,"S")&gt;COUNTIFS(Analysis!$A$2:$A$82,A19,Analysis!$H$2:$H$82,"F")+COUNTIFS(Analysis!$A$2:$A$82,A19,Analysis!$H$2:$H$82,"N")+COUNTIFS(Analysis!$A$2:$A$82,A19,Analysis!$H$2:$H$82,"P"),"S","R"))))</f>
        <v>N</v>
      </c>
      <c r="D19" s="21" t="str" cm="1">
        <f t="array" ref="D19">IFERROR(
  IF(
    ROUND(AVERAGEIFS(Analysis!$B$2:$B$100, Analysis!$A$2:$A$100, Replicates!$A5, Analysis!$B$2:$B$100, "&lt;&gt;-1"), 1)="",
    "",
    ROUND(AVERAGEIFS(Analysis!$B$2:$B$100, Analysis!$A$2:$A$100, Replicates!$A5, Analysis!$B$2:$B$100, "&lt;&gt;-1"), 1) &amp;
    IF(
      ISNUMBER(
        ROUND(_xlfn.STDEV.S(IF((Analysis!$A$2:$A$100=Replicates!$A5) * (Analysis!$B$2:$B$100&lt;&gt;-1), Analysis!$B$2:$B$100, "")), 1)
      ),
      " +/- " &amp; ROUND(_xlfn.STDEV.S(IF((Analysis!$A$2:$A$100=Replicates!$A5) * (Analysis!$B$2:$B$100&lt;&gt;-1), Analysis!$B$2:$B$100, "")), 1),
      ""
    )
  ),
  ""
)</f>
        <v/>
      </c>
      <c r="E19" s="21" t="str" cm="1">
        <f t="array" ref="E19">IFERROR(
  IF(
    ROUND(AVERAGEIFS(Analysis!$C$2:$C$100, Analysis!$A$2:$A$100, Replicates!$A5, Analysis!$C$2:$C$100, "&lt;&gt;-1"), 1)="",
    "",
    ROUND(AVERAGEIFS(Analysis!$C$2:$C$100, Analysis!$A$2:$A$100, Replicates!$A5, Analysis!$C$2:$C$100, "&lt;&gt;-1"), 1) &amp;
    IF(
      ISNUMBER(
        ROUND(_xlfn.STDEV.S(IF((Analysis!$A$2:$A$100=Replicates!$A5) * (Analysis!$C$2:$C$100&lt;&gt;-1), Analysis!$C$2:$C$100, "")), 1)
      ),
      " +/- " &amp; ROUND(_xlfn.STDEV.S(IF((Analysis!$A$2:$A$100=Replicates!$A5) * (Analysis!$C$2:$C$100&lt;&gt;-1), Analysis!$C$2:$C$100, "")), 1),
      ""
    )
  ),
  ""
)</f>
        <v/>
      </c>
      <c r="F19" s="21" t="str" cm="1">
        <f t="array" ref="F19">IFERROR(
  IF(
    ROUND(AVERAGEIFS(Analysis!$D$2:$D$100, Analysis!$A$2:$A$100, Replicates!$A5, Analysis!$D$2:$D$100, "&lt;&gt;-1"), 1)="",
    "",
    ROUND(AVERAGEIFS(Analysis!$D$2:$D$100, Analysis!$A$2:$A$100, Replicates!$A5, Analysis!$D$2:$D$100, "&lt;&gt;-1"), 1) &amp;
    IF(
      ISNUMBER(
        ROUND(_xlfn.STDEV.S(IF((Analysis!$A$2:$A$100=Replicates!$A5) * (Analysis!$D$2:$D$100&lt;&gt;-1), Analysis!$D$2:$D$100, "")), 1)
      ),
      " +/- " &amp; ROUND(_xlfn.STDEV.S(IF((Analysis!$A$2:$A$100=Replicates!$A5) * (Analysis!$D$2:$D$100&lt;&gt;-1), Analysis!$D$2:$D$100, "")), 1),
      ""
    )
  ),
  ""
)</f>
        <v>23 +/- 0,1</v>
      </c>
      <c r="G19" s="18"/>
    </row>
    <row r="20" spans="1:12">
      <c r="A20" s="21" cm="1">
        <f t="array" ref="A20">IF(INDEX(Analysis!A:A,MATCH(0,COUNTIF($A$14:A19,Analysis!A:A),0))="","",INDEX(Analysis!A:A,MATCH(0,COUNTIF($A$14:A19,Analysis!A:A),0)))</f>
        <v>170</v>
      </c>
      <c r="B20" s="11">
        <v>2500042</v>
      </c>
      <c r="C20" s="21" t="str">
        <f>IF(COUNTIFS(Analysis!$A$2:$A$82,A20,Analysis!$H$2:$H$82,"F")&gt;COUNTIFS(Analysis!$A$2:$A$82,A20,Analysis!$H$2:$H$82,"N")+COUNTIFS(Analysis!$A$2:$A$82,A20,Analysis!$H$2:$H$82,"P")+COUNTIFS(Analysis!$A$2:$A$82,A20,Analysis!$H$2:$H$82,"S"),"F",
IF(COUNTIFS(Analysis!$A$2:$A$82,A20,Analysis!$H$2:$H$82,"N")&gt;COUNTIFS(Analysis!$A$2:$A$82,A20,Analysis!$H$2:$H$82,"F")+COUNTIFS(Analysis!$A$2:$A$82,A20,Analysis!$H$2:$H$82,"P")+COUNTIFS(Analysis!$A$2:$A$82,A20,Analysis!$H$2:$H$82,"S"),"N",
IF(COUNTIFS(Analysis!$A$2:$A$82,A20,Analysis!$H$2:$H$82,"P")&gt;COUNTIFS(Analysis!$A$2:$A$82,A20,Analysis!$H$2:$H$82,"F")+COUNTIFS(Analysis!$A$2:$A$82,A20,Analysis!$H$2:$H$82,"N")+COUNTIFS(Analysis!$A$2:$A$82,A20,Analysis!$H$2:$H$82,"S"),"P",
IF(COUNTIFS(Analysis!$A$2:$A$82,A20,Analysis!$H$2:$H$82,"S")&gt;COUNTIFS(Analysis!$A$2:$A$82,A20,Analysis!$H$2:$H$82,"F")+COUNTIFS(Analysis!$A$2:$A$82,A20,Analysis!$H$2:$H$82,"N")+COUNTIFS(Analysis!$A$2:$A$82,A20,Analysis!$H$2:$H$82,"P"),"S","R"))))</f>
        <v>N</v>
      </c>
      <c r="D20" s="21" t="str" cm="1">
        <f t="array" ref="D20">IFERROR(
  IF(
    ROUND(AVERAGEIFS(Analysis!$B$2:$B$100, Analysis!$A$2:$A$100, Replicates!$A6, Analysis!$B$2:$B$100, "&lt;&gt;-1"), 1)="",
    "",
    ROUND(AVERAGEIFS(Analysis!$B$2:$B$100, Analysis!$A$2:$A$100, Replicates!$A6, Analysis!$B$2:$B$100, "&lt;&gt;-1"), 1) &amp;
    IF(
      ISNUMBER(
        ROUND(_xlfn.STDEV.S(IF((Analysis!$A$2:$A$100=Replicates!$A6) * (Analysis!$B$2:$B$100&lt;&gt;-1), Analysis!$B$2:$B$100, "")), 1)
      ),
      " +/- " &amp; ROUND(_xlfn.STDEV.S(IF((Analysis!$A$2:$A$100=Replicates!$A6) * (Analysis!$B$2:$B$100&lt;&gt;-1), Analysis!$B$2:$B$100, "")), 1),
      ""
    )
  ),
  ""
)</f>
        <v/>
      </c>
      <c r="E20" s="21" t="str" cm="1">
        <f t="array" ref="E20">IFERROR(
  IF(
    ROUND(AVERAGEIFS(Analysis!$C$2:$C$100, Analysis!$A$2:$A$100, Replicates!$A6, Analysis!$C$2:$C$100, "&lt;&gt;-1"), 1)="",
    "",
    ROUND(AVERAGEIFS(Analysis!$C$2:$C$100, Analysis!$A$2:$A$100, Replicates!$A6, Analysis!$C$2:$C$100, "&lt;&gt;-1"), 1) &amp;
    IF(
      ISNUMBER(
        ROUND(_xlfn.STDEV.S(IF((Analysis!$A$2:$A$100=Replicates!$A6) * (Analysis!$C$2:$C$100&lt;&gt;-1), Analysis!$C$2:$C$100, "")), 1)
      ),
      " +/- " &amp; ROUND(_xlfn.STDEV.S(IF((Analysis!$A$2:$A$100=Replicates!$A6) * (Analysis!$C$2:$C$100&lt;&gt;-1), Analysis!$C$2:$C$100, "")), 1),
      ""
    )
  ),
  ""
)</f>
        <v/>
      </c>
      <c r="F20" s="21" t="str" cm="1">
        <f t="array" ref="F20">IFERROR(
  IF(
    ROUND(AVERAGEIFS(Analysis!$D$2:$D$100, Analysis!$A$2:$A$100, Replicates!$A6, Analysis!$D$2:$D$100, "&lt;&gt;-1"), 1)="",
    "",
    ROUND(AVERAGEIFS(Analysis!$D$2:$D$100, Analysis!$A$2:$A$100, Replicates!$A6, Analysis!$D$2:$D$100, "&lt;&gt;-1"), 1) &amp;
    IF(
      ISNUMBER(
        ROUND(_xlfn.STDEV.S(IF((Analysis!$A$2:$A$100=Replicates!$A6) * (Analysis!$D$2:$D$100&lt;&gt;-1), Analysis!$D$2:$D$100, "")), 1)
      ),
      " +/- " &amp; ROUND(_xlfn.STDEV.S(IF((Analysis!$A$2:$A$100=Replicates!$A6) * (Analysis!$D$2:$D$100&lt;&gt;-1), Analysis!$D$2:$D$100, "")), 1),
      ""
    )
  ),
  ""
)</f>
        <v>22 +/- 0</v>
      </c>
      <c r="G20" s="18"/>
    </row>
    <row r="21" spans="1:12">
      <c r="A21" s="21" cm="1">
        <f t="array" ref="A21">IF(INDEX(Analysis!A:A,MATCH(0,COUNTIF($A$14:A20,Analysis!A:A),0))="","",INDEX(Analysis!A:A,MATCH(0,COUNTIF($A$14:A20,Analysis!A:A),0)))</f>
        <v>171</v>
      </c>
      <c r="B21" s="11">
        <v>2500032</v>
      </c>
      <c r="C21" s="21" t="str">
        <f>IF(COUNTIFS(Analysis!$A$2:$A$82,A21,Analysis!$H$2:$H$82,"F")&gt;COUNTIFS(Analysis!$A$2:$A$82,A21,Analysis!$H$2:$H$82,"N")+COUNTIFS(Analysis!$A$2:$A$82,A21,Analysis!$H$2:$H$82,"P")+COUNTIFS(Analysis!$A$2:$A$82,A21,Analysis!$H$2:$H$82,"S"),"F",
IF(COUNTIFS(Analysis!$A$2:$A$82,A21,Analysis!$H$2:$H$82,"N")&gt;COUNTIFS(Analysis!$A$2:$A$82,A21,Analysis!$H$2:$H$82,"F")+COUNTIFS(Analysis!$A$2:$A$82,A21,Analysis!$H$2:$H$82,"P")+COUNTIFS(Analysis!$A$2:$A$82,A21,Analysis!$H$2:$H$82,"S"),"N",
IF(COUNTIFS(Analysis!$A$2:$A$82,A21,Analysis!$H$2:$H$82,"P")&gt;COUNTIFS(Analysis!$A$2:$A$82,A21,Analysis!$H$2:$H$82,"F")+COUNTIFS(Analysis!$A$2:$A$82,A21,Analysis!$H$2:$H$82,"N")+COUNTIFS(Analysis!$A$2:$A$82,A21,Analysis!$H$2:$H$82,"S"),"P",
IF(COUNTIFS(Analysis!$A$2:$A$82,A21,Analysis!$H$2:$H$82,"S")&gt;COUNTIFS(Analysis!$A$2:$A$82,A21,Analysis!$H$2:$H$82,"F")+COUNTIFS(Analysis!$A$2:$A$82,A21,Analysis!$H$2:$H$82,"N")+COUNTIFS(Analysis!$A$2:$A$82,A21,Analysis!$H$2:$H$82,"P"),"S","R"))))</f>
        <v>N</v>
      </c>
      <c r="D21" s="21" t="str" cm="1">
        <f t="array" ref="D21">IFERROR(
  IF(
    ROUND(AVERAGEIFS(Analysis!$B$2:$B$100, Analysis!$A$2:$A$100, Replicates!$A7, Analysis!$B$2:$B$100, "&lt;&gt;-1"), 1)="",
    "",
    ROUND(AVERAGEIFS(Analysis!$B$2:$B$100, Analysis!$A$2:$A$100, Replicates!$A7, Analysis!$B$2:$B$100, "&lt;&gt;-1"), 1) &amp;
    IF(
      ISNUMBER(
        ROUND(_xlfn.STDEV.S(IF((Analysis!$A$2:$A$100=Replicates!$A7) * (Analysis!$B$2:$B$100&lt;&gt;-1), Analysis!$B$2:$B$100, "")), 1)
      ),
      " +/- " &amp; ROUND(_xlfn.STDEV.S(IF((Analysis!$A$2:$A$100=Replicates!$A7) * (Analysis!$B$2:$B$100&lt;&gt;-1), Analysis!$B$2:$B$100, "")), 1),
      ""
    )
  ),
  ""
)</f>
        <v/>
      </c>
      <c r="E21" s="21" t="str" cm="1">
        <f t="array" ref="E21">IFERROR(
  IF(
    ROUND(AVERAGEIFS(Analysis!$C$2:$C$100, Analysis!$A$2:$A$100, Replicates!$A7, Analysis!$C$2:$C$100, "&lt;&gt;-1"), 1)="",
    "",
    ROUND(AVERAGEIFS(Analysis!$C$2:$C$100, Analysis!$A$2:$A$100, Replicates!$A7, Analysis!$C$2:$C$100, "&lt;&gt;-1"), 1) &amp;
    IF(
      ISNUMBER(
        ROUND(_xlfn.STDEV.S(IF((Analysis!$A$2:$A$100=Replicates!$A7) * (Analysis!$C$2:$C$100&lt;&gt;-1), Analysis!$C$2:$C$100, "")), 1)
      ),
      " +/- " &amp; ROUND(_xlfn.STDEV.S(IF((Analysis!$A$2:$A$100=Replicates!$A7) * (Analysis!$C$2:$C$100&lt;&gt;-1), Analysis!$C$2:$C$100, "")), 1),
      ""
    )
  ),
  ""
)</f>
        <v/>
      </c>
      <c r="F21" s="21" t="str" cm="1">
        <f t="array" ref="F21">IFERROR(
  IF(
    ROUND(AVERAGEIFS(Analysis!$D$2:$D$100, Analysis!$A$2:$A$100, Replicates!$A7, Analysis!$D$2:$D$100, "&lt;&gt;-1"), 1)="",
    "",
    ROUND(AVERAGEIFS(Analysis!$D$2:$D$100, Analysis!$A$2:$A$100, Replicates!$A7, Analysis!$D$2:$D$100, "&lt;&gt;-1"), 1) &amp;
    IF(
      ISNUMBER(
        ROUND(_xlfn.STDEV.S(IF((Analysis!$A$2:$A$100=Replicates!$A7) * (Analysis!$D$2:$D$100&lt;&gt;-1), Analysis!$D$2:$D$100, "")), 1)
      ),
      " +/- " &amp; ROUND(_xlfn.STDEV.S(IF((Analysis!$A$2:$A$100=Replicates!$A7) * (Analysis!$D$2:$D$100&lt;&gt;-1), Analysis!$D$2:$D$100, "")), 1),
      ""
    )
  ),
  ""
)</f>
        <v>21,2 +/- 0</v>
      </c>
      <c r="G21" s="18"/>
      <c r="L21" s="19"/>
    </row>
    <row r="22" spans="1:12">
      <c r="A22" s="21" cm="1">
        <f t="array" ref="A22">IF(INDEX(Analysis!A:A,MATCH(0,COUNTIF($A$14:A21,Analysis!A:A),0))="","",INDEX(Analysis!A:A,MATCH(0,COUNTIF($A$14:A21,Analysis!A:A),0)))</f>
        <v>172</v>
      </c>
      <c r="B22" s="11">
        <v>2500006</v>
      </c>
      <c r="C22" s="21" t="str">
        <f>IF(COUNTIFS(Analysis!$A$2:$A$82,A22,Analysis!$H$2:$H$82,"F")&gt;COUNTIFS(Analysis!$A$2:$A$82,A22,Analysis!$H$2:$H$82,"N")+COUNTIFS(Analysis!$A$2:$A$82,A22,Analysis!$H$2:$H$82,"P")+COUNTIFS(Analysis!$A$2:$A$82,A22,Analysis!$H$2:$H$82,"S"),"F",
IF(COUNTIFS(Analysis!$A$2:$A$82,A22,Analysis!$H$2:$H$82,"N")&gt;COUNTIFS(Analysis!$A$2:$A$82,A22,Analysis!$H$2:$H$82,"F")+COUNTIFS(Analysis!$A$2:$A$82,A22,Analysis!$H$2:$H$82,"P")+COUNTIFS(Analysis!$A$2:$A$82,A22,Analysis!$H$2:$H$82,"S"),"N",
IF(COUNTIFS(Analysis!$A$2:$A$82,A22,Analysis!$H$2:$H$82,"P")&gt;COUNTIFS(Analysis!$A$2:$A$82,A22,Analysis!$H$2:$H$82,"F")+COUNTIFS(Analysis!$A$2:$A$82,A22,Analysis!$H$2:$H$82,"N")+COUNTIFS(Analysis!$A$2:$A$82,A22,Analysis!$H$2:$H$82,"S"),"P",
IF(COUNTIFS(Analysis!$A$2:$A$82,A22,Analysis!$H$2:$H$82,"S")&gt;COUNTIFS(Analysis!$A$2:$A$82,A22,Analysis!$H$2:$H$82,"F")+COUNTIFS(Analysis!$A$2:$A$82,A22,Analysis!$H$2:$H$82,"N")+COUNTIFS(Analysis!$A$2:$A$82,A22,Analysis!$H$2:$H$82,"P"),"S","R"))))</f>
        <v>N</v>
      </c>
      <c r="D22" s="21" t="str" cm="1">
        <f t="array" ref="D22">IFERROR(
  IF(
    ROUND(AVERAGEIFS(Analysis!$B$2:$B$100, Analysis!$A$2:$A$100, Replicates!$A8, Analysis!$B$2:$B$100, "&lt;&gt;-1"), 1)="",
    "",
    ROUND(AVERAGEIFS(Analysis!$B$2:$B$100, Analysis!$A$2:$A$100, Replicates!$A8, Analysis!$B$2:$B$100, "&lt;&gt;-1"), 1) &amp;
    IF(
      ISNUMBER(
        ROUND(_xlfn.STDEV.S(IF((Analysis!$A$2:$A$100=Replicates!$A8) * (Analysis!$B$2:$B$100&lt;&gt;-1), Analysis!$B$2:$B$100, "")), 1)
      ),
      " +/- " &amp; ROUND(_xlfn.STDEV.S(IF((Analysis!$A$2:$A$100=Replicates!$A8) * (Analysis!$B$2:$B$100&lt;&gt;-1), Analysis!$B$2:$B$100, "")), 1),
      ""
    )
  ),
  ""
)</f>
        <v/>
      </c>
      <c r="E22" s="21" t="str" cm="1">
        <f t="array" ref="E22">IFERROR(
  IF(
    ROUND(AVERAGEIFS(Analysis!$C$2:$C$100, Analysis!$A$2:$A$100, Replicates!$A8, Analysis!$C$2:$C$100, "&lt;&gt;-1"), 1)="",
    "",
    ROUND(AVERAGEIFS(Analysis!$C$2:$C$100, Analysis!$A$2:$A$100, Replicates!$A8, Analysis!$C$2:$C$100, "&lt;&gt;-1"), 1) &amp;
    IF(
      ISNUMBER(
        ROUND(_xlfn.STDEV.S(IF((Analysis!$A$2:$A$100=Replicates!$A8) * (Analysis!$C$2:$C$100&lt;&gt;-1), Analysis!$C$2:$C$100, "")), 1)
      ),
      " +/- " &amp; ROUND(_xlfn.STDEV.S(IF((Analysis!$A$2:$A$100=Replicates!$A8) * (Analysis!$C$2:$C$100&lt;&gt;-1), Analysis!$C$2:$C$100, "")), 1),
      ""
    )
  ),
  ""
)</f>
        <v/>
      </c>
      <c r="F22" s="21" t="str" cm="1">
        <f t="array" ref="F22">IFERROR(
  IF(
    ROUND(AVERAGEIFS(Analysis!$D$2:$D$100, Analysis!$A$2:$A$100, Replicates!$A8, Analysis!$D$2:$D$100, "&lt;&gt;-1"), 1)="",
    "",
    ROUND(AVERAGEIFS(Analysis!$D$2:$D$100, Analysis!$A$2:$A$100, Replicates!$A8, Analysis!$D$2:$D$100, "&lt;&gt;-1"), 1) &amp;
    IF(
      ISNUMBER(
        ROUND(_xlfn.STDEV.S(IF((Analysis!$A$2:$A$100=Replicates!$A8) * (Analysis!$D$2:$D$100&lt;&gt;-1), Analysis!$D$2:$D$100, "")), 1)
      ),
      " +/- " &amp; ROUND(_xlfn.STDEV.S(IF((Analysis!$A$2:$A$100=Replicates!$A8) * (Analysis!$D$2:$D$100&lt;&gt;-1), Analysis!$D$2:$D$100, "")), 1),
      ""
    )
  ),
  ""
)</f>
        <v>20,6 +/- 0,1</v>
      </c>
      <c r="G22" s="18"/>
    </row>
    <row r="23" spans="1:12">
      <c r="A23" s="21" cm="1">
        <f t="array" ref="A23">IF(INDEX(Analysis!A:A,MATCH(0,COUNTIF($A$14:A22,Analysis!A:A),0))="","",INDEX(Analysis!A:A,MATCH(0,COUNTIF($A$14:A22,Analysis!A:A),0)))</f>
        <v>173</v>
      </c>
      <c r="B23" s="11">
        <v>2500021</v>
      </c>
      <c r="C23" s="21" t="str">
        <f>IF(COUNTIFS(Analysis!$A$2:$A$82,A23,Analysis!$H$2:$H$82,"F")&gt;COUNTIFS(Analysis!$A$2:$A$82,A23,Analysis!$H$2:$H$82,"N")+COUNTIFS(Analysis!$A$2:$A$82,A23,Analysis!$H$2:$H$82,"P")+COUNTIFS(Analysis!$A$2:$A$82,A23,Analysis!$H$2:$H$82,"S"),"F",
IF(COUNTIFS(Analysis!$A$2:$A$82,A23,Analysis!$H$2:$H$82,"N")&gt;COUNTIFS(Analysis!$A$2:$A$82,A23,Analysis!$H$2:$H$82,"F")+COUNTIFS(Analysis!$A$2:$A$82,A23,Analysis!$H$2:$H$82,"P")+COUNTIFS(Analysis!$A$2:$A$82,A23,Analysis!$H$2:$H$82,"S"),"N",
IF(COUNTIFS(Analysis!$A$2:$A$82,A23,Analysis!$H$2:$H$82,"P")&gt;COUNTIFS(Analysis!$A$2:$A$82,A23,Analysis!$H$2:$H$82,"F")+COUNTIFS(Analysis!$A$2:$A$82,A23,Analysis!$H$2:$H$82,"N")+COUNTIFS(Analysis!$A$2:$A$82,A23,Analysis!$H$2:$H$82,"S"),"P",
IF(COUNTIFS(Analysis!$A$2:$A$82,A23,Analysis!$H$2:$H$82,"S")&gt;COUNTIFS(Analysis!$A$2:$A$82,A23,Analysis!$H$2:$H$82,"F")+COUNTIFS(Analysis!$A$2:$A$82,A23,Analysis!$H$2:$H$82,"N")+COUNTIFS(Analysis!$A$2:$A$82,A23,Analysis!$H$2:$H$82,"P"),"S","R"))))</f>
        <v>N</v>
      </c>
      <c r="D23" s="21" t="str" cm="1">
        <f t="array" ref="D23">IFERROR(
  IF(
    ROUND(AVERAGEIFS(Analysis!$B$2:$B$100, Analysis!$A$2:$A$100, Replicates!$A9, Analysis!$B$2:$B$100, "&lt;&gt;-1"), 1)="",
    "",
    ROUND(AVERAGEIFS(Analysis!$B$2:$B$100, Analysis!$A$2:$A$100, Replicates!$A9, Analysis!$B$2:$B$100, "&lt;&gt;-1"), 1) &amp;
    IF(
      ISNUMBER(
        ROUND(_xlfn.STDEV.S(IF((Analysis!$A$2:$A$100=Replicates!$A9) * (Analysis!$B$2:$B$100&lt;&gt;-1), Analysis!$B$2:$B$100, "")), 1)
      ),
      " +/- " &amp; ROUND(_xlfn.STDEV.S(IF((Analysis!$A$2:$A$100=Replicates!$A9) * (Analysis!$B$2:$B$100&lt;&gt;-1), Analysis!$B$2:$B$100, "")), 1),
      ""
    )
  ),
  ""
)</f>
        <v/>
      </c>
      <c r="E23" s="21" t="str" cm="1">
        <f t="array" ref="E23">IFERROR(
  IF(
    ROUND(AVERAGEIFS(Analysis!$C$2:$C$100, Analysis!$A$2:$A$100, Replicates!$A9, Analysis!$C$2:$C$100, "&lt;&gt;-1"), 1)="",
    "",
    ROUND(AVERAGEIFS(Analysis!$C$2:$C$100, Analysis!$A$2:$A$100, Replicates!$A9, Analysis!$C$2:$C$100, "&lt;&gt;-1"), 1) &amp;
    IF(
      ISNUMBER(
        ROUND(_xlfn.STDEV.S(IF((Analysis!$A$2:$A$100=Replicates!$A9) * (Analysis!$C$2:$C$100&lt;&gt;-1), Analysis!$C$2:$C$100, "")), 1)
      ),
      " +/- " &amp; ROUND(_xlfn.STDEV.S(IF((Analysis!$A$2:$A$100=Replicates!$A9) * (Analysis!$C$2:$C$100&lt;&gt;-1), Analysis!$C$2:$C$100, "")), 1),
      ""
    )
  ),
  ""
)</f>
        <v/>
      </c>
      <c r="F23" s="21" t="str" cm="1">
        <f t="array" ref="F23">IFERROR(
  IF(
    ROUND(AVERAGEIFS(Analysis!$D$2:$D$100, Analysis!$A$2:$A$100, Replicates!$A9, Analysis!$D$2:$D$100, "&lt;&gt;-1"), 1)="",
    "",
    ROUND(AVERAGEIFS(Analysis!$D$2:$D$100, Analysis!$A$2:$A$100, Replicates!$A9, Analysis!$D$2:$D$100, "&lt;&gt;-1"), 1) &amp;
    IF(
      ISNUMBER(
        ROUND(_xlfn.STDEV.S(IF((Analysis!$A$2:$A$100=Replicates!$A9) * (Analysis!$D$2:$D$100&lt;&gt;-1), Analysis!$D$2:$D$100, "")), 1)
      ),
      " +/- " &amp; ROUND(_xlfn.STDEV.S(IF((Analysis!$A$2:$A$100=Replicates!$A9) * (Analysis!$D$2:$D$100&lt;&gt;-1), Analysis!$D$2:$D$100, "")), 1),
      ""
    )
  ),
  ""
)</f>
        <v>23,1 +/- 0</v>
      </c>
      <c r="G23" s="18"/>
    </row>
    <row r="24" spans="1:12">
      <c r="A24" s="21" cm="1">
        <f t="array" ref="A24">IF(INDEX(Analysis!A:A,MATCH(0,COUNTIF($A$14:A23,Analysis!A:A),0))="","",INDEX(Analysis!A:A,MATCH(0,COUNTIF($A$14:A23,Analysis!A:A),0)))</f>
        <v>174</v>
      </c>
      <c r="B24" s="11">
        <v>2500018</v>
      </c>
      <c r="C24" s="21" t="str">
        <f>IF(COUNTIFS(Analysis!$A$2:$A$82,A24,Analysis!$H$2:$H$82,"F")&gt;COUNTIFS(Analysis!$A$2:$A$82,A24,Analysis!$H$2:$H$82,"N")+COUNTIFS(Analysis!$A$2:$A$82,A24,Analysis!$H$2:$H$82,"P")+COUNTIFS(Analysis!$A$2:$A$82,A24,Analysis!$H$2:$H$82,"S"),"F",
IF(COUNTIFS(Analysis!$A$2:$A$82,A24,Analysis!$H$2:$H$82,"N")&gt;COUNTIFS(Analysis!$A$2:$A$82,A24,Analysis!$H$2:$H$82,"F")+COUNTIFS(Analysis!$A$2:$A$82,A24,Analysis!$H$2:$H$82,"P")+COUNTIFS(Analysis!$A$2:$A$82,A24,Analysis!$H$2:$H$82,"S"),"N",
IF(COUNTIFS(Analysis!$A$2:$A$82,A24,Analysis!$H$2:$H$82,"P")&gt;COUNTIFS(Analysis!$A$2:$A$82,A24,Analysis!$H$2:$H$82,"F")+COUNTIFS(Analysis!$A$2:$A$82,A24,Analysis!$H$2:$H$82,"N")+COUNTIFS(Analysis!$A$2:$A$82,A24,Analysis!$H$2:$H$82,"S"),"P",
IF(COUNTIFS(Analysis!$A$2:$A$82,A24,Analysis!$H$2:$H$82,"S")&gt;COUNTIFS(Analysis!$A$2:$A$82,A24,Analysis!$H$2:$H$82,"F")+COUNTIFS(Analysis!$A$2:$A$82,A24,Analysis!$H$2:$H$82,"N")+COUNTIFS(Analysis!$A$2:$A$82,A24,Analysis!$H$2:$H$82,"P"),"S","R"))))</f>
        <v>N</v>
      </c>
      <c r="D24" s="21" t="str" cm="1">
        <f t="array" ref="D24">IFERROR(
  IF(
    ROUND(AVERAGEIFS(Analysis!$B$2:$B$100, Analysis!$A$2:$A$100, Replicates!$A10, Analysis!$B$2:$B$100, "&lt;&gt;-1"), 1)="",
    "",
    ROUND(AVERAGEIFS(Analysis!$B$2:$B$100, Analysis!$A$2:$A$100, Replicates!$A10, Analysis!$B$2:$B$100, "&lt;&gt;-1"), 1) &amp;
    IF(
      ISNUMBER(
        ROUND(_xlfn.STDEV.S(IF((Analysis!$A$2:$A$100=Replicates!$A10) * (Analysis!$B$2:$B$100&lt;&gt;-1), Analysis!$B$2:$B$100, "")), 1)
      ),
      " +/- " &amp; ROUND(_xlfn.STDEV.S(IF((Analysis!$A$2:$A$100=Replicates!$A10) * (Analysis!$B$2:$B$100&lt;&gt;-1), Analysis!$B$2:$B$100, "")), 1),
      ""
    )
  ),
  ""
)</f>
        <v/>
      </c>
      <c r="E24" s="21" t="str" cm="1">
        <f t="array" ref="E24">IFERROR(
  IF(
    ROUND(AVERAGEIFS(Analysis!$C$2:$C$100, Analysis!$A$2:$A$100, Replicates!$A10, Analysis!$C$2:$C$100, "&lt;&gt;-1"), 1)="",
    "",
    ROUND(AVERAGEIFS(Analysis!$C$2:$C$100, Analysis!$A$2:$A$100, Replicates!$A10, Analysis!$C$2:$C$100, "&lt;&gt;-1"), 1) &amp;
    IF(
      ISNUMBER(
        ROUND(_xlfn.STDEV.S(IF((Analysis!$A$2:$A$100=Replicates!$A10) * (Analysis!$C$2:$C$100&lt;&gt;-1), Analysis!$C$2:$C$100, "")), 1)
      ),
      " +/- " &amp; ROUND(_xlfn.STDEV.S(IF((Analysis!$A$2:$A$100=Replicates!$A10) * (Analysis!$C$2:$C$100&lt;&gt;-1), Analysis!$C$2:$C$100, "")), 1),
      ""
    )
  ),
  ""
)</f>
        <v/>
      </c>
      <c r="F24" s="21" t="str" cm="1">
        <f t="array" ref="F24">IFERROR(
  IF(
    ROUND(AVERAGEIFS(Analysis!$D$2:$D$100, Analysis!$A$2:$A$100, Replicates!$A10, Analysis!$D$2:$D$100, "&lt;&gt;-1"), 1)="",
    "",
    ROUND(AVERAGEIFS(Analysis!$D$2:$D$100, Analysis!$A$2:$A$100, Replicates!$A10, Analysis!$D$2:$D$100, "&lt;&gt;-1"), 1) &amp;
    IF(
      ISNUMBER(
        ROUND(_xlfn.STDEV.S(IF((Analysis!$A$2:$A$100=Replicates!$A10) * (Analysis!$D$2:$D$100&lt;&gt;-1), Analysis!$D$2:$D$100, "")), 1)
      ),
      " +/- " &amp; ROUND(_xlfn.STDEV.S(IF((Analysis!$A$2:$A$100=Replicates!$A10) * (Analysis!$D$2:$D$100&lt;&gt;-1), Analysis!$D$2:$D$100, "")), 1),
      ""
    )
  ),
  ""
)</f>
        <v>21,3 +/- 0</v>
      </c>
      <c r="G24" s="18"/>
    </row>
    <row r="25" spans="1:12">
      <c r="A25" s="21" cm="1">
        <f t="array" ref="A25">IF(INDEX(Analysis!A:A,MATCH(0,COUNTIF($A$14:A24,Analysis!A:A),0))="","",INDEX(Analysis!A:A,MATCH(0,COUNTIF($A$14:A24,Analysis!A:A),0)))</f>
        <v>175</v>
      </c>
      <c r="B25" s="11">
        <v>2500031</v>
      </c>
      <c r="C25" s="21" t="str">
        <f>IF(COUNTIFS(Analysis!$A$2:$A$82,A25,Analysis!$H$2:$H$82,"F")&gt;COUNTIFS(Analysis!$A$2:$A$82,A25,Analysis!$H$2:$H$82,"N")+COUNTIFS(Analysis!$A$2:$A$82,A25,Analysis!$H$2:$H$82,"P")+COUNTIFS(Analysis!$A$2:$A$82,A25,Analysis!$H$2:$H$82,"S"),"F",
IF(COUNTIFS(Analysis!$A$2:$A$82,A25,Analysis!$H$2:$H$82,"N")&gt;COUNTIFS(Analysis!$A$2:$A$82,A25,Analysis!$H$2:$H$82,"F")+COUNTIFS(Analysis!$A$2:$A$82,A25,Analysis!$H$2:$H$82,"P")+COUNTIFS(Analysis!$A$2:$A$82,A25,Analysis!$H$2:$H$82,"S"),"N",
IF(COUNTIFS(Analysis!$A$2:$A$82,A25,Analysis!$H$2:$H$82,"P")&gt;COUNTIFS(Analysis!$A$2:$A$82,A25,Analysis!$H$2:$H$82,"F")+COUNTIFS(Analysis!$A$2:$A$82,A25,Analysis!$H$2:$H$82,"N")+COUNTIFS(Analysis!$A$2:$A$82,A25,Analysis!$H$2:$H$82,"S"),"P",
IF(COUNTIFS(Analysis!$A$2:$A$82,A25,Analysis!$H$2:$H$82,"S")&gt;COUNTIFS(Analysis!$A$2:$A$82,A25,Analysis!$H$2:$H$82,"F")+COUNTIFS(Analysis!$A$2:$A$82,A25,Analysis!$H$2:$H$82,"N")+COUNTIFS(Analysis!$A$2:$A$82,A25,Analysis!$H$2:$H$82,"P"),"S","R"))))</f>
        <v>N</v>
      </c>
      <c r="D25" s="21" t="str" cm="1">
        <f t="array" ref="D25">IFERROR(
  IF(
    ROUND(AVERAGEIFS(Analysis!$B$2:$B$100, Analysis!$A$2:$A$100, Replicates!$A11, Analysis!$B$2:$B$100, "&lt;&gt;-1"), 1)="",
    "",
    ROUND(AVERAGEIFS(Analysis!$B$2:$B$100, Analysis!$A$2:$A$100, Replicates!$A11, Analysis!$B$2:$B$100, "&lt;&gt;-1"), 1) &amp;
    IF(
      ISNUMBER(
        ROUND(_xlfn.STDEV.S(IF((Analysis!$A$2:$A$100=Replicates!$A11) * (Analysis!$B$2:$B$100&lt;&gt;-1), Analysis!$B$2:$B$100, "")), 1)
      ),
      " +/- " &amp; ROUND(_xlfn.STDEV.S(IF((Analysis!$A$2:$A$100=Replicates!$A11) * (Analysis!$B$2:$B$100&lt;&gt;-1), Analysis!$B$2:$B$100, "")), 1),
      ""
    )
  ),
  ""
)</f>
        <v/>
      </c>
      <c r="E25" s="21" t="str" cm="1">
        <f t="array" ref="E25">IFERROR(
  IF(
    ROUND(AVERAGEIFS(Analysis!$C$2:$C$100, Analysis!$A$2:$A$100, Replicates!$A11, Analysis!$C$2:$C$100, "&lt;&gt;-1"), 1)="",
    "",
    ROUND(AVERAGEIFS(Analysis!$C$2:$C$100, Analysis!$A$2:$A$100, Replicates!$A11, Analysis!$C$2:$C$100, "&lt;&gt;-1"), 1) &amp;
    IF(
      ISNUMBER(
        ROUND(_xlfn.STDEV.S(IF((Analysis!$A$2:$A$100=Replicates!$A11) * (Analysis!$C$2:$C$100&lt;&gt;-1), Analysis!$C$2:$C$100, "")), 1)
      ),
      " +/- " &amp; ROUND(_xlfn.STDEV.S(IF((Analysis!$A$2:$A$100=Replicates!$A11) * (Analysis!$C$2:$C$100&lt;&gt;-1), Analysis!$C$2:$C$100, "")), 1),
      ""
    )
  ),
  ""
)</f>
        <v/>
      </c>
      <c r="F25" s="21" t="str" cm="1">
        <f t="array" ref="F25">IFERROR(
  IF(
    ROUND(AVERAGEIFS(Analysis!$D$2:$D$100, Analysis!$A$2:$A$100, Replicates!$A11, Analysis!$D$2:$D$100, "&lt;&gt;-1"), 1)="",
    "",
    ROUND(AVERAGEIFS(Analysis!$D$2:$D$100, Analysis!$A$2:$A$100, Replicates!$A11, Analysis!$D$2:$D$100, "&lt;&gt;-1"), 1) &amp;
    IF(
      ISNUMBER(
        ROUND(_xlfn.STDEV.S(IF((Analysis!$A$2:$A$100=Replicates!$A11) * (Analysis!$D$2:$D$100&lt;&gt;-1), Analysis!$D$2:$D$100, "")), 1)
      ),
      " +/- " &amp; ROUND(_xlfn.STDEV.S(IF((Analysis!$A$2:$A$100=Replicates!$A11) * (Analysis!$D$2:$D$100&lt;&gt;-1), Analysis!$D$2:$D$100, "")), 1),
      ""
    )
  ),
  ""
)</f>
        <v>23,3 +/- 0,1</v>
      </c>
      <c r="G25" s="18"/>
    </row>
    <row r="26" spans="1:12">
      <c r="A26" s="21" t="str" cm="1">
        <f t="array" ref="A26">IF(INDEX(Analysis!A:A,MATCH(0,COUNTIF($A$14:A25,Analysis!A:A),0))="","",INDEX(Analysis!A:A,MATCH(0,COUNTIF($A$14:A25,Analysis!A:A),0)))</f>
        <v>CP</v>
      </c>
      <c r="B26" s="18"/>
      <c r="C26" s="21" t="str">
        <f>IF(COUNTIFS(Analysis!$A$2:$A$82,A26,Analysis!$H$2:$H$82,"F")&gt;COUNTIFS(Analysis!$A$2:$A$82,A26,Analysis!$H$2:$H$82,"OK"),"F",IF(COUNTIFS(Analysis!$A$2:$A$82,A26,Analysis!$H$2:$H$82,"OK")&gt;COUNTIFS(Analysis!$A$2:$A$82,A26,Analysis!$H$2:$H$82,"F"),"OK","I"))</f>
        <v>OK</v>
      </c>
      <c r="D26" s="21" t="str" cm="1">
        <f t="array" ref="D26">IFERROR(
  IF(
    ROUND(AVERAGEIFS(Analysis!$B$2:$B$100, Analysis!$A$2:$A$100, Replicates!$A12, Analysis!$B$2:$B$100, "&lt;&gt;-1"), 1)="",
    "",
    ROUND(AVERAGEIFS(Analysis!$B$2:$B$100, Analysis!$A$2:$A$100, Replicates!$A12, Analysis!$B$2:$B$100, "&lt;&gt;-1"), 1) &amp;
    IF(
      ISNUMBER(
        ROUND(_xlfn.STDEV.S(IF((Analysis!$A$2:$A$100=Replicates!$A12) * (Analysis!$B$2:$B$100&lt;&gt;-1), Analysis!$B$2:$B$100, "")), 1)
      ),
      " +/- " &amp; ROUND(_xlfn.STDEV.S(IF((Analysis!$A$2:$A$100=Replicates!$A12) * (Analysis!$B$2:$B$100&lt;&gt;-1), Analysis!$B$2:$B$100, "")), 1),
      ""
    )
  ),
  ""
)</f>
        <v>23,3 +/- 0,5</v>
      </c>
      <c r="E26" s="21" t="str" cm="1">
        <f t="array" ref="E26">IFERROR(
  IF(
    ROUND(AVERAGEIFS(Analysis!$C$2:$C$100, Analysis!$A$2:$A$100, Replicates!$A12, Analysis!$C$2:$C$100, "&lt;&gt;-1"), 1)="",
    "",
    ROUND(AVERAGEIFS(Analysis!$C$2:$C$100, Analysis!$A$2:$A$100, Replicates!$A12, Analysis!$C$2:$C$100, "&lt;&gt;-1"), 1) &amp;
    IF(
      ISNUMBER(
        ROUND(_xlfn.STDEV.S(IF((Analysis!$A$2:$A$100=Replicates!$A12) * (Analysis!$C$2:$C$100&lt;&gt;-1), Analysis!$C$2:$C$100, "")), 1)
      ),
      " +/- " &amp; ROUND(_xlfn.STDEV.S(IF((Analysis!$A$2:$A$100=Replicates!$A12) * (Analysis!$C$2:$C$100&lt;&gt;-1), Analysis!$C$2:$C$100, "")), 1),
      ""
    )
  ),
  ""
)</f>
        <v>21,3 +/- 0,1</v>
      </c>
      <c r="F26" s="21" t="str" cm="1">
        <f t="array" ref="F26">IFERROR(
  IF(
    ROUND(AVERAGEIFS(Analysis!$D$2:$D$100, Analysis!$A$2:$A$100, Replicates!$A12, Analysis!$D$2:$D$100, "&lt;&gt;-1"), 1)="",
    "",
    ROUND(AVERAGEIFS(Analysis!$D$2:$D$100, Analysis!$A$2:$A$100, Replicates!$A12, Analysis!$D$2:$D$100, "&lt;&gt;-1"), 1) &amp;
    IF(
      ISNUMBER(
        ROUND(_xlfn.STDEV.S(IF((Analysis!$A$2:$A$100=Replicates!$A12) * (Analysis!$D$2:$D$100&lt;&gt;-1), Analysis!$D$2:$D$100, "")), 1)
      ),
      " +/- " &amp; ROUND(_xlfn.STDEV.S(IF((Analysis!$A$2:$A$100=Replicates!$A12) * (Analysis!$D$2:$D$100&lt;&gt;-1), Analysis!$D$2:$D$100, "")), 1),
      ""
    )
  ),
  ""
)</f>
        <v>34 +/- 0,8</v>
      </c>
      <c r="G26" s="18"/>
    </row>
    <row r="27" spans="1:12">
      <c r="A27" s="21" t="str" cm="1">
        <f t="array" ref="A27">IF(INDEX(Analysis!A:A,MATCH(0,COUNTIF($A$14:A26,Analysis!A:A),0))="","",INDEX(Analysis!A:A,MATCH(0,COUNTIF($A$14:A26,Analysis!A:A),0)))</f>
        <v>CN</v>
      </c>
      <c r="B27" s="18"/>
      <c r="C27" s="21" t="str">
        <f>IF(COUNTIFS(Analysis!$A$2:$A$82,A27,Analysis!$H$2:$H$82,"F")&gt;COUNTIFS(Analysis!$A$2:$A$82,A27,Analysis!$H$2:$H$82,"OK"),"F",IF(COUNTIFS(Analysis!$A$2:$A$82,A27,Analysis!$H$2:$H$82,"OK")&gt;COUNTIFS(Analysis!$A$2:$A$82,A27,Analysis!$H$2:$H$82,"F"),"OK","I"))</f>
        <v>F</v>
      </c>
      <c r="D27" s="21" t="str" cm="1">
        <f t="array" ref="D27">IFERROR(
  IF(
    ROUND(AVERAGEIFS(Analysis!$B$2:$B$100, Analysis!$A$2:$A$100, Replicates!$A13, Analysis!$B$2:$B$100, "&lt;&gt;-1"), 1)="",
    "",
    ROUND(AVERAGEIFS(Analysis!$B$2:$B$100, Analysis!$A$2:$A$100, Replicates!$A13, Analysis!$B$2:$B$100, "&lt;&gt;-1"), 1) &amp;
    IF(
      ISNUMBER(
        ROUND(_xlfn.STDEV.S(IF((Analysis!$A$2:$A$100=Replicates!$A13) * (Analysis!$B$2:$B$100&lt;&gt;-1), Analysis!$B$2:$B$100, "")), 1)
      ),
      " +/- " &amp; ROUND(_xlfn.STDEV.S(IF((Analysis!$A$2:$A$100=Replicates!$A13) * (Analysis!$B$2:$B$100&lt;&gt;-1), Analysis!$B$2:$B$100, "")), 1),
      ""
    )
  ),
  ""
)</f>
        <v/>
      </c>
      <c r="E27" s="21" t="str" cm="1">
        <f t="array" ref="E27">IFERROR(
  IF(
    ROUND(AVERAGEIFS(Analysis!$C$2:$C$100, Analysis!$A$2:$A$100, Replicates!$A13, Analysis!$C$2:$C$100, "&lt;&gt;-1"), 1)="",
    "",
    ROUND(AVERAGEIFS(Analysis!$C$2:$C$100, Analysis!$A$2:$A$100, Replicates!$A13, Analysis!$C$2:$C$100, "&lt;&gt;-1"), 1) &amp;
    IF(
      ISNUMBER(
        ROUND(_xlfn.STDEV.S(IF((Analysis!$A$2:$A$100=Replicates!$A13) * (Analysis!$C$2:$C$100&lt;&gt;-1), Analysis!$C$2:$C$100, "")), 1)
      ),
      " +/- " &amp; ROUND(_xlfn.STDEV.S(IF((Analysis!$A$2:$A$100=Replicates!$A13) * (Analysis!$C$2:$C$100&lt;&gt;-1), Analysis!$C$2:$C$100, "")), 1),
      ""
    )
  ),
  ""
)</f>
        <v/>
      </c>
      <c r="F27" s="21" t="str" cm="1">
        <f t="array" ref="F27">IFERROR(
  IF(
    ROUND(AVERAGEIFS(Analysis!$D$2:$D$100, Analysis!$A$2:$A$100, Replicates!$A13, Analysis!$D$2:$D$100, "&lt;&gt;-1"), 1)="",
    "",
    ROUND(AVERAGEIFS(Analysis!$D$2:$D$100, Analysis!$A$2:$A$100, Replicates!$A13, Analysis!$D$2:$D$100, "&lt;&gt;-1"), 1) &amp;
    IF(
      ISNUMBER(
        ROUND(_xlfn.STDEV.S(IF((Analysis!$A$2:$A$100=Replicates!$A13) * (Analysis!$D$2:$D$100&lt;&gt;-1), Analysis!$D$2:$D$100, "")), 1)
      ),
      " +/- " &amp; ROUND(_xlfn.STDEV.S(IF((Analysis!$A$2:$A$100=Replicates!$A13) * (Analysis!$D$2:$D$100&lt;&gt;-1), Analysis!$D$2:$D$100, "")), 1),
      ""
    )
  ),
  ""
)</f>
        <v>36,8 +/- 0,5</v>
      </c>
      <c r="G27" s="18"/>
    </row>
    <row r="28" spans="1:12">
      <c r="C28" s="20"/>
      <c r="D28" s="20"/>
      <c r="E28" s="20"/>
      <c r="F28" t="str" cm="1">
        <f t="array" ref="F28">IFERROR(
  IF(
    ROUND(AVERAGEIFS(Analysis!$B$2:$B$100, Analysis!$A$2:$A$100, Replicates!$A14, Analysis!$B$2:$B$100, "&lt;&gt;-1"), 1)="",
    "",
    ROUND(AVERAGEIFS(Analysis!$B$2:$B$100, Analysis!$A$2:$A$100, Replicates!$A14, Analysis!$B$2:$B$100, "&lt;&gt;-1"), 1) &amp;
    IF(
      ISNUMBER(
        ROUND(_xlfn.STDEV.S(IF((Analysis!$A$2:$A$100=Replicates!$A14) * (Analysis!$B$2:$B$100&lt;&gt;-1), Analysis!$B$2:$B$100, "")), 1)
      ),
      " +/- " &amp; ROUND(_xlfn.STDEV.S(IF((Analysis!$A$2:$A$100=Replicates!$A14) * (Analysis!$B$2:$B$100&lt;&gt;-1), Analysis!$B$2:$B$100, "")), 1),
      ""
    )
  ),
  ""
)</f>
        <v/>
      </c>
      <c r="G28" t="str" cm="1">
        <f t="array" ref="G28">IFERROR(
  IF(
    ROUND(AVERAGEIFS(Analysis!$C$2:$C$100, Analysis!$A$2:$A$100, Replicates!$A14, Analysis!$C$2:$C$100, "&lt;&gt;-1"), 1)="",
    "",
    ROUND(AVERAGEIFS(Analysis!$C$2:$C$100, Analysis!$A$2:$A$100, Replicates!$A14, Analysis!$C$2:$C$100, "&lt;&gt;-1"), 1) &amp;
    IF(
      ISNUMBER(
        ROUND(_xlfn.STDEV.S(IF((Analysis!$A$2:$A$100=Replicates!$A14) * (Analysis!$C$2:$C$100&lt;&gt;-1), Analysis!$C$2:$C$100, "")), 1)
      ),
      " +/- " &amp; ROUND(_xlfn.STDEV.S(IF((Analysis!$A$2:$A$100=Replicates!$A14) * (Analysis!$C$2:$C$100&lt;&gt;-1), Analysis!$C$2:$C$100, "")), 1),
      ""
    )
  ),
  ""
)</f>
        <v/>
      </c>
    </row>
    <row r="29" spans="1:12">
      <c r="A29" s="13" t="s">
        <v>56</v>
      </c>
      <c r="B29" s="13" t="s">
        <v>57</v>
      </c>
      <c r="C29" s="31" t="s">
        <v>58</v>
      </c>
      <c r="D29" s="31"/>
      <c r="E29" s="20"/>
      <c r="F29" t="str" cm="1">
        <f t="array" ref="F29">IFERROR(IF(ROUND(AVERAGEIFS(Analysis!$B$2:$B$100, Analysis!$A$2:$A$100, $A30, Analysis!$B$2:$B$100, "&lt;&gt;-1"), 1)="", "", ROUND(AVERAGEIFS(Analysis!$B$2:$B$100, Analysis!$A$2:$A$100, $A30, Analysis!$B$2:$B$100, "&lt;&gt;-1"), 1) &amp; IF(ISNUMBER(ROUND(_xlfn.STDEV.S(IF((Analysis!$A$2:$A$100=$A30) * (Analysis!$B$2:$B$100&lt;&gt;-1), Analysis!$B$2:$B$100, "")), 1)), " +/- " &amp; ROUND(_xlfn.STDEV.S(IF((Analysis!$A$2:$A$100=$A30) * (Analysis!$B$2:$B$100&lt;&gt;-1), Analysis!$B$2:$B$100, "")), 1), "")), "")</f>
        <v/>
      </c>
    </row>
    <row r="30" spans="1:12">
      <c r="A30" s="18" t="s">
        <v>59</v>
      </c>
      <c r="B30" s="18" t="s">
        <v>60</v>
      </c>
      <c r="C30" s="30" t="s">
        <v>61</v>
      </c>
      <c r="D30" s="30"/>
      <c r="E30" s="20"/>
    </row>
    <row r="31" spans="1:12">
      <c r="A31" s="18" t="s">
        <v>20</v>
      </c>
      <c r="B31" s="18" t="s">
        <v>21</v>
      </c>
      <c r="C31" s="30" t="s">
        <v>62</v>
      </c>
      <c r="D31" s="30"/>
      <c r="E31" s="20"/>
    </row>
    <row r="32" spans="1:12">
      <c r="A32" s="18" t="s">
        <v>22</v>
      </c>
      <c r="B32" s="18" t="s">
        <v>63</v>
      </c>
      <c r="C32" s="30" t="s">
        <v>64</v>
      </c>
      <c r="D32" s="30"/>
      <c r="E32" s="20"/>
    </row>
    <row r="33" spans="1:5">
      <c r="A33" s="18" t="s">
        <v>65</v>
      </c>
      <c r="B33" s="18" t="s">
        <v>66</v>
      </c>
      <c r="C33" s="30" t="s">
        <v>67</v>
      </c>
      <c r="D33" s="30"/>
      <c r="E33" s="20"/>
    </row>
    <row r="34" spans="1:5">
      <c r="A34" s="18" t="s">
        <v>17</v>
      </c>
      <c r="B34" s="18" t="s">
        <v>68</v>
      </c>
      <c r="C34" s="30" t="s">
        <v>69</v>
      </c>
      <c r="D34" s="30"/>
      <c r="E34" s="20"/>
    </row>
    <row r="35" spans="1:5">
      <c r="A35" s="18" t="s">
        <v>70</v>
      </c>
      <c r="B35" s="18" t="s">
        <v>71</v>
      </c>
      <c r="C35" s="30" t="s">
        <v>72</v>
      </c>
      <c r="D35" s="30"/>
      <c r="E35" s="20"/>
    </row>
    <row r="36" spans="1:5">
      <c r="C36" s="20"/>
      <c r="D36" s="20"/>
      <c r="E36" s="20"/>
    </row>
    <row r="37" spans="1:5">
      <c r="C37" s="20"/>
      <c r="D37" s="20"/>
      <c r="E37" s="20"/>
    </row>
    <row r="38" spans="1:5">
      <c r="C38" s="20"/>
      <c r="D38" s="20"/>
      <c r="E38" s="20"/>
    </row>
    <row r="39" spans="1:5">
      <c r="C39" s="20"/>
      <c r="D39" s="20"/>
      <c r="E39" s="20"/>
    </row>
    <row r="40" spans="1:5">
      <c r="C40" s="20"/>
      <c r="D40" s="20"/>
      <c r="E40" s="20"/>
    </row>
    <row r="41" spans="1:5">
      <c r="C41" s="20"/>
      <c r="D41" s="20"/>
      <c r="E41" s="20"/>
    </row>
    <row r="42" spans="1:5">
      <c r="C42" s="20"/>
      <c r="D42" s="20"/>
      <c r="E42" s="20"/>
    </row>
    <row r="43" spans="1:5">
      <c r="C43" s="20"/>
      <c r="D43" s="20"/>
      <c r="E43" s="20"/>
    </row>
    <row r="44" spans="1:5">
      <c r="C44" s="20"/>
      <c r="D44" s="20"/>
      <c r="E44" s="20"/>
    </row>
    <row r="45" spans="1:5">
      <c r="C45" s="20"/>
      <c r="D45" s="20"/>
      <c r="E45" s="20"/>
    </row>
    <row r="46" spans="1:5">
      <c r="C46" s="20"/>
      <c r="D46" s="20"/>
      <c r="E46" s="20"/>
    </row>
    <row r="47" spans="1:5">
      <c r="C47" s="20"/>
      <c r="D47" s="20"/>
      <c r="E47" s="20"/>
    </row>
    <row r="48" spans="1:5">
      <c r="C48" s="20"/>
      <c r="D48" s="20"/>
      <c r="E48" s="20"/>
    </row>
    <row r="49" spans="3:5">
      <c r="C49" s="20"/>
      <c r="D49" s="20"/>
      <c r="E49" s="20"/>
    </row>
    <row r="50" spans="3:5">
      <c r="C50" s="20"/>
      <c r="D50" s="20"/>
      <c r="E50" s="20"/>
    </row>
    <row r="51" spans="3:5">
      <c r="C51" s="20"/>
      <c r="D51" s="20"/>
      <c r="E51" s="20"/>
    </row>
    <row r="52" spans="3:5">
      <c r="C52" s="20"/>
      <c r="D52" s="20"/>
      <c r="E52" s="20"/>
    </row>
    <row r="53" spans="3:5">
      <c r="C53" s="20"/>
      <c r="D53" s="20"/>
      <c r="E53" s="20"/>
    </row>
    <row r="54" spans="3:5">
      <c r="C54" s="20"/>
      <c r="D54" s="20"/>
      <c r="E54" s="20"/>
    </row>
    <row r="55" spans="3:5">
      <c r="C55" s="20"/>
      <c r="D55" s="20"/>
      <c r="E55" s="20"/>
    </row>
    <row r="56" spans="3:5">
      <c r="C56" s="20"/>
      <c r="D56" s="20"/>
      <c r="E56" s="20"/>
    </row>
    <row r="57" spans="3:5">
      <c r="C57" s="20"/>
      <c r="D57" s="20"/>
      <c r="E57" s="20"/>
    </row>
    <row r="58" spans="3:5">
      <c r="C58" s="20"/>
      <c r="D58" s="20"/>
      <c r="E58" s="20"/>
    </row>
  </sheetData>
  <sheetProtection algorithmName="SHA-512" hashValue="KAnAhFqtp/XgHSyHf1E7v5f2JAD1mwPzyJIjcd7br1SGlYRhTd2beIkki3uB5XyuYoucq7/UrHQXFyUGlyg8eg==" saltValue="QZ/yoJD6Sn7JKhvDfNZB5Q==" spinCount="100000" sheet="1" insertRows="0"/>
  <mergeCells count="28">
    <mergeCell ref="C35:D35"/>
    <mergeCell ref="C29:D29"/>
    <mergeCell ref="C30:D30"/>
    <mergeCell ref="C31:D31"/>
    <mergeCell ref="C32:D32"/>
    <mergeCell ref="C33:D33"/>
    <mergeCell ref="C34:D34"/>
    <mergeCell ref="A1:B1"/>
    <mergeCell ref="A6:B6"/>
    <mergeCell ref="A10:B10"/>
    <mergeCell ref="A11:B11"/>
    <mergeCell ref="A5:B5"/>
    <mergeCell ref="A4:B4"/>
    <mergeCell ref="A3:B3"/>
    <mergeCell ref="C3:G3"/>
    <mergeCell ref="C4:G4"/>
    <mergeCell ref="C5:G5"/>
    <mergeCell ref="C6:G6"/>
    <mergeCell ref="C7:G7"/>
    <mergeCell ref="A12:B12"/>
    <mergeCell ref="A7:B7"/>
    <mergeCell ref="A8:B8"/>
    <mergeCell ref="A9:B9"/>
    <mergeCell ref="C8:G8"/>
    <mergeCell ref="C9:G9"/>
    <mergeCell ref="C10:G10"/>
    <mergeCell ref="C11:G11"/>
    <mergeCell ref="C12:G12"/>
  </mergeCells>
  <conditionalFormatting sqref="C15:C27">
    <cfRule type="cellIs" dxfId="10" priority="6" operator="equal">
      <formula>"OK"</formula>
    </cfRule>
    <cfRule type="cellIs" dxfId="9" priority="7" operator="equal">
      <formula>"N"</formula>
    </cfRule>
    <cfRule type="cellIs" dxfId="8" priority="8" operator="equal">
      <formula>"C"</formula>
    </cfRule>
  </conditionalFormatting>
  <conditionalFormatting sqref="C16:C25">
    <cfRule type="cellIs" dxfId="7" priority="3" operator="equal">
      <formula>"R"</formula>
    </cfRule>
    <cfRule type="cellIs" dxfId="6" priority="5" operator="equal">
      <formula>"P"</formula>
    </cfRule>
  </conditionalFormatting>
  <conditionalFormatting sqref="C16:C27">
    <cfRule type="cellIs" dxfId="5" priority="4" operator="equal">
      <formula>"S"</formula>
    </cfRule>
  </conditionalFormatting>
  <conditionalFormatting sqref="G16:G27">
    <cfRule type="cellIs" dxfId="4" priority="1" operator="equal">
      <formula>"V"</formula>
    </cfRule>
    <cfRule type="cellIs" dxfId="3" priority="2" operator="equal">
      <formula>"E"</formula>
    </cfRule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7FA12-90F6-4410-A7E3-C2F85194D5C4}">
  <sheetPr>
    <tabColor rgb="FF00B0F0"/>
  </sheetPr>
  <dimension ref="A1:K44"/>
  <sheetViews>
    <sheetView workbookViewId="0">
      <selection activeCell="C2" sqref="C2"/>
    </sheetView>
  </sheetViews>
  <sheetFormatPr defaultColWidth="9.140625" defaultRowHeight="15"/>
  <cols>
    <col min="1" max="1" width="13.42578125" style="3" bestFit="1" customWidth="1"/>
    <col min="2" max="2" width="14.42578125" bestFit="1" customWidth="1"/>
    <col min="3" max="3" width="86.5703125" bestFit="1" customWidth="1"/>
    <col min="4" max="4" width="11.28515625" bestFit="1" customWidth="1"/>
    <col min="5" max="7" width="13.42578125" customWidth="1"/>
  </cols>
  <sheetData>
    <row r="1" spans="1:11">
      <c r="A1" s="2" t="str">
        <f>Report!A15</f>
        <v>Sample</v>
      </c>
      <c r="B1" s="2" t="s">
        <v>73</v>
      </c>
      <c r="C1" s="2" t="s">
        <v>74</v>
      </c>
      <c r="D1" s="2" t="s">
        <v>54</v>
      </c>
      <c r="E1" s="5" t="s">
        <v>9</v>
      </c>
      <c r="F1" s="6" t="s">
        <v>10</v>
      </c>
      <c r="G1" s="7" t="s">
        <v>11</v>
      </c>
    </row>
    <row r="2" spans="1:11">
      <c r="A2" s="3">
        <f>Report!A16</f>
        <v>166</v>
      </c>
      <c r="B2" s="3" t="str" cm="1">
        <f t="array" ref="B2">_xlfn.TEXTJOIN(", ", TRUE, IF(Analysis!$A$2:$A$82=A2, Analysis!$H$2:$H$82, ""))</f>
        <v>N, N, N, N</v>
      </c>
      <c r="C2" s="3" t="str" cm="1">
        <f t="array" ref="C2">_xlfn.TEXTJOIN(", ", TRUE, IF(Analysis!$A$2:$A$82=A2, Analysis!$I$2:$I$82, ""))</f>
        <v>negative, negative, negative, negative</v>
      </c>
      <c r="D2" s="3" t="str">
        <f>IF(COUNTIFS(Analysis!$A$2:$A$82,A2,Analysis!$H$2:$H$82,"F")&gt;COUNTIFS(Analysis!$A$2:$A$82,A2,Analysis!$H$2:$H$82,"N")+COUNTIFS(Analysis!$A$2:$A$82,A2,Analysis!$H$2:$H$82,"P")+COUNTIFS(Analysis!$A$2:$A$82,A2,Analysis!$H$2:$H$82,"S"),"F",
IF(COUNTIFS(Analysis!$A$2:$A$82,A2,Analysis!$H$2:$H$82,"N")&gt;COUNTIFS(Analysis!$A$2:$A$82,A2,Analysis!$H$2:$H$82,"F")+COUNTIFS(Analysis!$A$2:$A$82,A2,Analysis!$H$2:$H$82,"P")+COUNTIFS(Analysis!$A$2:$A$82,A2,Analysis!$H$2:$H$82,"S"),"N",
IF(COUNTIFS(Analysis!$A$2:$A$82,A2,Analysis!$H$2:$H$82,"P")&gt;COUNTIFS(Analysis!$A$2:$A$82,A2,Analysis!$H$2:$H$82,"F")+COUNTIFS(Analysis!$A$2:$A$82,A2,Analysis!$H$2:$H$82,"N")+COUNTIFS(Analysis!$A$2:$A$82,A2,Analysis!$H$2:$H$82,"S"),"P",
IF(COUNTIFS(Analysis!$A$2:$A$82,A2,Analysis!$H$2:$H$82,"S")&gt;COUNTIFS(Analysis!$A$2:$A$82,A2,Analysis!$H$2:$H$82,"F")+COUNTIFS(Analysis!$A$2:$A$82,A2,Analysis!$H$2:$H$82,"N")+COUNTIFS(Analysis!$A$2:$A$82,A2,Analysis!$H$2:$H$82,"P"),"S","Retest"))))</f>
        <v>N</v>
      </c>
      <c r="E2" s="3" t="str" cm="1">
        <f t="array" ref="E2">IFERROR(
  IF(
    ROUND(AVERAGEIFS(Analysis!$B$2:$B$100, Analysis!$A$2:$A$100, Replicates!$A2, Analysis!$B$2:$B$100, "&lt;&gt;-1"), 1)="",
    "",
    ROUND(AVERAGEIFS(Analysis!$B$2:$B$100, Analysis!$A$2:$A$100, Replicates!$A2, Analysis!$B$2:$B$100, "&lt;&gt;-1"), 1) &amp;
    IF(
      ISNUMBER(
        ROUND(_xlfn.STDEV.S(IF((Analysis!$A$2:$A$100=Replicates!$A2) * (Analysis!$B$2:$B$100&lt;&gt;-1), Analysis!$B$2:$B$100, "")), 1)
      ),
      " +/- " &amp; ROUND(_xlfn.STDEV.S(IF((Analysis!$A$2:$A$100=Replicates!$A2) * (Analysis!$B$2:$B$100&lt;&gt;-1), Analysis!$B$2:$B$100, "")), 1),
      ""
    )
  ),
  ""
)</f>
        <v/>
      </c>
      <c r="F2" s="3" t="str" cm="1">
        <f t="array" ref="F2">IFERROR(
  IF(
    ROUND(AVERAGEIFS(Analysis!$C$2:$C$100, Analysis!$A$2:$A$100, Replicates!$A2, Analysis!$C$2:$C$100, "&lt;&gt;-1"), 1)="",
    "",
    ROUND(AVERAGEIFS(Analysis!$C$2:$C$100, Analysis!$A$2:$A$100, Replicates!$A2, Analysis!$C$2:$C$100, "&lt;&gt;-1"), 1) &amp;
    IF(
      ISNUMBER(
        ROUND(_xlfn.STDEV.S(IF((Analysis!$A$2:$A$100=Replicates!$A2) * (Analysis!$C$2:$C$100&lt;&gt;-1), Analysis!$C$2:$C$100, "")), 1)
      ),
      " +/- " &amp; ROUND(_xlfn.STDEV.S(IF((Analysis!$A$2:$A$100=Replicates!$A2) * (Analysis!$C$2:$C$100&lt;&gt;-1), Analysis!$C$2:$C$100, "")), 1),
      ""
    )
  ),
  ""
)</f>
        <v/>
      </c>
      <c r="G2" s="3" t="str" cm="1">
        <f t="array" ref="G2">IFERROR(
  IF(
    ROUND(AVERAGEIFS(Analysis!$D$2:$D$100, Analysis!$A$2:$A$100, Replicates!$A2, Analysis!$D$2:$D$100, "&lt;&gt;-1"), 1)="",
    "",
    ROUND(AVERAGEIFS(Analysis!$D$2:$D$100, Analysis!$A$2:$A$100, Replicates!$A2, Analysis!$D$2:$D$100, "&lt;&gt;-1"), 1) &amp;
    IF(
      ISNUMBER(
        ROUND(_xlfn.STDEV.S(IF((Analysis!$A$2:$A$100=Replicates!$A2) * (Analysis!$D$2:$D$100&lt;&gt;-1), Analysis!$D$2:$D$100, "")), 1)
      ),
      " +/- " &amp; ROUND(_xlfn.STDEV.S(IF((Analysis!$A$2:$A$100=Replicates!$A2) * (Analysis!$D$2:$D$100&lt;&gt;-1), Analysis!$D$2:$D$100, "")), 1),
      ""
    )
  ),
  ""
)</f>
        <v>21,5 +/- 0</v>
      </c>
    </row>
    <row r="3" spans="1:11">
      <c r="A3" s="3">
        <f>Report!A17</f>
        <v>167</v>
      </c>
      <c r="B3" s="3" t="str" cm="1">
        <f t="array" ref="B3">_xlfn.TEXTJOIN(", ", TRUE, IF(Analysis!$A$2:$A$82=A3, Analysis!$H$2:$H$82, ""))</f>
        <v>N, N, N, N</v>
      </c>
      <c r="C3" s="3" t="str" cm="1">
        <f t="array" ref="C3">_xlfn.TEXTJOIN(", ", TRUE, IF(Analysis!$A$2:$A$82=A3, Analysis!$I$2:$I$82, ""))</f>
        <v>negative, negative, negative, negative</v>
      </c>
      <c r="D3" s="3" t="str">
        <f>IF(COUNTIFS(Analysis!$A$2:$A$82,A3,Analysis!$H$2:$H$82,"F")&gt;COUNTIFS(Analysis!$A$2:$A$82,A3,Analysis!$H$2:$H$82,"N")+COUNTIFS(Analysis!$A$2:$A$82,A3,Analysis!$H$2:$H$82,"P")+COUNTIFS(Analysis!$A$2:$A$82,A3,Analysis!$H$2:$H$82,"S"),"F",
IF(COUNTIFS(Analysis!$A$2:$A$82,A3,Analysis!$H$2:$H$82,"N")&gt;COUNTIFS(Analysis!$A$2:$A$82,A3,Analysis!$H$2:$H$82,"F")+COUNTIFS(Analysis!$A$2:$A$82,A3,Analysis!$H$2:$H$82,"P")+COUNTIFS(Analysis!$A$2:$A$82,A3,Analysis!$H$2:$H$82,"S"),"N",
IF(COUNTIFS(Analysis!$A$2:$A$82,A3,Analysis!$H$2:$H$82,"P")&gt;COUNTIFS(Analysis!$A$2:$A$82,A3,Analysis!$H$2:$H$82,"F")+COUNTIFS(Analysis!$A$2:$A$82,A3,Analysis!$H$2:$H$82,"N")+COUNTIFS(Analysis!$A$2:$A$82,A3,Analysis!$H$2:$H$82,"S"),"P",
IF(COUNTIFS(Analysis!$A$2:$A$82,A3,Analysis!$H$2:$H$82,"S")&gt;COUNTIFS(Analysis!$A$2:$A$82,A3,Analysis!$H$2:$H$82,"F")+COUNTIFS(Analysis!$A$2:$A$82,A3,Analysis!$H$2:$H$82,"N")+COUNTIFS(Analysis!$A$2:$A$82,A3,Analysis!$H$2:$H$82,"P"),"S","Retest"))))</f>
        <v>N</v>
      </c>
      <c r="E3" s="3" t="str" cm="1">
        <f t="array" ref="E3">IFERROR(
  IF(
    ROUND(AVERAGEIFS(Analysis!$B$2:$B$100, Analysis!$A$2:$A$100, Replicates!$A3, Analysis!$B$2:$B$100, "&lt;&gt;-1"), 1)="",
    "",
    ROUND(AVERAGEIFS(Analysis!$B$2:$B$100, Analysis!$A$2:$A$100, Replicates!$A3, Analysis!$B$2:$B$100, "&lt;&gt;-1"), 1) &amp;
    IF(
      ISNUMBER(
        ROUND(_xlfn.STDEV.S(IF((Analysis!$A$2:$A$100=Replicates!$A3) * (Analysis!$B$2:$B$100&lt;&gt;-1), Analysis!$B$2:$B$100, "")), 1)
      ),
      " +/- " &amp; ROUND(_xlfn.STDEV.S(IF((Analysis!$A$2:$A$100=Replicates!$A3) * (Analysis!$B$2:$B$100&lt;&gt;-1), Analysis!$B$2:$B$100, "")), 1),
      ""
    )
  ),
  ""
)</f>
        <v/>
      </c>
      <c r="F3" s="3" t="str" cm="1">
        <f t="array" ref="F3">IFERROR(
  IF(
    ROUND(AVERAGEIFS(Analysis!$C$2:$C$100, Analysis!$A$2:$A$100, Replicates!$A3, Analysis!$C$2:$C$100, "&lt;&gt;-1"), 1)="",
    "",
    ROUND(AVERAGEIFS(Analysis!$C$2:$C$100, Analysis!$A$2:$A$100, Replicates!$A3, Analysis!$C$2:$C$100, "&lt;&gt;-1"), 1) &amp;
    IF(
      ISNUMBER(
        ROUND(_xlfn.STDEV.S(IF((Analysis!$A$2:$A$100=Replicates!$A3) * (Analysis!$C$2:$C$100&lt;&gt;-1), Analysis!$C$2:$C$100, "")), 1)
      ),
      " +/- " &amp; ROUND(_xlfn.STDEV.S(IF((Analysis!$A$2:$A$100=Replicates!$A3) * (Analysis!$C$2:$C$100&lt;&gt;-1), Analysis!$C$2:$C$100, "")), 1),
      ""
    )
  ),
  ""
)</f>
        <v/>
      </c>
      <c r="G3" s="3" t="str" cm="1">
        <f t="array" ref="G3">IFERROR(
  IF(
    ROUND(AVERAGEIFS(Analysis!$D$2:$D$100, Analysis!$A$2:$A$100, Replicates!$A3, Analysis!$D$2:$D$100, "&lt;&gt;-1"), 1)="",
    "",
    ROUND(AVERAGEIFS(Analysis!$D$2:$D$100, Analysis!$A$2:$A$100, Replicates!$A3, Analysis!$D$2:$D$100, "&lt;&gt;-1"), 1) &amp;
    IF(
      ISNUMBER(
        ROUND(_xlfn.STDEV.S(IF((Analysis!$A$2:$A$100=Replicates!$A3) * (Analysis!$D$2:$D$100&lt;&gt;-1), Analysis!$D$2:$D$100, "")), 1)
      ),
      " +/- " &amp; ROUND(_xlfn.STDEV.S(IF((Analysis!$A$2:$A$100=Replicates!$A3) * (Analysis!$D$2:$D$100&lt;&gt;-1), Analysis!$D$2:$D$100, "")), 1),
      ""
    )
  ),
  ""
)</f>
        <v>21 +/- 0,1</v>
      </c>
    </row>
    <row r="4" spans="1:11">
      <c r="A4" s="3">
        <f>Report!A18</f>
        <v>168</v>
      </c>
      <c r="B4" s="3" t="str" cm="1">
        <f t="array" ref="B4">_xlfn.TEXTJOIN(", ", TRUE, IF(Analysis!$A$2:$A$82=A4, Analysis!$H$2:$H$82, ""))</f>
        <v>N, N, N, N</v>
      </c>
      <c r="C4" s="3" t="str" cm="1">
        <f t="array" ref="C4">_xlfn.TEXTJOIN(", ", TRUE, IF(Analysis!$A$2:$A$82=A4, Analysis!$I$2:$I$82, ""))</f>
        <v>negative, negative, negative, negative</v>
      </c>
      <c r="D4" s="3" t="str">
        <f>IF(COUNTIFS(Analysis!$A$2:$A$82,A4,Analysis!$H$2:$H$82,"F")&gt;COUNTIFS(Analysis!$A$2:$A$82,A4,Analysis!$H$2:$H$82,"N")+COUNTIFS(Analysis!$A$2:$A$82,A4,Analysis!$H$2:$H$82,"P")+COUNTIFS(Analysis!$A$2:$A$82,A4,Analysis!$H$2:$H$82,"S"),"F",
IF(COUNTIFS(Analysis!$A$2:$A$82,A4,Analysis!$H$2:$H$82,"N")&gt;COUNTIFS(Analysis!$A$2:$A$82,A4,Analysis!$H$2:$H$82,"F")+COUNTIFS(Analysis!$A$2:$A$82,A4,Analysis!$H$2:$H$82,"P")+COUNTIFS(Analysis!$A$2:$A$82,A4,Analysis!$H$2:$H$82,"S"),"N",
IF(COUNTIFS(Analysis!$A$2:$A$82,A4,Analysis!$H$2:$H$82,"P")&gt;COUNTIFS(Analysis!$A$2:$A$82,A4,Analysis!$H$2:$H$82,"F")+COUNTIFS(Analysis!$A$2:$A$82,A4,Analysis!$H$2:$H$82,"N")+COUNTIFS(Analysis!$A$2:$A$82,A4,Analysis!$H$2:$H$82,"S"),"P",
IF(COUNTIFS(Analysis!$A$2:$A$82,A4,Analysis!$H$2:$H$82,"S")&gt;COUNTIFS(Analysis!$A$2:$A$82,A4,Analysis!$H$2:$H$82,"F")+COUNTIFS(Analysis!$A$2:$A$82,A4,Analysis!$H$2:$H$82,"N")+COUNTIFS(Analysis!$A$2:$A$82,A4,Analysis!$H$2:$H$82,"P"),"S","Retest"))))</f>
        <v>N</v>
      </c>
      <c r="E4" s="3" t="str" cm="1">
        <f t="array" ref="E4">IFERROR(
  IF(
    ROUND(AVERAGEIFS(Analysis!$B$2:$B$100, Analysis!$A$2:$A$100, Replicates!$A4, Analysis!$B$2:$B$100, "&lt;&gt;-1"), 1)="",
    "",
    ROUND(AVERAGEIFS(Analysis!$B$2:$B$100, Analysis!$A$2:$A$100, Replicates!$A4, Analysis!$B$2:$B$100, "&lt;&gt;-1"), 1) &amp;
    IF(
      ISNUMBER(
        ROUND(_xlfn.STDEV.S(IF((Analysis!$A$2:$A$100=Replicates!$A4) * (Analysis!$B$2:$B$100&lt;&gt;-1), Analysis!$B$2:$B$100, "")), 1)
      ),
      " +/- " &amp; ROUND(_xlfn.STDEV.S(IF((Analysis!$A$2:$A$100=Replicates!$A4) * (Analysis!$B$2:$B$100&lt;&gt;-1), Analysis!$B$2:$B$100, "")), 1),
      ""
    )
  ),
  ""
)</f>
        <v/>
      </c>
      <c r="F4" s="3" t="str" cm="1">
        <f t="array" ref="F4">IFERROR(
  IF(
    ROUND(AVERAGEIFS(Analysis!$C$2:$C$100, Analysis!$A$2:$A$100, Replicates!$A4, Analysis!$C$2:$C$100, "&lt;&gt;-1"), 1)="",
    "",
    ROUND(AVERAGEIFS(Analysis!$C$2:$C$100, Analysis!$A$2:$A$100, Replicates!$A4, Analysis!$C$2:$C$100, "&lt;&gt;-1"), 1) &amp;
    IF(
      ISNUMBER(
        ROUND(_xlfn.STDEV.S(IF((Analysis!$A$2:$A$100=Replicates!$A4) * (Analysis!$C$2:$C$100&lt;&gt;-1), Analysis!$C$2:$C$100, "")), 1)
      ),
      " +/- " &amp; ROUND(_xlfn.STDEV.S(IF((Analysis!$A$2:$A$100=Replicates!$A4) * (Analysis!$C$2:$C$100&lt;&gt;-1), Analysis!$C$2:$C$100, "")), 1),
      ""
    )
  ),
  ""
)</f>
        <v/>
      </c>
      <c r="G4" s="3" t="str" cm="1">
        <f t="array" ref="G4">IFERROR(
  IF(
    ROUND(AVERAGEIFS(Analysis!$D$2:$D$100, Analysis!$A$2:$A$100, Replicates!$A4, Analysis!$D$2:$D$100, "&lt;&gt;-1"), 1)="",
    "",
    ROUND(AVERAGEIFS(Analysis!$D$2:$D$100, Analysis!$A$2:$A$100, Replicates!$A4, Analysis!$D$2:$D$100, "&lt;&gt;-1"), 1) &amp;
    IF(
      ISNUMBER(
        ROUND(_xlfn.STDEV.S(IF((Analysis!$A$2:$A$100=Replicates!$A4) * (Analysis!$D$2:$D$100&lt;&gt;-1), Analysis!$D$2:$D$100, "")), 1)
      ),
      " +/- " &amp; ROUND(_xlfn.STDEV.S(IF((Analysis!$A$2:$A$100=Replicates!$A4) * (Analysis!$D$2:$D$100&lt;&gt;-1), Analysis!$D$2:$D$100, "")), 1),
      ""
    )
  ),
  ""
)</f>
        <v>22,1 +/- 0</v>
      </c>
    </row>
    <row r="5" spans="1:11">
      <c r="A5" s="3">
        <f>Report!A19</f>
        <v>169</v>
      </c>
      <c r="B5" s="3" t="str" cm="1">
        <f t="array" ref="B5">_xlfn.TEXTJOIN(", ", TRUE, IF(Analysis!$A$2:$A$82=A5, Analysis!$H$2:$H$82, ""))</f>
        <v>N, N, N, N</v>
      </c>
      <c r="C5" s="3" t="str" cm="1">
        <f t="array" ref="C5">_xlfn.TEXTJOIN(", ", TRUE, IF(Analysis!$A$2:$A$82=A5, Analysis!$I$2:$I$82, ""))</f>
        <v>negative, negative, negative, negative</v>
      </c>
      <c r="D5" s="3" t="str">
        <f>IF(COUNTIFS(Analysis!$A$2:$A$82,A5,Analysis!$H$2:$H$82,"F")&gt;COUNTIFS(Analysis!$A$2:$A$82,A5,Analysis!$H$2:$H$82,"N")+COUNTIFS(Analysis!$A$2:$A$82,A5,Analysis!$H$2:$H$82,"P")+COUNTIFS(Analysis!$A$2:$A$82,A5,Analysis!$H$2:$H$82,"S"),"F",
IF(COUNTIFS(Analysis!$A$2:$A$82,A5,Analysis!$H$2:$H$82,"N")&gt;COUNTIFS(Analysis!$A$2:$A$82,A5,Analysis!$H$2:$H$82,"F")+COUNTIFS(Analysis!$A$2:$A$82,A5,Analysis!$H$2:$H$82,"P")+COUNTIFS(Analysis!$A$2:$A$82,A5,Analysis!$H$2:$H$82,"S"),"N",
IF(COUNTIFS(Analysis!$A$2:$A$82,A5,Analysis!$H$2:$H$82,"P")&gt;COUNTIFS(Analysis!$A$2:$A$82,A5,Analysis!$H$2:$H$82,"F")+COUNTIFS(Analysis!$A$2:$A$82,A5,Analysis!$H$2:$H$82,"N")+COUNTIFS(Analysis!$A$2:$A$82,A5,Analysis!$H$2:$H$82,"S"),"P",
IF(COUNTIFS(Analysis!$A$2:$A$82,A5,Analysis!$H$2:$H$82,"S")&gt;COUNTIFS(Analysis!$A$2:$A$82,A5,Analysis!$H$2:$H$82,"F")+COUNTIFS(Analysis!$A$2:$A$82,A5,Analysis!$H$2:$H$82,"N")+COUNTIFS(Analysis!$A$2:$A$82,A5,Analysis!$H$2:$H$82,"P"),"S","Retest"))))</f>
        <v>N</v>
      </c>
      <c r="E5" s="3" t="str" cm="1">
        <f t="array" ref="E5">IFERROR(
  IF(
    ROUND(AVERAGEIFS(Analysis!$B$2:$B$100, Analysis!$A$2:$A$100, Replicates!$A5, Analysis!$B$2:$B$100, "&lt;&gt;-1"), 1)="",
    "",
    ROUND(AVERAGEIFS(Analysis!$B$2:$B$100, Analysis!$A$2:$A$100, Replicates!$A5, Analysis!$B$2:$B$100, "&lt;&gt;-1"), 1) &amp;
    IF(
      ISNUMBER(
        ROUND(_xlfn.STDEV.S(IF((Analysis!$A$2:$A$100=Replicates!$A5) * (Analysis!$B$2:$B$100&lt;&gt;-1), Analysis!$B$2:$B$100, "")), 1)
      ),
      " +/- " &amp; ROUND(_xlfn.STDEV.S(IF((Analysis!$A$2:$A$100=Replicates!$A5) * (Analysis!$B$2:$B$100&lt;&gt;-1), Analysis!$B$2:$B$100, "")), 1),
      ""
    )
  ),
  ""
)</f>
        <v/>
      </c>
      <c r="F5" s="3" t="str" cm="1">
        <f t="array" ref="F5">IFERROR(
  IF(
    ROUND(AVERAGEIFS(Analysis!$C$2:$C$100, Analysis!$A$2:$A$100, Replicates!$A5, Analysis!$C$2:$C$100, "&lt;&gt;-1"), 1)="",
    "",
    ROUND(AVERAGEIFS(Analysis!$C$2:$C$100, Analysis!$A$2:$A$100, Replicates!$A5, Analysis!$C$2:$C$100, "&lt;&gt;-1"), 1) &amp;
    IF(
      ISNUMBER(
        ROUND(_xlfn.STDEV.S(IF((Analysis!$A$2:$A$100=Replicates!$A5) * (Analysis!$C$2:$C$100&lt;&gt;-1), Analysis!$C$2:$C$100, "")), 1)
      ),
      " +/- " &amp; ROUND(_xlfn.STDEV.S(IF((Analysis!$A$2:$A$100=Replicates!$A5) * (Analysis!$C$2:$C$100&lt;&gt;-1), Analysis!$C$2:$C$100, "")), 1),
      ""
    )
  ),
  ""
)</f>
        <v/>
      </c>
      <c r="G5" s="3" t="str" cm="1">
        <f t="array" ref="G5">IFERROR(
  IF(
    ROUND(AVERAGEIFS(Analysis!$D$2:$D$100, Analysis!$A$2:$A$100, Replicates!$A5, Analysis!$D$2:$D$100, "&lt;&gt;-1"), 1)="",
    "",
    ROUND(AVERAGEIFS(Analysis!$D$2:$D$100, Analysis!$A$2:$A$100, Replicates!$A5, Analysis!$D$2:$D$100, "&lt;&gt;-1"), 1) &amp;
    IF(
      ISNUMBER(
        ROUND(_xlfn.STDEV.S(IF((Analysis!$A$2:$A$100=Replicates!$A5) * (Analysis!$D$2:$D$100&lt;&gt;-1), Analysis!$D$2:$D$100, "")), 1)
      ),
      " +/- " &amp; ROUND(_xlfn.STDEV.S(IF((Analysis!$A$2:$A$100=Replicates!$A5) * (Analysis!$D$2:$D$100&lt;&gt;-1), Analysis!$D$2:$D$100, "")), 1),
      ""
    )
  ),
  ""
)</f>
        <v>23 +/- 0,1</v>
      </c>
    </row>
    <row r="6" spans="1:11">
      <c r="A6" s="3">
        <f>Report!A20</f>
        <v>170</v>
      </c>
      <c r="B6" s="3" t="str" cm="1">
        <f t="array" ref="B6">_xlfn.TEXTJOIN(", ", TRUE, IF(Analysis!$A$2:$A$82=A6, Analysis!$H$2:$H$82, ""))</f>
        <v>N, N, N, N</v>
      </c>
      <c r="C6" s="3" t="str" cm="1">
        <f t="array" ref="C6">_xlfn.TEXTJOIN(", ", TRUE, IF(Analysis!$A$2:$A$82=A6, Analysis!$I$2:$I$82, ""))</f>
        <v>negative, negative, negative, negative</v>
      </c>
      <c r="D6" s="3" t="str">
        <f>IF(COUNTIFS(Analysis!$A$2:$A$82,A6,Analysis!$H$2:$H$82,"F")&gt;COUNTIFS(Analysis!$A$2:$A$82,A6,Analysis!$H$2:$H$82,"N")+COUNTIFS(Analysis!$A$2:$A$82,A6,Analysis!$H$2:$H$82,"P")+COUNTIFS(Analysis!$A$2:$A$82,A6,Analysis!$H$2:$H$82,"S"),"F",
IF(COUNTIFS(Analysis!$A$2:$A$82,A6,Analysis!$H$2:$H$82,"N")&gt;COUNTIFS(Analysis!$A$2:$A$82,A6,Analysis!$H$2:$H$82,"F")+COUNTIFS(Analysis!$A$2:$A$82,A6,Analysis!$H$2:$H$82,"P")+COUNTIFS(Analysis!$A$2:$A$82,A6,Analysis!$H$2:$H$82,"S"),"N",
IF(COUNTIFS(Analysis!$A$2:$A$82,A6,Analysis!$H$2:$H$82,"P")&gt;COUNTIFS(Analysis!$A$2:$A$82,A6,Analysis!$H$2:$H$82,"F")+COUNTIFS(Analysis!$A$2:$A$82,A6,Analysis!$H$2:$H$82,"N")+COUNTIFS(Analysis!$A$2:$A$82,A6,Analysis!$H$2:$H$82,"S"),"P",
IF(COUNTIFS(Analysis!$A$2:$A$82,A6,Analysis!$H$2:$H$82,"S")&gt;COUNTIFS(Analysis!$A$2:$A$82,A6,Analysis!$H$2:$H$82,"F")+COUNTIFS(Analysis!$A$2:$A$82,A6,Analysis!$H$2:$H$82,"N")+COUNTIFS(Analysis!$A$2:$A$82,A6,Analysis!$H$2:$H$82,"P"),"S","Retest"))))</f>
        <v>N</v>
      </c>
      <c r="E6" s="3" t="str" cm="1">
        <f t="array" ref="E6">IFERROR(
  IF(
    ROUND(AVERAGEIFS(Analysis!$B$2:$B$100, Analysis!$A$2:$A$100, Replicates!$A6, Analysis!$B$2:$B$100, "&lt;&gt;-1"), 1)="",
    "",
    ROUND(AVERAGEIFS(Analysis!$B$2:$B$100, Analysis!$A$2:$A$100, Replicates!$A6, Analysis!$B$2:$B$100, "&lt;&gt;-1"), 1) &amp;
    IF(
      ISNUMBER(
        ROUND(_xlfn.STDEV.S(IF((Analysis!$A$2:$A$100=Replicates!$A6) * (Analysis!$B$2:$B$100&lt;&gt;-1), Analysis!$B$2:$B$100, "")), 1)
      ),
      " +/- " &amp; ROUND(_xlfn.STDEV.S(IF((Analysis!$A$2:$A$100=Replicates!$A6) * (Analysis!$B$2:$B$100&lt;&gt;-1), Analysis!$B$2:$B$100, "")), 1),
      ""
    )
  ),
  ""
)</f>
        <v/>
      </c>
      <c r="F6" s="3" t="str" cm="1">
        <f t="array" ref="F6">IFERROR(
  IF(
    ROUND(AVERAGEIFS(Analysis!$C$2:$C$100, Analysis!$A$2:$A$100, Replicates!$A6, Analysis!$C$2:$C$100, "&lt;&gt;-1"), 1)="",
    "",
    ROUND(AVERAGEIFS(Analysis!$C$2:$C$100, Analysis!$A$2:$A$100, Replicates!$A6, Analysis!$C$2:$C$100, "&lt;&gt;-1"), 1) &amp;
    IF(
      ISNUMBER(
        ROUND(_xlfn.STDEV.S(IF((Analysis!$A$2:$A$100=Replicates!$A6) * (Analysis!$C$2:$C$100&lt;&gt;-1), Analysis!$C$2:$C$100, "")), 1)
      ),
      " +/- " &amp; ROUND(_xlfn.STDEV.S(IF((Analysis!$A$2:$A$100=Replicates!$A6) * (Analysis!$C$2:$C$100&lt;&gt;-1), Analysis!$C$2:$C$100, "")), 1),
      ""
    )
  ),
  ""
)</f>
        <v/>
      </c>
      <c r="G6" s="3" t="str" cm="1">
        <f t="array" ref="G6">IFERROR(
  IF(
    ROUND(AVERAGEIFS(Analysis!$D$2:$D$100, Analysis!$A$2:$A$100, Replicates!$A6, Analysis!$D$2:$D$100, "&lt;&gt;-1"), 1)="",
    "",
    ROUND(AVERAGEIFS(Analysis!$D$2:$D$100, Analysis!$A$2:$A$100, Replicates!$A6, Analysis!$D$2:$D$100, "&lt;&gt;-1"), 1) &amp;
    IF(
      ISNUMBER(
        ROUND(_xlfn.STDEV.S(IF((Analysis!$A$2:$A$100=Replicates!$A6) * (Analysis!$D$2:$D$100&lt;&gt;-1), Analysis!$D$2:$D$100, "")), 1)
      ),
      " +/- " &amp; ROUND(_xlfn.STDEV.S(IF((Analysis!$A$2:$A$100=Replicates!$A6) * (Analysis!$D$2:$D$100&lt;&gt;-1), Analysis!$D$2:$D$100, "")), 1),
      ""
    )
  ),
  ""
)</f>
        <v>22 +/- 0</v>
      </c>
    </row>
    <row r="7" spans="1:11">
      <c r="A7" s="3">
        <f>Report!A21</f>
        <v>171</v>
      </c>
      <c r="B7" s="3" t="str" cm="1">
        <f t="array" ref="B7">_xlfn.TEXTJOIN(", ", TRUE, IF(Analysis!$A$2:$A$82=A7, Analysis!$H$2:$H$82, ""))</f>
        <v>N, N, N, N</v>
      </c>
      <c r="C7" s="3" t="str" cm="1">
        <f t="array" ref="C7">_xlfn.TEXTJOIN(", ", TRUE, IF(Analysis!$A$2:$A$82=A7, Analysis!$I$2:$I$82, ""))</f>
        <v>negative, negative, negative, negative</v>
      </c>
      <c r="D7" s="3" t="str">
        <f>IF(COUNTIFS(Analysis!$A$2:$A$82,A7,Analysis!$H$2:$H$82,"F")&gt;COUNTIFS(Analysis!$A$2:$A$82,A7,Analysis!$H$2:$H$82,"N")+COUNTIFS(Analysis!$A$2:$A$82,A7,Analysis!$H$2:$H$82,"P")+COUNTIFS(Analysis!$A$2:$A$82,A7,Analysis!$H$2:$H$82,"S"),"F",
IF(COUNTIFS(Analysis!$A$2:$A$82,A7,Analysis!$H$2:$H$82,"N")&gt;COUNTIFS(Analysis!$A$2:$A$82,A7,Analysis!$H$2:$H$82,"F")+COUNTIFS(Analysis!$A$2:$A$82,A7,Analysis!$H$2:$H$82,"P")+COUNTIFS(Analysis!$A$2:$A$82,A7,Analysis!$H$2:$H$82,"S"),"N",
IF(COUNTIFS(Analysis!$A$2:$A$82,A7,Analysis!$H$2:$H$82,"P")&gt;COUNTIFS(Analysis!$A$2:$A$82,A7,Analysis!$H$2:$H$82,"F")+COUNTIFS(Analysis!$A$2:$A$82,A7,Analysis!$H$2:$H$82,"N")+COUNTIFS(Analysis!$A$2:$A$82,A7,Analysis!$H$2:$H$82,"S"),"P",
IF(COUNTIFS(Analysis!$A$2:$A$82,A7,Analysis!$H$2:$H$82,"S")&gt;COUNTIFS(Analysis!$A$2:$A$82,A7,Analysis!$H$2:$H$82,"F")+COUNTIFS(Analysis!$A$2:$A$82,A7,Analysis!$H$2:$H$82,"N")+COUNTIFS(Analysis!$A$2:$A$82,A7,Analysis!$H$2:$H$82,"P"),"S","Retest"))))</f>
        <v>N</v>
      </c>
      <c r="E7" s="3" t="str" cm="1">
        <f t="array" ref="E7">IFERROR(
  IF(
    ROUND(AVERAGEIFS(Analysis!$B$2:$B$100, Analysis!$A$2:$A$100, Replicates!$A7, Analysis!$B$2:$B$100, "&lt;&gt;-1"), 1)="",
    "",
    ROUND(AVERAGEIFS(Analysis!$B$2:$B$100, Analysis!$A$2:$A$100, Replicates!$A7, Analysis!$B$2:$B$100, "&lt;&gt;-1"), 1) &amp;
    IF(
      ISNUMBER(
        ROUND(_xlfn.STDEV.S(IF((Analysis!$A$2:$A$100=Replicates!$A7) * (Analysis!$B$2:$B$100&lt;&gt;-1), Analysis!$B$2:$B$100, "")), 1)
      ),
      " +/- " &amp; ROUND(_xlfn.STDEV.S(IF((Analysis!$A$2:$A$100=Replicates!$A7) * (Analysis!$B$2:$B$100&lt;&gt;-1), Analysis!$B$2:$B$100, "")), 1),
      ""
    )
  ),
  ""
)</f>
        <v/>
      </c>
      <c r="F7" s="3" t="str" cm="1">
        <f t="array" ref="F7">IFERROR(
  IF(
    ROUND(AVERAGEIFS(Analysis!$C$2:$C$100, Analysis!$A$2:$A$100, Replicates!$A7, Analysis!$C$2:$C$100, "&lt;&gt;-1"), 1)="",
    "",
    ROUND(AVERAGEIFS(Analysis!$C$2:$C$100, Analysis!$A$2:$A$100, Replicates!$A7, Analysis!$C$2:$C$100, "&lt;&gt;-1"), 1) &amp;
    IF(
      ISNUMBER(
        ROUND(_xlfn.STDEV.S(IF((Analysis!$A$2:$A$100=Replicates!$A7) * (Analysis!$C$2:$C$100&lt;&gt;-1), Analysis!$C$2:$C$100, "")), 1)
      ),
      " +/- " &amp; ROUND(_xlfn.STDEV.S(IF((Analysis!$A$2:$A$100=Replicates!$A7) * (Analysis!$C$2:$C$100&lt;&gt;-1), Analysis!$C$2:$C$100, "")), 1),
      ""
    )
  ),
  ""
)</f>
        <v/>
      </c>
      <c r="G7" s="3" t="str" cm="1">
        <f t="array" ref="G7">IFERROR(
  IF(
    ROUND(AVERAGEIFS(Analysis!$D$2:$D$100, Analysis!$A$2:$A$100, Replicates!$A7, Analysis!$D$2:$D$100, "&lt;&gt;-1"), 1)="",
    "",
    ROUND(AVERAGEIFS(Analysis!$D$2:$D$100, Analysis!$A$2:$A$100, Replicates!$A7, Analysis!$D$2:$D$100, "&lt;&gt;-1"), 1) &amp;
    IF(
      ISNUMBER(
        ROUND(_xlfn.STDEV.S(IF((Analysis!$A$2:$A$100=Replicates!$A7) * (Analysis!$D$2:$D$100&lt;&gt;-1), Analysis!$D$2:$D$100, "")), 1)
      ),
      " +/- " &amp; ROUND(_xlfn.STDEV.S(IF((Analysis!$A$2:$A$100=Replicates!$A7) * (Analysis!$D$2:$D$100&lt;&gt;-1), Analysis!$D$2:$D$100, "")), 1),
      ""
    )
  ),
  ""
)</f>
        <v>21,2 +/- 0</v>
      </c>
      <c r="K7" s="4"/>
    </row>
    <row r="8" spans="1:11">
      <c r="A8" s="3">
        <f>Report!A22</f>
        <v>172</v>
      </c>
      <c r="B8" s="3" t="str" cm="1">
        <f t="array" ref="B8">_xlfn.TEXTJOIN(", ", TRUE, IF(Analysis!$A$2:$A$82=A8, Analysis!$H$2:$H$82, ""))</f>
        <v>N, N, N, N</v>
      </c>
      <c r="C8" s="3" t="str" cm="1">
        <f t="array" ref="C8">_xlfn.TEXTJOIN(", ", TRUE, IF(Analysis!$A$2:$A$82=A8, Analysis!$I$2:$I$82, ""))</f>
        <v>negative, negative, negative, negative</v>
      </c>
      <c r="D8" s="3" t="str">
        <f>IF(COUNTIFS(Analysis!$A$2:$A$82,A8,Analysis!$H$2:$H$82,"F")&gt;COUNTIFS(Analysis!$A$2:$A$82,A8,Analysis!$H$2:$H$82,"N")+COUNTIFS(Analysis!$A$2:$A$82,A8,Analysis!$H$2:$H$82,"P")+COUNTIFS(Analysis!$A$2:$A$82,A8,Analysis!$H$2:$H$82,"S"),"F",
IF(COUNTIFS(Analysis!$A$2:$A$82,A8,Analysis!$H$2:$H$82,"N")&gt;COUNTIFS(Analysis!$A$2:$A$82,A8,Analysis!$H$2:$H$82,"F")+COUNTIFS(Analysis!$A$2:$A$82,A8,Analysis!$H$2:$H$82,"P")+COUNTIFS(Analysis!$A$2:$A$82,A8,Analysis!$H$2:$H$82,"S"),"N",
IF(COUNTIFS(Analysis!$A$2:$A$82,A8,Analysis!$H$2:$H$82,"P")&gt;COUNTIFS(Analysis!$A$2:$A$82,A8,Analysis!$H$2:$H$82,"F")+COUNTIFS(Analysis!$A$2:$A$82,A8,Analysis!$H$2:$H$82,"N")+COUNTIFS(Analysis!$A$2:$A$82,A8,Analysis!$H$2:$H$82,"S"),"P",
IF(COUNTIFS(Analysis!$A$2:$A$82,A8,Analysis!$H$2:$H$82,"S")&gt;COUNTIFS(Analysis!$A$2:$A$82,A8,Analysis!$H$2:$H$82,"F")+COUNTIFS(Analysis!$A$2:$A$82,A8,Analysis!$H$2:$H$82,"N")+COUNTIFS(Analysis!$A$2:$A$82,A8,Analysis!$H$2:$H$82,"P"),"S","Retest"))))</f>
        <v>N</v>
      </c>
      <c r="E8" s="3" t="str" cm="1">
        <f t="array" ref="E8">IFERROR(
  IF(
    ROUND(AVERAGEIFS(Analysis!$B$2:$B$100, Analysis!$A$2:$A$100, Replicates!$A8, Analysis!$B$2:$B$100, "&lt;&gt;-1"), 1)="",
    "",
    ROUND(AVERAGEIFS(Analysis!$B$2:$B$100, Analysis!$A$2:$A$100, Replicates!$A8, Analysis!$B$2:$B$100, "&lt;&gt;-1"), 1) &amp;
    IF(
      ISNUMBER(
        ROUND(_xlfn.STDEV.S(IF((Analysis!$A$2:$A$100=Replicates!$A8) * (Analysis!$B$2:$B$100&lt;&gt;-1), Analysis!$B$2:$B$100, "")), 1)
      ),
      " +/- " &amp; ROUND(_xlfn.STDEV.S(IF((Analysis!$A$2:$A$100=Replicates!$A8) * (Analysis!$B$2:$B$100&lt;&gt;-1), Analysis!$B$2:$B$100, "")), 1),
      ""
    )
  ),
  ""
)</f>
        <v/>
      </c>
      <c r="F8" s="3" t="str" cm="1">
        <f t="array" ref="F8">IFERROR(
  IF(
    ROUND(AVERAGEIFS(Analysis!$C$2:$C$100, Analysis!$A$2:$A$100, Replicates!$A8, Analysis!$C$2:$C$100, "&lt;&gt;-1"), 1)="",
    "",
    ROUND(AVERAGEIFS(Analysis!$C$2:$C$100, Analysis!$A$2:$A$100, Replicates!$A8, Analysis!$C$2:$C$100, "&lt;&gt;-1"), 1) &amp;
    IF(
      ISNUMBER(
        ROUND(_xlfn.STDEV.S(IF((Analysis!$A$2:$A$100=Replicates!$A8) * (Analysis!$C$2:$C$100&lt;&gt;-1), Analysis!$C$2:$C$100, "")), 1)
      ),
      " +/- " &amp; ROUND(_xlfn.STDEV.S(IF((Analysis!$A$2:$A$100=Replicates!$A8) * (Analysis!$C$2:$C$100&lt;&gt;-1), Analysis!$C$2:$C$100, "")), 1),
      ""
    )
  ),
  ""
)</f>
        <v/>
      </c>
      <c r="G8" s="3" t="str" cm="1">
        <f t="array" ref="G8">IFERROR(
  IF(
    ROUND(AVERAGEIFS(Analysis!$D$2:$D$100, Analysis!$A$2:$A$100, Replicates!$A8, Analysis!$D$2:$D$100, "&lt;&gt;-1"), 1)="",
    "",
    ROUND(AVERAGEIFS(Analysis!$D$2:$D$100, Analysis!$A$2:$A$100, Replicates!$A8, Analysis!$D$2:$D$100, "&lt;&gt;-1"), 1) &amp;
    IF(
      ISNUMBER(
        ROUND(_xlfn.STDEV.S(IF((Analysis!$A$2:$A$100=Replicates!$A8) * (Analysis!$D$2:$D$100&lt;&gt;-1), Analysis!$D$2:$D$100, "")), 1)
      ),
      " +/- " &amp; ROUND(_xlfn.STDEV.S(IF((Analysis!$A$2:$A$100=Replicates!$A8) * (Analysis!$D$2:$D$100&lt;&gt;-1), Analysis!$D$2:$D$100, "")), 1),
      ""
    )
  ),
  ""
)</f>
        <v>20,6 +/- 0,1</v>
      </c>
    </row>
    <row r="9" spans="1:11">
      <c r="A9" s="3">
        <f>Report!A23</f>
        <v>173</v>
      </c>
      <c r="B9" s="3" t="str" cm="1">
        <f t="array" ref="B9">_xlfn.TEXTJOIN(", ", TRUE, IF(Analysis!$A$2:$A$82=A9, Analysis!$H$2:$H$82, ""))</f>
        <v>N, N, N, N</v>
      </c>
      <c r="C9" s="3" t="str" cm="1">
        <f t="array" ref="C9">_xlfn.TEXTJOIN(", ", TRUE, IF(Analysis!$A$2:$A$82=A9, Analysis!$I$2:$I$82, ""))</f>
        <v>negative, negative, negative, negative</v>
      </c>
      <c r="D9" s="3" t="str">
        <f>IF(COUNTIFS(Analysis!$A$2:$A$82,A9,Analysis!$H$2:$H$82,"F")&gt;COUNTIFS(Analysis!$A$2:$A$82,A9,Analysis!$H$2:$H$82,"N")+COUNTIFS(Analysis!$A$2:$A$82,A9,Analysis!$H$2:$H$82,"P")+COUNTIFS(Analysis!$A$2:$A$82,A9,Analysis!$H$2:$H$82,"S"),"F",
IF(COUNTIFS(Analysis!$A$2:$A$82,A9,Analysis!$H$2:$H$82,"N")&gt;COUNTIFS(Analysis!$A$2:$A$82,A9,Analysis!$H$2:$H$82,"F")+COUNTIFS(Analysis!$A$2:$A$82,A9,Analysis!$H$2:$H$82,"P")+COUNTIFS(Analysis!$A$2:$A$82,A9,Analysis!$H$2:$H$82,"S"),"N",
IF(COUNTIFS(Analysis!$A$2:$A$82,A9,Analysis!$H$2:$H$82,"P")&gt;COUNTIFS(Analysis!$A$2:$A$82,A9,Analysis!$H$2:$H$82,"F")+COUNTIFS(Analysis!$A$2:$A$82,A9,Analysis!$H$2:$H$82,"N")+COUNTIFS(Analysis!$A$2:$A$82,A9,Analysis!$H$2:$H$82,"S"),"P",
IF(COUNTIFS(Analysis!$A$2:$A$82,A9,Analysis!$H$2:$H$82,"S")&gt;COUNTIFS(Analysis!$A$2:$A$82,A9,Analysis!$H$2:$H$82,"F")+COUNTIFS(Analysis!$A$2:$A$82,A9,Analysis!$H$2:$H$82,"N")+COUNTIFS(Analysis!$A$2:$A$82,A9,Analysis!$H$2:$H$82,"P"),"S","Retest"))))</f>
        <v>N</v>
      </c>
      <c r="E9" s="3" t="str" cm="1">
        <f t="array" ref="E9">IFERROR(
  IF(
    ROUND(AVERAGEIFS(Analysis!$B$2:$B$100, Analysis!$A$2:$A$100, Replicates!$A9, Analysis!$B$2:$B$100, "&lt;&gt;-1"), 1)="",
    "",
    ROUND(AVERAGEIFS(Analysis!$B$2:$B$100, Analysis!$A$2:$A$100, Replicates!$A9, Analysis!$B$2:$B$100, "&lt;&gt;-1"), 1) &amp;
    IF(
      ISNUMBER(
        ROUND(_xlfn.STDEV.S(IF((Analysis!$A$2:$A$100=Replicates!$A9) * (Analysis!$B$2:$B$100&lt;&gt;-1), Analysis!$B$2:$B$100, "")), 1)
      ),
      " +/- " &amp; ROUND(_xlfn.STDEV.S(IF((Analysis!$A$2:$A$100=Replicates!$A9) * (Analysis!$B$2:$B$100&lt;&gt;-1), Analysis!$B$2:$B$100, "")), 1),
      ""
    )
  ),
  ""
)</f>
        <v/>
      </c>
      <c r="F9" s="3" t="str" cm="1">
        <f t="array" ref="F9">IFERROR(
  IF(
    ROUND(AVERAGEIFS(Analysis!$C$2:$C$100, Analysis!$A$2:$A$100, Replicates!$A9, Analysis!$C$2:$C$100, "&lt;&gt;-1"), 1)="",
    "",
    ROUND(AVERAGEIFS(Analysis!$C$2:$C$100, Analysis!$A$2:$A$100, Replicates!$A9, Analysis!$C$2:$C$100, "&lt;&gt;-1"), 1) &amp;
    IF(
      ISNUMBER(
        ROUND(_xlfn.STDEV.S(IF((Analysis!$A$2:$A$100=Replicates!$A9) * (Analysis!$C$2:$C$100&lt;&gt;-1), Analysis!$C$2:$C$100, "")), 1)
      ),
      " +/- " &amp; ROUND(_xlfn.STDEV.S(IF((Analysis!$A$2:$A$100=Replicates!$A9) * (Analysis!$C$2:$C$100&lt;&gt;-1), Analysis!$C$2:$C$100, "")), 1),
      ""
    )
  ),
  ""
)</f>
        <v/>
      </c>
      <c r="G9" s="3" t="str" cm="1">
        <f t="array" ref="G9">IFERROR(
  IF(
    ROUND(AVERAGEIFS(Analysis!$D$2:$D$100, Analysis!$A$2:$A$100, Replicates!$A9, Analysis!$D$2:$D$100, "&lt;&gt;-1"), 1)="",
    "",
    ROUND(AVERAGEIFS(Analysis!$D$2:$D$100, Analysis!$A$2:$A$100, Replicates!$A9, Analysis!$D$2:$D$100, "&lt;&gt;-1"), 1) &amp;
    IF(
      ISNUMBER(
        ROUND(_xlfn.STDEV.S(IF((Analysis!$A$2:$A$100=Replicates!$A9) * (Analysis!$D$2:$D$100&lt;&gt;-1), Analysis!$D$2:$D$100, "")), 1)
      ),
      " +/- " &amp; ROUND(_xlfn.STDEV.S(IF((Analysis!$A$2:$A$100=Replicates!$A9) * (Analysis!$D$2:$D$100&lt;&gt;-1), Analysis!$D$2:$D$100, "")), 1),
      ""
    )
  ),
  ""
)</f>
        <v>23,1 +/- 0</v>
      </c>
    </row>
    <row r="10" spans="1:11">
      <c r="A10" s="3">
        <f>Report!A24</f>
        <v>174</v>
      </c>
      <c r="B10" s="3" t="str" cm="1">
        <f t="array" ref="B10">_xlfn.TEXTJOIN(", ", TRUE, IF(Analysis!$A$2:$A$82=A10, Analysis!$H$2:$H$82, ""))</f>
        <v>N, N, N, N</v>
      </c>
      <c r="C10" s="3" t="str" cm="1">
        <f t="array" ref="C10">_xlfn.TEXTJOIN(", ", TRUE, IF(Analysis!$A$2:$A$82=A10, Analysis!$I$2:$I$82, ""))</f>
        <v>negative, negative, negative, negative</v>
      </c>
      <c r="D10" s="3" t="str">
        <f>IF(COUNTIFS(Analysis!$A$2:$A$82,A10,Analysis!$H$2:$H$82,"F")&gt;COUNTIFS(Analysis!$A$2:$A$82,A10,Analysis!$H$2:$H$82,"N")+COUNTIFS(Analysis!$A$2:$A$82,A10,Analysis!$H$2:$H$82,"P")+COUNTIFS(Analysis!$A$2:$A$82,A10,Analysis!$H$2:$H$82,"S"),"F",
IF(COUNTIFS(Analysis!$A$2:$A$82,A10,Analysis!$H$2:$H$82,"N")&gt;COUNTIFS(Analysis!$A$2:$A$82,A10,Analysis!$H$2:$H$82,"F")+COUNTIFS(Analysis!$A$2:$A$82,A10,Analysis!$H$2:$H$82,"P")+COUNTIFS(Analysis!$A$2:$A$82,A10,Analysis!$H$2:$H$82,"S"),"N",
IF(COUNTIFS(Analysis!$A$2:$A$82,A10,Analysis!$H$2:$H$82,"P")&gt;COUNTIFS(Analysis!$A$2:$A$82,A10,Analysis!$H$2:$H$82,"F")+COUNTIFS(Analysis!$A$2:$A$82,A10,Analysis!$H$2:$H$82,"N")+COUNTIFS(Analysis!$A$2:$A$82,A10,Analysis!$H$2:$H$82,"S"),"P",
IF(COUNTIFS(Analysis!$A$2:$A$82,A10,Analysis!$H$2:$H$82,"S")&gt;COUNTIFS(Analysis!$A$2:$A$82,A10,Analysis!$H$2:$H$82,"F")+COUNTIFS(Analysis!$A$2:$A$82,A10,Analysis!$H$2:$H$82,"N")+COUNTIFS(Analysis!$A$2:$A$82,A10,Analysis!$H$2:$H$82,"P"),"S","Retest"))))</f>
        <v>N</v>
      </c>
      <c r="E10" s="3" t="str" cm="1">
        <f t="array" ref="E10">IFERROR(
  IF(
    ROUND(AVERAGEIFS(Analysis!$B$2:$B$100, Analysis!$A$2:$A$100, Replicates!$A10, Analysis!$B$2:$B$100, "&lt;&gt;-1"), 1)="",
    "",
    ROUND(AVERAGEIFS(Analysis!$B$2:$B$100, Analysis!$A$2:$A$100, Replicates!$A10, Analysis!$B$2:$B$100, "&lt;&gt;-1"), 1) &amp;
    IF(
      ISNUMBER(
        ROUND(_xlfn.STDEV.S(IF((Analysis!$A$2:$A$100=Replicates!$A10) * (Analysis!$B$2:$B$100&lt;&gt;-1), Analysis!$B$2:$B$100, "")), 1)
      ),
      " +/- " &amp; ROUND(_xlfn.STDEV.S(IF((Analysis!$A$2:$A$100=Replicates!$A10) * (Analysis!$B$2:$B$100&lt;&gt;-1), Analysis!$B$2:$B$100, "")), 1),
      ""
    )
  ),
  ""
)</f>
        <v/>
      </c>
      <c r="F10" s="3" t="str" cm="1">
        <f t="array" ref="F10">IFERROR(
  IF(
    ROUND(AVERAGEIFS(Analysis!$C$2:$C$100, Analysis!$A$2:$A$100, Replicates!$A10, Analysis!$C$2:$C$100, "&lt;&gt;-1"), 1)="",
    "",
    ROUND(AVERAGEIFS(Analysis!$C$2:$C$100, Analysis!$A$2:$A$100, Replicates!$A10, Analysis!$C$2:$C$100, "&lt;&gt;-1"), 1) &amp;
    IF(
      ISNUMBER(
        ROUND(_xlfn.STDEV.S(IF((Analysis!$A$2:$A$100=Replicates!$A10) * (Analysis!$C$2:$C$100&lt;&gt;-1), Analysis!$C$2:$C$100, "")), 1)
      ),
      " +/- " &amp; ROUND(_xlfn.STDEV.S(IF((Analysis!$A$2:$A$100=Replicates!$A10) * (Analysis!$C$2:$C$100&lt;&gt;-1), Analysis!$C$2:$C$100, "")), 1),
      ""
    )
  ),
  ""
)</f>
        <v/>
      </c>
      <c r="G10" s="3" t="str" cm="1">
        <f t="array" ref="G10">IFERROR(
  IF(
    ROUND(AVERAGEIFS(Analysis!$D$2:$D$100, Analysis!$A$2:$A$100, Replicates!$A10, Analysis!$D$2:$D$100, "&lt;&gt;-1"), 1)="",
    "",
    ROUND(AVERAGEIFS(Analysis!$D$2:$D$100, Analysis!$A$2:$A$100, Replicates!$A10, Analysis!$D$2:$D$100, "&lt;&gt;-1"), 1) &amp;
    IF(
      ISNUMBER(
        ROUND(_xlfn.STDEV.S(IF((Analysis!$A$2:$A$100=Replicates!$A10) * (Analysis!$D$2:$D$100&lt;&gt;-1), Analysis!$D$2:$D$100, "")), 1)
      ),
      " +/- " &amp; ROUND(_xlfn.STDEV.S(IF((Analysis!$A$2:$A$100=Replicates!$A10) * (Analysis!$D$2:$D$100&lt;&gt;-1), Analysis!$D$2:$D$100, "")), 1),
      ""
    )
  ),
  ""
)</f>
        <v>21,3 +/- 0</v>
      </c>
    </row>
    <row r="11" spans="1:11">
      <c r="A11" s="3">
        <f>Report!A25</f>
        <v>175</v>
      </c>
      <c r="B11" s="3" t="str" cm="1">
        <f t="array" ref="B11">_xlfn.TEXTJOIN(", ", TRUE, IF(Analysis!$A$2:$A$82=A11, Analysis!$H$2:$H$82, ""))</f>
        <v>N, N, N, N</v>
      </c>
      <c r="C11" s="3" t="str" cm="1">
        <f t="array" ref="C11">_xlfn.TEXTJOIN(", ", TRUE, IF(Analysis!$A$2:$A$82=A11, Analysis!$I$2:$I$82, ""))</f>
        <v>negative, negative, negative, negative</v>
      </c>
      <c r="D11" s="3" t="str">
        <f>IF(COUNTIFS(Analysis!$A$2:$A$82,A11,Analysis!$H$2:$H$82,"F")&gt;COUNTIFS(Analysis!$A$2:$A$82,A11,Analysis!$H$2:$H$82,"N")+COUNTIFS(Analysis!$A$2:$A$82,A11,Analysis!$H$2:$H$82,"P")+COUNTIFS(Analysis!$A$2:$A$82,A11,Analysis!$H$2:$H$82,"S"),"F",
IF(COUNTIFS(Analysis!$A$2:$A$82,A11,Analysis!$H$2:$H$82,"N")&gt;COUNTIFS(Analysis!$A$2:$A$82,A11,Analysis!$H$2:$H$82,"F")+COUNTIFS(Analysis!$A$2:$A$82,A11,Analysis!$H$2:$H$82,"P")+COUNTIFS(Analysis!$A$2:$A$82,A11,Analysis!$H$2:$H$82,"S"),"N",
IF(COUNTIFS(Analysis!$A$2:$A$82,A11,Analysis!$H$2:$H$82,"P")&gt;COUNTIFS(Analysis!$A$2:$A$82,A11,Analysis!$H$2:$H$82,"F")+COUNTIFS(Analysis!$A$2:$A$82,A11,Analysis!$H$2:$H$82,"N")+COUNTIFS(Analysis!$A$2:$A$82,A11,Analysis!$H$2:$H$82,"S"),"P",
IF(COUNTIFS(Analysis!$A$2:$A$82,A11,Analysis!$H$2:$H$82,"S")&gt;COUNTIFS(Analysis!$A$2:$A$82,A11,Analysis!$H$2:$H$82,"F")+COUNTIFS(Analysis!$A$2:$A$82,A11,Analysis!$H$2:$H$82,"N")+COUNTIFS(Analysis!$A$2:$A$82,A11,Analysis!$H$2:$H$82,"P"),"S","Retest"))))</f>
        <v>N</v>
      </c>
      <c r="E11" s="3" t="str" cm="1">
        <f t="array" ref="E11">IFERROR(
  IF(
    ROUND(AVERAGEIFS(Analysis!$B$2:$B$100, Analysis!$A$2:$A$100, Replicates!$A11, Analysis!$B$2:$B$100, "&lt;&gt;-1"), 1)="",
    "",
    ROUND(AVERAGEIFS(Analysis!$B$2:$B$100, Analysis!$A$2:$A$100, Replicates!$A11, Analysis!$B$2:$B$100, "&lt;&gt;-1"), 1) &amp;
    IF(
      ISNUMBER(
        ROUND(_xlfn.STDEV.S(IF((Analysis!$A$2:$A$100=Replicates!$A11) * (Analysis!$B$2:$B$100&lt;&gt;-1), Analysis!$B$2:$B$100, "")), 1)
      ),
      " +/- " &amp; ROUND(_xlfn.STDEV.S(IF((Analysis!$A$2:$A$100=Replicates!$A11) * (Analysis!$B$2:$B$100&lt;&gt;-1), Analysis!$B$2:$B$100, "")), 1),
      ""
    )
  ),
  ""
)</f>
        <v/>
      </c>
      <c r="F11" s="3" t="str" cm="1">
        <f t="array" ref="F11">IFERROR(
  IF(
    ROUND(AVERAGEIFS(Analysis!$C$2:$C$100, Analysis!$A$2:$A$100, Replicates!$A11, Analysis!$C$2:$C$100, "&lt;&gt;-1"), 1)="",
    "",
    ROUND(AVERAGEIFS(Analysis!$C$2:$C$100, Analysis!$A$2:$A$100, Replicates!$A11, Analysis!$C$2:$C$100, "&lt;&gt;-1"), 1) &amp;
    IF(
      ISNUMBER(
        ROUND(_xlfn.STDEV.S(IF((Analysis!$A$2:$A$100=Replicates!$A11) * (Analysis!$C$2:$C$100&lt;&gt;-1), Analysis!$C$2:$C$100, "")), 1)
      ),
      " +/- " &amp; ROUND(_xlfn.STDEV.S(IF((Analysis!$A$2:$A$100=Replicates!$A11) * (Analysis!$C$2:$C$100&lt;&gt;-1), Analysis!$C$2:$C$100, "")), 1),
      ""
    )
  ),
  ""
)</f>
        <v/>
      </c>
      <c r="G11" s="3" t="str" cm="1">
        <f t="array" ref="G11">IFERROR(
  IF(
    ROUND(AVERAGEIFS(Analysis!$D$2:$D$100, Analysis!$A$2:$A$100, Replicates!$A11, Analysis!$D$2:$D$100, "&lt;&gt;-1"), 1)="",
    "",
    ROUND(AVERAGEIFS(Analysis!$D$2:$D$100, Analysis!$A$2:$A$100, Replicates!$A11, Analysis!$D$2:$D$100, "&lt;&gt;-1"), 1) &amp;
    IF(
      ISNUMBER(
        ROUND(_xlfn.STDEV.S(IF((Analysis!$A$2:$A$100=Replicates!$A11) * (Analysis!$D$2:$D$100&lt;&gt;-1), Analysis!$D$2:$D$100, "")), 1)
      ),
      " +/- " &amp; ROUND(_xlfn.STDEV.S(IF((Analysis!$A$2:$A$100=Replicates!$A11) * (Analysis!$D$2:$D$100&lt;&gt;-1), Analysis!$D$2:$D$100, "")), 1),
      ""
    )
  ),
  ""
)</f>
        <v>23,3 +/- 0,1</v>
      </c>
    </row>
    <row r="12" spans="1:11">
      <c r="A12" s="3" t="str">
        <f>Report!A26</f>
        <v>CP</v>
      </c>
      <c r="B12" s="3" t="str" cm="1">
        <f t="array" ref="B12">_xlfn.TEXTJOIN(", ", TRUE, IF(Analysis!$A$2:$A$82=A12, Analysis!$H$2:$H$82, ""))</f>
        <v>OK, OK, OK, OK</v>
      </c>
      <c r="C12" s="3" t="str" cm="1">
        <f t="array" ref="C12">_xlfn.TEXTJOIN(", ", TRUE, IF(Analysis!$A$2:$A$82=A12, Analysis!$I$2:$I$82, ""))</f>
        <v>CP3 works, CP3 works, CP3 works, CP3 works</v>
      </c>
      <c r="D12" s="3" t="str">
        <f>IF(COUNTIFS(Analysis!$A$2:$A$82,A12,Analysis!$H$2:$H$82,"F")&gt;COUNTIFS(Analysis!$A$2:$A$82,A12,Analysis!$H$2:$H$82,"OK"),"F",IF(COUNTIFS(Analysis!$A$2:$A$82,A12,Analysis!$H$2:$H$82,"OK")&gt;COUNTIFS(Analysis!$A$2:$A$82,A12,Analysis!$H$2:$H$82,"F"),"OK","Tie"))</f>
        <v>OK</v>
      </c>
      <c r="E12" s="3" t="str" cm="1">
        <f t="array" ref="E12">IFERROR(
  IF(
    ROUND(AVERAGEIFS(Analysis!$B$2:$B$100, Analysis!$A$2:$A$100, Replicates!$A12, Analysis!$B$2:$B$100, "&lt;&gt;-1"), 1)="",
    "",
    ROUND(AVERAGEIFS(Analysis!$B$2:$B$100, Analysis!$A$2:$A$100, Replicates!$A12, Analysis!$B$2:$B$100, "&lt;&gt;-1"), 1) &amp;
    IF(
      ISNUMBER(
        ROUND(_xlfn.STDEV.S(IF((Analysis!$A$2:$A$100=Replicates!$A12) * (Analysis!$B$2:$B$100&lt;&gt;-1), Analysis!$B$2:$B$100, "")), 1)
      ),
      " +/- " &amp; ROUND(_xlfn.STDEV.S(IF((Analysis!$A$2:$A$100=Replicates!$A12) * (Analysis!$B$2:$B$100&lt;&gt;-1), Analysis!$B$2:$B$100, "")), 1),
      ""
    )
  ),
  ""
)</f>
        <v>23,3 +/- 0,5</v>
      </c>
      <c r="F12" s="3" t="str" cm="1">
        <f t="array" ref="F12">IFERROR(
  IF(
    ROUND(AVERAGEIFS(Analysis!$C$2:$C$100, Analysis!$A$2:$A$100, Replicates!$A12, Analysis!$C$2:$C$100, "&lt;&gt;-1"), 1)="",
    "",
    ROUND(AVERAGEIFS(Analysis!$C$2:$C$100, Analysis!$A$2:$A$100, Replicates!$A12, Analysis!$C$2:$C$100, "&lt;&gt;-1"), 1) &amp;
    IF(
      ISNUMBER(
        ROUND(_xlfn.STDEV.S(IF((Analysis!$A$2:$A$100=Replicates!$A12) * (Analysis!$C$2:$C$100&lt;&gt;-1), Analysis!$C$2:$C$100, "")), 1)
      ),
      " +/- " &amp; ROUND(_xlfn.STDEV.S(IF((Analysis!$A$2:$A$100=Replicates!$A12) * (Analysis!$C$2:$C$100&lt;&gt;-1), Analysis!$C$2:$C$100, "")), 1),
      ""
    )
  ),
  ""
)</f>
        <v>21,3 +/- 0,1</v>
      </c>
      <c r="G12" s="3" t="str" cm="1">
        <f t="array" ref="G12">IFERROR(
  IF(
    ROUND(AVERAGEIFS(Analysis!$D$2:$D$100, Analysis!$A$2:$A$100, Replicates!$A12, Analysis!$D$2:$D$100, "&lt;&gt;-1"), 1)="",
    "",
    ROUND(AVERAGEIFS(Analysis!$D$2:$D$100, Analysis!$A$2:$A$100, Replicates!$A12, Analysis!$D$2:$D$100, "&lt;&gt;-1"), 1) &amp;
    IF(
      ISNUMBER(
        ROUND(_xlfn.STDEV.S(IF((Analysis!$A$2:$A$100=Replicates!$A12) * (Analysis!$D$2:$D$100&lt;&gt;-1), Analysis!$D$2:$D$100, "")), 1)
      ),
      " +/- " &amp; ROUND(_xlfn.STDEV.S(IF((Analysis!$A$2:$A$100=Replicates!$A12) * (Analysis!$D$2:$D$100&lt;&gt;-1), Analysis!$D$2:$D$100, "")), 1),
      ""
    )
  ),
  ""
)</f>
        <v>34 +/- 0,8</v>
      </c>
    </row>
    <row r="13" spans="1:11">
      <c r="A13" s="3" t="str">
        <f>Report!A27</f>
        <v>CN</v>
      </c>
      <c r="B13" s="3" t="str" cm="1">
        <f t="array" ref="B13">_xlfn.TEXTJOIN(", ", TRUE, IF(Analysis!$A$2:$A$82=A13, Analysis!$H$2:$H$82, ""))</f>
        <v>F, F, F, F</v>
      </c>
      <c r="C13" s="3" t="str" cm="1">
        <f t="array" ref="C13">_xlfn.TEXTJOIN(", ", TRUE, IF(Analysis!$A$2:$A$82=A13, Analysis!$I$2:$I$82, ""))</f>
        <v>RNAseP, RNAseP, RNAseP, RNAseP</v>
      </c>
      <c r="D13" s="3" t="str">
        <f>IF(COUNTIFS(Analysis!$A$2:$A$82,A13,Analysis!$H$2:$H$82,"F")&gt;COUNTIFS(Analysis!$A$2:$A$82,A13,Analysis!$H$2:$H$82,"OK"),"F",IF(COUNTIFS(Analysis!$A$2:$A$82,A13,Analysis!$H$2:$H$82,"OK")&gt;COUNTIFS(Analysis!$A$2:$A$82,A13,Analysis!$H$2:$H$82,"F"),"OK","Tie"))</f>
        <v>F</v>
      </c>
      <c r="E13" s="3" t="str" cm="1">
        <f t="array" ref="E13">IFERROR(
  IF(
    ROUND(AVERAGEIFS(Analysis!$B$2:$B$100, Analysis!$A$2:$A$100, Replicates!$A13, Analysis!$B$2:$B$100, "&lt;&gt;-1"), 1)="",
    "",
    ROUND(AVERAGEIFS(Analysis!$B$2:$B$100, Analysis!$A$2:$A$100, Replicates!$A13, Analysis!$B$2:$B$100, "&lt;&gt;-1"), 1) &amp;
    IF(
      ISNUMBER(
        ROUND(_xlfn.STDEV.S(IF((Analysis!$A$2:$A$100=Replicates!$A13) * (Analysis!$B$2:$B$100&lt;&gt;-1), Analysis!$B$2:$B$100, "")), 1)
      ),
      " +/- " &amp; ROUND(_xlfn.STDEV.S(IF((Analysis!$A$2:$A$100=Replicates!$A13) * (Analysis!$B$2:$B$100&lt;&gt;-1), Analysis!$B$2:$B$100, "")), 1),
      ""
    )
  ),
  ""
)</f>
        <v/>
      </c>
      <c r="F13" s="3" t="str" cm="1">
        <f t="array" ref="F13">IFERROR(
  IF(
    ROUND(AVERAGEIFS(Analysis!$C$2:$C$100, Analysis!$A$2:$A$100, Replicates!$A13, Analysis!$C$2:$C$100, "&lt;&gt;-1"), 1)="",
    "",
    ROUND(AVERAGEIFS(Analysis!$C$2:$C$100, Analysis!$A$2:$A$100, Replicates!$A13, Analysis!$C$2:$C$100, "&lt;&gt;-1"), 1) &amp;
    IF(
      ISNUMBER(
        ROUND(_xlfn.STDEV.S(IF((Analysis!$A$2:$A$100=Replicates!$A13) * (Analysis!$C$2:$C$100&lt;&gt;-1), Analysis!$C$2:$C$100, "")), 1)
      ),
      " +/- " &amp; ROUND(_xlfn.STDEV.S(IF((Analysis!$A$2:$A$100=Replicates!$A13) * (Analysis!$C$2:$C$100&lt;&gt;-1), Analysis!$C$2:$C$100, "")), 1),
      ""
    )
  ),
  ""
)</f>
        <v/>
      </c>
      <c r="G13" s="3" t="str" cm="1">
        <f t="array" ref="G13">IFERROR(
  IF(
    ROUND(AVERAGEIFS(Analysis!$D$2:$D$100, Analysis!$A$2:$A$100, Replicates!$A13, Analysis!$D$2:$D$100, "&lt;&gt;-1"), 1)="",
    "",
    ROUND(AVERAGEIFS(Analysis!$D$2:$D$100, Analysis!$A$2:$A$100, Replicates!$A13, Analysis!$D$2:$D$100, "&lt;&gt;-1"), 1) &amp;
    IF(
      ISNUMBER(
        ROUND(_xlfn.STDEV.S(IF((Analysis!$A$2:$A$100=Replicates!$A13) * (Analysis!$D$2:$D$100&lt;&gt;-1), Analysis!$D$2:$D$100, "")), 1)
      ),
      " +/- " &amp; ROUND(_xlfn.STDEV.S(IF((Analysis!$A$2:$A$100=Replicates!$A13) * (Analysis!$D$2:$D$100&lt;&gt;-1), Analysis!$D$2:$D$100, "")), 1),
      ""
    )
  ),
  ""
)</f>
        <v>36,8 +/- 0,5</v>
      </c>
    </row>
    <row r="14" spans="1:11">
      <c r="B14" s="3"/>
      <c r="C14" s="3"/>
      <c r="D14" s="3"/>
      <c r="E14" t="str" cm="1">
        <f t="array" ref="E14">IFERROR(
  IF(
    ROUND(AVERAGEIFS(Analysis!$B$2:$B$100, Analysis!$A$2:$A$100, Replicates!$A14, Analysis!$B$2:$B$100, "&lt;&gt;-1"), 1)="",
    "",
    ROUND(AVERAGEIFS(Analysis!$B$2:$B$100, Analysis!$A$2:$A$100, Replicates!$A14, Analysis!$B$2:$B$100, "&lt;&gt;-1"), 1) &amp;
    IF(
      ISNUMBER(
        ROUND(_xlfn.STDEV.S(IF((Analysis!$A$2:$A$100=Replicates!$A14) * (Analysis!$B$2:$B$100&lt;&gt;-1), Analysis!$B$2:$B$100, "")), 1)
      ),
      " +/- " &amp; ROUND(_xlfn.STDEV.S(IF((Analysis!$A$2:$A$100=Replicates!$A14) * (Analysis!$B$2:$B$100&lt;&gt;-1), Analysis!$B$2:$B$100, "")), 1),
      ""
    )
  ),
  ""
)</f>
        <v/>
      </c>
      <c r="F14" t="str" cm="1">
        <f t="array" ref="F14">IFERROR(
  IF(
    ROUND(AVERAGEIFS(Analysis!$C$2:$C$100, Analysis!$A$2:$A$100, Replicates!$A14, Analysis!$C$2:$C$100, "&lt;&gt;-1"), 1)="",
    "",
    ROUND(AVERAGEIFS(Analysis!$C$2:$C$100, Analysis!$A$2:$A$100, Replicates!$A14, Analysis!$C$2:$C$100, "&lt;&gt;-1"), 1) &amp;
    IF(
      ISNUMBER(
        ROUND(_xlfn.STDEV.S(IF((Analysis!$A$2:$A$100=Replicates!$A14) * (Analysis!$C$2:$C$100&lt;&gt;-1), Analysis!$C$2:$C$100, "")), 1)
      ),
      " +/- " &amp; ROUND(_xlfn.STDEV.S(IF((Analysis!$A$2:$A$100=Replicates!$A14) * (Analysis!$C$2:$C$100&lt;&gt;-1), Analysis!$C$2:$C$100, "")), 1),
      ""
    )
  ),
  ""
)</f>
        <v/>
      </c>
      <c r="G14" t="str" cm="1">
        <f t="array" ref="G14">IFERROR(
  IF(
    ROUND(AVERAGEIFS(Analysis!$D$2:$D$100, Analysis!$A$2:$A$100, Replicates!$A14, Analysis!$D$2:$D$100, "&lt;&gt;-1"), 1)="",
    "",
    ROUND(AVERAGEIFS(Analysis!$D$2:$D$100, Analysis!$A$2:$A$100, Replicates!$A14, Analysis!$D$2:$D$100, "&lt;&gt;-1"), 1) &amp;
    IF(
      ISNUMBER(
        ROUND(_xlfn.STDEV.S(IF((Analysis!$A$2:$A$100=Replicates!$A14) * (Analysis!$D$2:$D$100&lt;&gt;-1), Analysis!$D$2:$D$100, "")), 1)
      ),
      " +/- " &amp; ROUND(_xlfn.STDEV.S(IF((Analysis!$A$2:$A$100=Replicates!$A14) * (Analysis!$D$2:$D$100&lt;&gt;-1), Analysis!$D$2:$D$100, "")), 1),
      ""
    )
  ),
  ""
)</f>
        <v/>
      </c>
    </row>
    <row r="15" spans="1:11">
      <c r="B15" s="3"/>
      <c r="C15" s="3"/>
      <c r="D15" s="3"/>
      <c r="E15" t="str" cm="1">
        <f t="array" ref="E15">IFERROR(IF(ROUND(AVERAGEIFS(Analysis!$B$2:$B$100, Analysis!$A$2:$A$100, $A16, Analysis!$B$2:$B$100, "&lt;&gt;-1"), 1)="", "", ROUND(AVERAGEIFS(Analysis!$B$2:$B$100, Analysis!$A$2:$A$100, $A16, Analysis!$B$2:$B$100, "&lt;&gt;-1"), 1) &amp; IF(ISNUMBER(ROUND(_xlfn.STDEV.S(IF((Analysis!$A$2:$A$100=$A16) * (Analysis!$B$2:$B$100&lt;&gt;-1), Analysis!$B$2:$B$100, "")), 1)), " +/- " &amp; ROUND(_xlfn.STDEV.S(IF((Analysis!$A$2:$A$100=$A16) * (Analysis!$B$2:$B$100&lt;&gt;-1), Analysis!$B$2:$B$100, "")), 1), "")), "")</f>
        <v/>
      </c>
      <c r="G15" t="str" cm="1">
        <f t="array" ref="G15">IFERROR(
  IF(
    ROUND(AVERAGEIFS(Analysis!$D$2:$D$100, Analysis!$A$2:$A$100, Replicates!$A15, Analysis!$D$2:$D$100, "&lt;&gt;-1"), 1)="",
    "",
    ROUND(AVERAGEIFS(Analysis!$D$2:$D$100, Analysis!$A$2:$A$100, Replicates!$A15, Analysis!$D$2:$D$100, "&lt;&gt;-1"), 1) &amp;
    IF(
      ISNUMBER(
        ROUND(_xlfn.STDEV.S(IF((Analysis!$A$2:$A$100=Replicates!$A15) * (Analysis!$D$2:$D$100&lt;&gt;-1), Analysis!$D$2:$D$100, "")), 1)
      ),
      " +/- " &amp; ROUND(_xlfn.STDEV.S(IF((Analysis!$A$2:$A$100=Replicates!$A15) * (Analysis!$D$2:$D$100&lt;&gt;-1), Analysis!$D$2:$D$100, "")), 1),
      ""
    )
  ),
  ""
)</f>
        <v/>
      </c>
    </row>
    <row r="16" spans="1:11">
      <c r="B16" s="3"/>
      <c r="C16" s="3"/>
      <c r="D16" s="3"/>
    </row>
    <row r="17" spans="2:4">
      <c r="B17" s="3"/>
      <c r="C17" s="3"/>
      <c r="D17" s="3"/>
    </row>
    <row r="18" spans="2:4">
      <c r="B18" s="3"/>
      <c r="C18" s="3"/>
      <c r="D18" s="3"/>
    </row>
    <row r="19" spans="2:4">
      <c r="B19" s="3"/>
      <c r="C19" s="3"/>
      <c r="D19" s="3"/>
    </row>
    <row r="20" spans="2:4">
      <c r="B20" s="3"/>
      <c r="C20" s="3"/>
      <c r="D20" s="3"/>
    </row>
    <row r="21" spans="2:4">
      <c r="B21" s="3"/>
      <c r="C21" s="3"/>
      <c r="D21" s="3"/>
    </row>
    <row r="22" spans="2:4">
      <c r="B22" s="3"/>
      <c r="C22" s="3"/>
      <c r="D22" s="3"/>
    </row>
    <row r="23" spans="2:4">
      <c r="B23" s="3"/>
      <c r="C23" s="3"/>
      <c r="D23" s="3"/>
    </row>
    <row r="24" spans="2:4">
      <c r="B24" s="3"/>
      <c r="C24" s="3"/>
      <c r="D24" s="3"/>
    </row>
    <row r="25" spans="2:4">
      <c r="B25" s="3"/>
      <c r="C25" s="3"/>
      <c r="D25" s="3"/>
    </row>
    <row r="26" spans="2:4">
      <c r="B26" s="3"/>
      <c r="C26" s="3"/>
      <c r="D26" s="3"/>
    </row>
    <row r="27" spans="2:4">
      <c r="B27" s="3"/>
      <c r="C27" s="3"/>
      <c r="D27" s="3"/>
    </row>
    <row r="28" spans="2:4">
      <c r="B28" s="3"/>
      <c r="C28" s="3"/>
      <c r="D28" s="3"/>
    </row>
    <row r="29" spans="2:4">
      <c r="B29" s="3"/>
      <c r="C29" s="3"/>
      <c r="D29" s="3"/>
    </row>
    <row r="30" spans="2:4">
      <c r="B30" s="3"/>
      <c r="C30" s="3"/>
      <c r="D30" s="3"/>
    </row>
    <row r="31" spans="2:4">
      <c r="B31" s="3"/>
      <c r="C31" s="3"/>
      <c r="D31" s="3"/>
    </row>
    <row r="32" spans="2:4">
      <c r="B32" s="3"/>
      <c r="C32" s="3"/>
      <c r="D32" s="3"/>
    </row>
    <row r="33" spans="2:4">
      <c r="B33" s="3"/>
      <c r="C33" s="3"/>
      <c r="D33" s="3"/>
    </row>
    <row r="34" spans="2:4">
      <c r="B34" s="3"/>
      <c r="C34" s="3"/>
      <c r="D34" s="3"/>
    </row>
    <row r="35" spans="2:4">
      <c r="B35" s="3"/>
      <c r="C35" s="3"/>
      <c r="D35" s="3"/>
    </row>
    <row r="36" spans="2:4">
      <c r="B36" s="3"/>
      <c r="C36" s="3"/>
      <c r="D36" s="3"/>
    </row>
    <row r="37" spans="2:4">
      <c r="B37" s="3"/>
      <c r="C37" s="3"/>
      <c r="D37" s="3"/>
    </row>
    <row r="38" spans="2:4">
      <c r="B38" s="3"/>
      <c r="C38" s="3"/>
      <c r="D38" s="3"/>
    </row>
    <row r="39" spans="2:4">
      <c r="B39" s="3"/>
      <c r="C39" s="3"/>
      <c r="D39" s="3"/>
    </row>
    <row r="40" spans="2:4">
      <c r="B40" s="3"/>
      <c r="C40" s="3"/>
      <c r="D40" s="3"/>
    </row>
    <row r="41" spans="2:4">
      <c r="B41" s="3"/>
      <c r="C41" s="3"/>
      <c r="D41" s="3"/>
    </row>
    <row r="42" spans="2:4">
      <c r="B42" s="3"/>
      <c r="C42" s="3"/>
      <c r="D42" s="3"/>
    </row>
    <row r="43" spans="2:4">
      <c r="B43" s="3"/>
      <c r="C43" s="3"/>
      <c r="D43" s="3"/>
    </row>
    <row r="44" spans="2:4">
      <c r="B44" s="3"/>
      <c r="C44" s="3"/>
      <c r="D44" s="3"/>
    </row>
  </sheetData>
  <sheetProtection algorithmName="SHA-512" hashValue="sXIMRAGygge6CODwQc/Y9BGBxd7ywMRXNBVnlSnyq006THdtIreWkPy1eAJ7GJXb6D05VDlTC+tPjtbobJCS7g==" saltValue="fIT1776/xP379xwY+fN4Dg==" spinCount="100000" sheet="1" objects="1" scenarios="1"/>
  <conditionalFormatting sqref="D1:D13">
    <cfRule type="cellIs" dxfId="2" priority="1" operator="equal">
      <formula>"OK"</formula>
    </cfRule>
    <cfRule type="cellIs" dxfId="1" priority="2" operator="equal">
      <formula>"N"</formula>
    </cfRule>
    <cfRule type="cellIs" dxfId="0" priority="3" operator="equal">
      <formula>"C"</formula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Uploaded xmlns="974e1998-2087-4290-81d3-cf83f1cc5cbf">2025-10-01T10:51:52+00:00</Uploaded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4" ma:contentTypeDescription="Een nieuw document maken." ma:contentTypeScope="" ma:versionID="9259fe1b952dc853dcaf14f7078ccc22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11627f76d2a82a971f29bd5674bd7693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F8DD51F-7AFC-4F02-9697-54F65716A4D7}"/>
</file>

<file path=customXml/itemProps2.xml><?xml version="1.0" encoding="utf-8"?>
<ds:datastoreItem xmlns:ds="http://schemas.openxmlformats.org/officeDocument/2006/customXml" ds:itemID="{FF4206FD-5464-4250-A96A-C1CB6C6420B3}"/>
</file>

<file path=customXml/itemProps3.xml><?xml version="1.0" encoding="utf-8"?>
<ds:datastoreItem xmlns:ds="http://schemas.openxmlformats.org/officeDocument/2006/customXml" ds:itemID="{C0AD2516-F998-4A01-947A-7203F5D8CC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Nick Van Reet</cp:lastModifiedBy>
  <cp:revision/>
  <dcterms:created xsi:type="dcterms:W3CDTF">2024-04-13T12:12:20Z</dcterms:created>
  <dcterms:modified xsi:type="dcterms:W3CDTF">2025-10-08T14:29:42Z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</Properties>
</file>