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6 - iELISA/0602 - Résultats iELISA/"/>
    </mc:Choice>
  </mc:AlternateContent>
  <xr:revisionPtr revIDLastSave="2" documentId="13_ncr:1_{5A6C2B4E-872C-4090-AE51-9B256175934F}" xr6:coauthVersionLast="47" xr6:coauthVersionMax="47" xr10:uidLastSave="{3185D2F3-13EB-485A-A177-3CD989D698D1}"/>
  <bookViews>
    <workbookView xWindow="-108" yWindow="-108" windowWidth="23256" windowHeight="13896" firstSheet="1" activeTab="1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C7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D14" i="2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3" i="2" l="1"/>
  <c r="H48" i="2"/>
  <c r="H38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<sst xmlns="http://schemas.openxmlformats.org/spreadsheetml/2006/main" count="153" uniqueCount="92">
  <si>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</si>
  <si>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</si>
  <si>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</si>
  <si>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</si>
  <si>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</si>
  <si>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</si>
  <si>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</si>
  <si>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</si>
  <si>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</si>
  <si>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</si>
  <si>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</si>
  <si>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</si>
  <si>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</si>
  <si>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</si>
  <si>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</si>
  <si>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</si>
  <si>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</si>
  <si>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</si>
  <si>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</si>
  <si>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</si>
  <si>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</si>
  <si>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</si>
  <si>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</si>
  <si>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</si>
  <si>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</si>
  <si>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</si>
  <si>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</si>
  <si>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</si>
  <si>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</si>
  <si>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</si>
  <si>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</si>
  <si>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</si>
  <si>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</si>
  <si>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</si>
  <si>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</si>
  <si>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</si>
  <si>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</si>
  <si>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</si>
  <si>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</si>
  <si>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</si>
  <si>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</si>
  <si>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</si>
  <si>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</si>
  <si>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</si>
  <si>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</si>
  <si>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</si>
  <si>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</si>
  <si>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</si>
  <si>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</si>
  <si>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</si>
  <si>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</si>
  <si>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</si>
  <si>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</si>
  <si>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</si>
  <si>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</si>
  <si>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</si>
  <si>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</si>
  <si>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</si>
  <si>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</si>
  <si>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</si>
  <si>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</si>
  <si>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</si>
  <si>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</si>
  <si>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</si>
  <si>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</si>
  <si>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</si>
  <si>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</si>
  <si>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</si>
  <si>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</si>
  <si>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</si>
  <si>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</si>
  <si>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</si>
  <si>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</si>
  <si>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</si>
  <si>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</si>
  <si>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</si>
  <si>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</si>
  <si>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</si>
  <si>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</si>
  <si>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</si>
  <si>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</si>
  <si>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</si>
  <si>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</si>
  <si>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HM,DK,LC</t>
  </si>
  <si>
    <t>N° du lot du kit</t>
  </si>
  <si>
    <t>Etude/origine</t>
  </si>
  <si>
    <t>DP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</si>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</sst>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B58" sqref="B58"/>
    </sheetView>
  </sheetViews>
  <sheetFormatPr defaultColWidth="9.109375" defaultRowHeight="14.4" x14ac:dyDescent="0.3"/>
  <cols>
    <col min="1" max="1" width="20.33203125" style="11" customWidth="1"/>
    <col min="2" max="2" width="13.88671875" style="11" customWidth="1"/>
    <col min="3" max="3" width="22.88671875" style="11" customWidth="1"/>
    <col min="4" max="4" width="54.5546875" style="11" customWidth="1"/>
    <col min="5" max="5" width="8.6640625" style="11"/>
  </cols>
  <sheetData>
    <row r="1" spans="1:5" ht="17.399999999999999" x14ac:dyDescent="0.3">
      <c r="A1" s="55" t="s">
        <v>0</v>
      </c>
      <c r="B1" s="55"/>
      <c r="C1" s="55"/>
      <c r="D1" s="55"/>
    </row>
    <row r="3" spans="1:5" ht="17.399999999999999" x14ac:dyDescent="0.3">
      <c r="A3" s="12" t="s">
        <v>1</v>
      </c>
      <c r="B3" s="12"/>
    </row>
    <row r="6" spans="1:5" x14ac:dyDescent="0.3">
      <c r="A6" s="16" t="s">
        <v>2</v>
      </c>
      <c r="B6" s="16"/>
      <c r="C6" s="17"/>
    </row>
    <row r="7" spans="1:5" x14ac:dyDescent="0.3">
      <c r="A7" s="16" t="s">
        <v>3</v>
      </c>
      <c r="B7" s="16"/>
      <c r="C7" s="19"/>
    </row>
    <row r="8" spans="1:5" x14ac:dyDescent="0.3">
      <c r="A8" s="16" t="s">
        <v>4</v>
      </c>
      <c r="B8" s="16"/>
      <c r="C8" s="19">
        <v>3915223</v>
      </c>
    </row>
    <row r="9" spans="1:5" x14ac:dyDescent="0.3">
      <c r="A9" s="16" t="s">
        <v>5</v>
      </c>
      <c r="B9" s="16"/>
      <c r="C9" s="19"/>
    </row>
    <row r="10" spans="1:5" x14ac:dyDescent="0.3">
      <c r="A10" s="16" t="s">
        <v>6</v>
      </c>
      <c r="B10" s="16"/>
      <c r="C10" s="19"/>
    </row>
    <row r="11" spans="1:5" x14ac:dyDescent="0.3">
      <c r="A11" s="16"/>
      <c r="B11" s="16"/>
    </row>
    <row r="14" spans="1:5" ht="27.9" customHeight="1" x14ac:dyDescent="0.3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399999999999999" customHeight="1" x14ac:dyDescent="0.3">
      <c r="A15" s="15" t="s">
        <v>11</v>
      </c>
      <c r="B15" s="19">
        <v>1</v>
      </c>
      <c r="C15" s="19">
        <v>2401072</v>
      </c>
      <c r="D15" s="20"/>
      <c r="E15" s="14"/>
    </row>
    <row r="16" spans="1:5" ht="20.100000000000001" customHeight="1" x14ac:dyDescent="0.3">
      <c r="A16" s="15" t="s">
        <v>12</v>
      </c>
      <c r="B16" s="19">
        <v>2</v>
      </c>
      <c r="C16" s="19">
        <v>2401079</v>
      </c>
      <c r="D16" s="20"/>
      <c r="E16" s="14"/>
    </row>
    <row r="17" spans="1:5" ht="20.399999999999999" customHeight="1" x14ac:dyDescent="0.3">
      <c r="A17" s="15" t="s">
        <v>13</v>
      </c>
      <c r="B17" s="19">
        <v>3</v>
      </c>
      <c r="C17" s="19">
        <v>2400846</v>
      </c>
      <c r="D17" s="20"/>
      <c r="E17" s="14"/>
    </row>
    <row r="18" spans="1:5" ht="20.399999999999999" customHeight="1" x14ac:dyDescent="0.3">
      <c r="A18" s="15" t="s">
        <v>14</v>
      </c>
      <c r="B18" s="19">
        <v>4</v>
      </c>
      <c r="C18" s="19">
        <v>2400831</v>
      </c>
      <c r="D18" s="20"/>
      <c r="E18" s="14"/>
    </row>
    <row r="19" spans="1:5" ht="20.399999999999999" customHeight="1" x14ac:dyDescent="0.3">
      <c r="A19" s="15" t="s">
        <v>15</v>
      </c>
      <c r="B19" s="19">
        <v>5</v>
      </c>
      <c r="C19" s="19">
        <v>2402995</v>
      </c>
      <c r="D19" s="20"/>
      <c r="E19" s="14"/>
    </row>
    <row r="20" spans="1:5" ht="20.399999999999999" customHeight="1" x14ac:dyDescent="0.3">
      <c r="A20" s="15" t="s">
        <v>16</v>
      </c>
      <c r="B20" s="19">
        <v>6</v>
      </c>
      <c r="C20" s="19">
        <v>2400807</v>
      </c>
      <c r="D20" s="20"/>
      <c r="E20" s="14"/>
    </row>
    <row r="21" spans="1:5" ht="20.399999999999999" customHeight="1" x14ac:dyDescent="0.3">
      <c r="A21" s="15" t="s">
        <v>17</v>
      </c>
      <c r="B21" s="19">
        <v>7</v>
      </c>
      <c r="C21" s="19">
        <v>2402842</v>
      </c>
      <c r="D21" s="20"/>
      <c r="E21" s="14"/>
    </row>
    <row r="22" spans="1:5" ht="20.399999999999999" customHeight="1" x14ac:dyDescent="0.3">
      <c r="A22" s="15" t="s">
        <v>18</v>
      </c>
      <c r="B22" s="19">
        <v>8</v>
      </c>
      <c r="C22" s="19">
        <v>2400904</v>
      </c>
      <c r="D22" s="20"/>
      <c r="E22" s="14"/>
    </row>
    <row r="23" spans="1:5" ht="23.1" customHeight="1" x14ac:dyDescent="0.3">
      <c r="A23" s="15" t="s">
        <v>19</v>
      </c>
      <c r="B23" s="19">
        <v>9</v>
      </c>
      <c r="C23" s="19">
        <v>2402449</v>
      </c>
      <c r="D23" s="20"/>
      <c r="E23" s="14"/>
    </row>
    <row r="24" spans="1:5" ht="20.399999999999999" customHeight="1" x14ac:dyDescent="0.3">
      <c r="A24" s="15" t="s">
        <v>20</v>
      </c>
      <c r="B24" s="19">
        <v>10</v>
      </c>
      <c r="C24" s="19">
        <v>2402970</v>
      </c>
      <c r="D24" s="20"/>
      <c r="E24" s="14"/>
    </row>
    <row r="25" spans="1:5" ht="20.399999999999999" customHeight="1" x14ac:dyDescent="0.3">
      <c r="A25" s="15" t="s">
        <v>21</v>
      </c>
      <c r="B25" s="19">
        <v>11</v>
      </c>
      <c r="C25" s="19">
        <v>2400845</v>
      </c>
      <c r="D25" s="20"/>
      <c r="E25" s="14"/>
    </row>
    <row r="26" spans="1:5" ht="20.399999999999999" customHeight="1" x14ac:dyDescent="0.3">
      <c r="A26" s="15" t="s">
        <v>22</v>
      </c>
      <c r="B26" s="19">
        <v>12</v>
      </c>
      <c r="C26" s="19">
        <v>2402913</v>
      </c>
      <c r="D26" s="20"/>
      <c r="E26" s="14"/>
    </row>
    <row r="27" spans="1:5" ht="20.399999999999999" customHeight="1" x14ac:dyDescent="0.3">
      <c r="A27" s="15" t="s">
        <v>23</v>
      </c>
      <c r="B27" s="19">
        <v>13</v>
      </c>
      <c r="C27" s="19">
        <v>2402284</v>
      </c>
      <c r="D27" s="20"/>
      <c r="E27" s="14"/>
    </row>
    <row r="28" spans="1:5" ht="20.399999999999999" customHeight="1" x14ac:dyDescent="0.3">
      <c r="A28" s="15" t="s">
        <v>24</v>
      </c>
      <c r="B28" s="19">
        <v>14</v>
      </c>
      <c r="C28" s="19">
        <v>2402407</v>
      </c>
      <c r="D28" s="20"/>
      <c r="E28" s="14"/>
    </row>
    <row r="29" spans="1:5" ht="20.399999999999999" customHeight="1" x14ac:dyDescent="0.3">
      <c r="A29" s="15" t="s">
        <v>25</v>
      </c>
      <c r="B29" s="19">
        <v>15</v>
      </c>
      <c r="C29" s="19">
        <v>2400748</v>
      </c>
      <c r="D29" s="20"/>
      <c r="E29" s="14"/>
    </row>
    <row r="30" spans="1:5" ht="20.399999999999999" customHeight="1" x14ac:dyDescent="0.3">
      <c r="A30" s="15" t="s">
        <v>26</v>
      </c>
      <c r="B30" s="19">
        <v>16</v>
      </c>
      <c r="C30" s="19">
        <v>2402952</v>
      </c>
      <c r="D30" s="20"/>
      <c r="E30" s="14"/>
    </row>
    <row r="31" spans="1:5" ht="20.100000000000001" customHeight="1" x14ac:dyDescent="0.3">
      <c r="A31" s="15" t="s">
        <v>27</v>
      </c>
      <c r="B31" s="19">
        <v>17</v>
      </c>
      <c r="C31" s="19">
        <v>2402410</v>
      </c>
      <c r="D31" s="20"/>
      <c r="E31" s="14"/>
    </row>
    <row r="32" spans="1:5" ht="20.399999999999999" customHeight="1" x14ac:dyDescent="0.3">
      <c r="A32" s="15" t="s">
        <v>28</v>
      </c>
      <c r="B32" s="19">
        <v>18</v>
      </c>
      <c r="C32" s="19">
        <v>2402291</v>
      </c>
      <c r="D32" s="20"/>
      <c r="E32" s="14"/>
    </row>
    <row r="33" spans="1:5" ht="20.399999999999999" customHeight="1" x14ac:dyDescent="0.3">
      <c r="A33" s="15" t="s">
        <v>29</v>
      </c>
      <c r="B33" s="19">
        <v>19</v>
      </c>
      <c r="C33" s="19">
        <v>2402287</v>
      </c>
      <c r="D33" s="20"/>
      <c r="E33" s="14"/>
    </row>
    <row r="34" spans="1:5" ht="20.399999999999999" customHeight="1" x14ac:dyDescent="0.3">
      <c r="A34" s="15" t="s">
        <v>30</v>
      </c>
      <c r="B34" s="19">
        <v>20</v>
      </c>
      <c r="C34" s="19">
        <v>2402298</v>
      </c>
      <c r="D34" s="20"/>
      <c r="E34" s="14"/>
    </row>
    <row r="35" spans="1:5" ht="20.399999999999999" customHeight="1" x14ac:dyDescent="0.3">
      <c r="A35" s="15" t="s">
        <v>31</v>
      </c>
      <c r="B35" s="19">
        <v>21</v>
      </c>
      <c r="C35" s="19">
        <v>2402281</v>
      </c>
      <c r="D35" s="20"/>
      <c r="E35" s="14"/>
    </row>
    <row r="36" spans="1:5" ht="20.399999999999999" customHeight="1" x14ac:dyDescent="0.3">
      <c r="A36" s="15" t="s">
        <v>32</v>
      </c>
      <c r="B36" s="19">
        <v>22</v>
      </c>
      <c r="C36" s="19">
        <v>2400896</v>
      </c>
      <c r="D36" s="20"/>
      <c r="E36" s="14"/>
    </row>
    <row r="37" spans="1:5" ht="20.399999999999999" customHeight="1" x14ac:dyDescent="0.3">
      <c r="A37" s="15" t="s">
        <v>33</v>
      </c>
      <c r="B37" s="19">
        <v>23</v>
      </c>
      <c r="C37" s="19">
        <v>2400882</v>
      </c>
      <c r="D37" s="20"/>
      <c r="E37" s="14"/>
    </row>
    <row r="38" spans="1:5" ht="20.100000000000001" customHeight="1" x14ac:dyDescent="0.3">
      <c r="A38" s="15" t="s">
        <v>34</v>
      </c>
      <c r="B38" s="19">
        <v>24</v>
      </c>
      <c r="C38" s="19">
        <v>2402847</v>
      </c>
      <c r="D38" s="20"/>
      <c r="E38" s="14"/>
    </row>
    <row r="39" spans="1:5" ht="20.100000000000001" customHeight="1" x14ac:dyDescent="0.3">
      <c r="A39" s="15" t="s">
        <v>35</v>
      </c>
      <c r="B39" s="19">
        <v>25</v>
      </c>
      <c r="C39" s="19">
        <v>2402836</v>
      </c>
      <c r="D39" s="20"/>
      <c r="E39" s="14"/>
    </row>
    <row r="40" spans="1:5" ht="20.399999999999999" customHeight="1" x14ac:dyDescent="0.3">
      <c r="A40" s="15" t="s">
        <v>36</v>
      </c>
      <c r="B40" s="19">
        <v>26</v>
      </c>
      <c r="C40" s="19">
        <v>2402906</v>
      </c>
      <c r="D40" s="20"/>
      <c r="E40" s="14"/>
    </row>
    <row r="41" spans="1:5" ht="20.100000000000001" customHeight="1" x14ac:dyDescent="0.3">
      <c r="A41" s="15" t="s">
        <v>37</v>
      </c>
      <c r="B41" s="19">
        <v>27</v>
      </c>
      <c r="C41" s="19">
        <v>2402820</v>
      </c>
      <c r="D41" s="20"/>
      <c r="E41" s="14"/>
    </row>
    <row r="42" spans="1:5" ht="20.399999999999999" customHeight="1" x14ac:dyDescent="0.3">
      <c r="A42" s="15" t="s">
        <v>38</v>
      </c>
      <c r="B42" s="19">
        <v>28</v>
      </c>
      <c r="C42" s="19">
        <v>2402959</v>
      </c>
      <c r="D42" s="20"/>
      <c r="E42" s="14"/>
    </row>
    <row r="43" spans="1:5" ht="20.399999999999999" customHeight="1" x14ac:dyDescent="0.3">
      <c r="A43" s="15" t="s">
        <v>39</v>
      </c>
      <c r="B43" s="19">
        <v>29</v>
      </c>
      <c r="C43" s="19">
        <v>2402917</v>
      </c>
      <c r="D43" s="20"/>
      <c r="E43" s="14"/>
    </row>
    <row r="44" spans="1:5" ht="20.399999999999999" customHeight="1" x14ac:dyDescent="0.3">
      <c r="A44" s="15" t="s">
        <v>40</v>
      </c>
      <c r="B44" s="19">
        <v>30</v>
      </c>
      <c r="C44" s="19">
        <v>2402937</v>
      </c>
      <c r="D44" s="20"/>
      <c r="E44" s="14"/>
    </row>
    <row r="45" spans="1:5" ht="20.399999999999999" customHeight="1" x14ac:dyDescent="0.3">
      <c r="A45" s="15" t="s">
        <v>41</v>
      </c>
      <c r="B45" s="19">
        <v>31</v>
      </c>
      <c r="C45" s="19">
        <v>2402800</v>
      </c>
      <c r="D45" s="20"/>
      <c r="E45" s="14"/>
    </row>
    <row r="46" spans="1:5" ht="20.399999999999999" customHeight="1" x14ac:dyDescent="0.3">
      <c r="A46" s="15" t="s">
        <v>42</v>
      </c>
      <c r="B46" s="19">
        <v>32</v>
      </c>
      <c r="C46" s="19">
        <v>2402825</v>
      </c>
      <c r="D46" s="20"/>
      <c r="E46" s="14"/>
    </row>
    <row r="47" spans="1:5" ht="20.399999999999999" customHeight="1" x14ac:dyDescent="0.3">
      <c r="A47" s="15" t="s">
        <v>43</v>
      </c>
      <c r="B47" s="19">
        <v>33</v>
      </c>
      <c r="C47" s="19">
        <v>2401082</v>
      </c>
      <c r="D47" s="20"/>
      <c r="E47" s="14"/>
    </row>
    <row r="48" spans="1:5" ht="20.399999999999999" customHeight="1" x14ac:dyDescent="0.3">
      <c r="A48" s="15" t="s">
        <v>44</v>
      </c>
      <c r="B48" s="19">
        <v>34</v>
      </c>
      <c r="C48" s="19">
        <v>2402834</v>
      </c>
      <c r="D48" s="20"/>
      <c r="E48" s="14"/>
    </row>
    <row r="49" spans="1:5" ht="20.399999999999999" customHeight="1" x14ac:dyDescent="0.3">
      <c r="A49" s="15" t="s">
        <v>45</v>
      </c>
      <c r="B49" s="19">
        <v>35</v>
      </c>
      <c r="C49" s="19">
        <v>2402776</v>
      </c>
      <c r="D49" s="20"/>
      <c r="E49" s="14"/>
    </row>
    <row r="50" spans="1:5" ht="20.399999999999999" customHeight="1" x14ac:dyDescent="0.3">
      <c r="A50" s="15" t="s">
        <v>46</v>
      </c>
      <c r="B50" s="19">
        <v>36</v>
      </c>
      <c r="C50" s="19">
        <v>2500019</v>
      </c>
      <c r="D50" s="20"/>
      <c r="E50" s="14"/>
    </row>
    <row r="51" spans="1:5" ht="21.6" customHeight="1" x14ac:dyDescent="0.3">
      <c r="A51" s="15" t="s">
        <v>47</v>
      </c>
      <c r="B51" s="19">
        <v>37</v>
      </c>
      <c r="C51" s="19">
        <v>2402586</v>
      </c>
      <c r="D51" s="20"/>
      <c r="E51" s="14"/>
    </row>
    <row r="52" spans="1:5" ht="20.399999999999999" customHeight="1" x14ac:dyDescent="0.3">
      <c r="A52" s="15" t="s">
        <v>48</v>
      </c>
      <c r="B52" s="19">
        <v>38</v>
      </c>
      <c r="C52" s="19">
        <v>2402831</v>
      </c>
      <c r="D52" s="20"/>
      <c r="E52" s="14"/>
    </row>
    <row r="53" spans="1:5" ht="21.6" customHeight="1" x14ac:dyDescent="0.3">
      <c r="A53" s="15" t="s">
        <v>49</v>
      </c>
      <c r="B53" s="19">
        <v>39</v>
      </c>
      <c r="C53" s="19">
        <v>2400780</v>
      </c>
      <c r="D53" s="20"/>
      <c r="E53" s="14"/>
    </row>
    <row r="54" spans="1:5" ht="20.100000000000001" customHeight="1" x14ac:dyDescent="0.3">
      <c r="A54" s="15" t="s">
        <v>50</v>
      </c>
      <c r="B54" s="19">
        <v>40</v>
      </c>
      <c r="C54" s="19">
        <v>2400818</v>
      </c>
      <c r="D54" s="20"/>
      <c r="E54" s="14"/>
    </row>
    <row r="55" spans="1:5" ht="20.399999999999999" customHeight="1" x14ac:dyDescent="0.3">
      <c r="A55" s="15" t="s">
        <v>51</v>
      </c>
      <c r="B55" s="19">
        <v>41</v>
      </c>
      <c r="C55" s="19">
        <v>2400806</v>
      </c>
      <c r="D55" s="20"/>
      <c r="E55" s="14"/>
    </row>
    <row r="56" spans="1:5" ht="20.399999999999999" customHeight="1" x14ac:dyDescent="0.3">
      <c r="A56" s="15" t="s">
        <v>52</v>
      </c>
      <c r="B56" s="19">
        <v>42</v>
      </c>
      <c r="C56" s="19">
        <v>2500007</v>
      </c>
      <c r="D56" s="20"/>
      <c r="E56" s="14"/>
    </row>
    <row r="57" spans="1:5" ht="20.399999999999999" customHeight="1" x14ac:dyDescent="0.3">
      <c r="A57" s="15" t="s">
        <v>53</v>
      </c>
      <c r="B57" s="19">
        <v>43</v>
      </c>
      <c r="C57" s="19">
        <v>2402924</v>
      </c>
      <c r="D57" s="20"/>
      <c r="E57" s="14"/>
    </row>
    <row r="58" spans="1:5" ht="20.100000000000001" customHeight="1" x14ac:dyDescent="0.3">
      <c r="A58" s="15" t="s">
        <v>54</v>
      </c>
      <c r="B58" s="19">
        <v>44</v>
      </c>
      <c r="C58" s="19">
        <v>2400878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abSelected="1" topLeftCell="A5" zoomScale="90" zoomScaleNormal="90" workbookViewId="0">
      <selection activeCell="F27" sqref="F27"/>
    </sheetView>
  </sheetViews>
  <sheetFormatPr defaultColWidth="10.88671875" defaultRowHeight="14.4" x14ac:dyDescent="0.3"/>
  <cols>
    <col min="2" max="13" width="13.88671875" customWidth="1"/>
  </cols>
  <sheetData>
    <row r="1" spans="1:13" ht="18" x14ac:dyDescent="0.35">
      <c r="A1" s="1" t="s">
        <v>55</v>
      </c>
      <c r="B1" s="1"/>
      <c r="C1" s="1"/>
    </row>
    <row r="2" spans="1:13" ht="18" x14ac:dyDescent="0.35">
      <c r="A2" s="1"/>
      <c r="B2" s="1"/>
      <c r="C2" s="1"/>
    </row>
    <row r="3" spans="1:13" ht="18" x14ac:dyDescent="0.35">
      <c r="A3" s="1" t="s">
        <v>56</v>
      </c>
      <c r="B3" s="1"/>
      <c r="C3" s="1"/>
    </row>
    <row r="4" spans="1:13" ht="18" x14ac:dyDescent="0.35">
      <c r="A4" s="1"/>
      <c r="B4" s="1"/>
      <c r="C4" s="1"/>
    </row>
    <row r="5" spans="1:13" ht="15.9" customHeight="1" x14ac:dyDescent="0.3">
      <c r="A5" s="59" t="s">
        <v>57</v>
      </c>
      <c r="B5" s="59"/>
      <c r="C5" s="21" t="str">
        <f>IF(ECHANTILLONS!C6="","",ECHANTILLONS!C6)</f>
        <v/>
      </c>
      <c r="E5" s="24"/>
      <c r="F5" s="25" t="s">
        <v>58</v>
      </c>
      <c r="G5" s="63" t="str">
        <f>IF(ECHANTILLONS!C10="","",ECHANTILLONS!C10)</f>
        <v/>
      </c>
      <c r="H5" s="63" t="str">
        <f>IF(ECHANTILLONS!F6="","",ECHANTILLONS!F6)</f>
        <v/>
      </c>
    </row>
    <row r="6" spans="1:13" ht="15.9" customHeight="1" x14ac:dyDescent="0.3">
      <c r="A6" s="59" t="s">
        <v>59</v>
      </c>
      <c r="B6" s="59"/>
      <c r="C6" s="22" t="str">
        <f>IF(ECHANTILLONS!C7="","",ECHANTILLONS!C7)</f>
        <v/>
      </c>
    </row>
    <row r="7" spans="1:13" ht="15.9" customHeight="1" x14ac:dyDescent="0.3">
      <c r="A7" s="59" t="s">
        <v>60</v>
      </c>
      <c r="B7" s="59"/>
      <c r="C7" s="22">
        <f>IF(ECHANTILLONS!C8="","",ECHANTILLONS!C8)</f>
        <v>3915223</v>
      </c>
    </row>
    <row r="8" spans="1:13" ht="15.9" customHeight="1" x14ac:dyDescent="0.3">
      <c r="A8" s="59" t="s">
        <v>61</v>
      </c>
      <c r="B8" s="59"/>
      <c r="C8" s="22" t="str">
        <f>IF(ECHANTILLONS!C9="","",ECHANTILLONS!C9)</f>
        <v/>
      </c>
    </row>
    <row r="9" spans="1:13" ht="15.9" customHeight="1" x14ac:dyDescent="0.3">
      <c r="A9" s="59" t="s">
        <v>62</v>
      </c>
      <c r="B9" s="59"/>
      <c r="C9" s="23" t="s">
        <v>63</v>
      </c>
    </row>
    <row r="10" spans="1:13" x14ac:dyDescent="0.3">
      <c r="C10" s="2"/>
    </row>
    <row r="12" spans="1:13" x14ac:dyDescent="0.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3">
      <c r="A13" s="10" t="s">
        <v>64</v>
      </c>
      <c r="B13" s="18">
        <v>1.1619999999999999</v>
      </c>
      <c r="C13" s="18">
        <v>1.47</v>
      </c>
      <c r="D13" s="18">
        <v>0.46100000000000002</v>
      </c>
      <c r="E13" s="18">
        <v>0.47799999999999998</v>
      </c>
      <c r="F13" s="18">
        <v>1.6140000000000001</v>
      </c>
      <c r="G13" s="18">
        <v>1.4530000000000001</v>
      </c>
      <c r="H13" s="18">
        <v>2.2599999999999998</v>
      </c>
      <c r="I13" s="18">
        <v>2.4529999999999998</v>
      </c>
      <c r="J13" s="18">
        <v>0.873</v>
      </c>
      <c r="K13" s="18">
        <v>0.82599999999999996</v>
      </c>
      <c r="L13" s="18">
        <v>2.1160000000000001</v>
      </c>
      <c r="M13" s="18">
        <v>1.2909999999999999</v>
      </c>
    </row>
    <row r="14" spans="1:13" x14ac:dyDescent="0.3">
      <c r="A14" s="10" t="s">
        <v>65</v>
      </c>
      <c r="B14" s="18">
        <v>1.206</v>
      </c>
      <c r="C14" s="18">
        <v>1.3859999999999999</v>
      </c>
      <c r="D14" s="18">
        <v>1.353</v>
      </c>
      <c r="E14" s="18">
        <v>1.732</v>
      </c>
      <c r="F14" s="18">
        <v>1.5649999999999999</v>
      </c>
      <c r="G14" s="18">
        <v>1.5389999999999999</v>
      </c>
      <c r="H14" s="18">
        <v>2.17</v>
      </c>
      <c r="I14" s="18">
        <v>2.1419999999999999</v>
      </c>
      <c r="J14" s="18">
        <v>2.1520000000000001</v>
      </c>
      <c r="K14" s="18">
        <v>2.2890000000000001</v>
      </c>
      <c r="L14" s="18">
        <v>2.0489999999999999</v>
      </c>
      <c r="M14" s="18">
        <v>2.1739999999999999</v>
      </c>
    </row>
    <row r="15" spans="1:13" x14ac:dyDescent="0.3">
      <c r="A15" s="10" t="s">
        <v>66</v>
      </c>
      <c r="B15" s="18">
        <v>1.3740000000000001</v>
      </c>
      <c r="C15" s="18">
        <v>1.4750000000000001</v>
      </c>
      <c r="D15" s="18">
        <v>1.68</v>
      </c>
      <c r="E15" s="18">
        <v>1.5069999999999999</v>
      </c>
      <c r="F15" s="18">
        <v>1.7649999999999999</v>
      </c>
      <c r="G15" s="18">
        <v>1.367</v>
      </c>
      <c r="H15" s="18">
        <v>2.423</v>
      </c>
      <c r="I15" s="18">
        <v>2.2469999999999999</v>
      </c>
      <c r="J15" s="18">
        <v>2.3090000000000002</v>
      </c>
      <c r="K15" s="18">
        <v>2.1680000000000001</v>
      </c>
      <c r="L15" s="18">
        <v>2.1059999999999999</v>
      </c>
      <c r="M15" s="18">
        <v>2.17</v>
      </c>
    </row>
    <row r="16" spans="1:13" x14ac:dyDescent="0.3">
      <c r="A16" s="10" t="s">
        <v>67</v>
      </c>
      <c r="B16" s="18">
        <v>1.7170000000000001</v>
      </c>
      <c r="C16" s="18">
        <v>1.429</v>
      </c>
      <c r="D16" s="18">
        <v>1.8069999999999999</v>
      </c>
      <c r="E16" s="18">
        <v>1.954</v>
      </c>
      <c r="F16" s="18">
        <v>1.867</v>
      </c>
      <c r="G16" s="18">
        <v>2.0990000000000002</v>
      </c>
      <c r="H16" s="18">
        <v>2.4649999999999999</v>
      </c>
      <c r="I16" s="18">
        <v>2.4590000000000001</v>
      </c>
      <c r="J16" s="18">
        <v>2.2559999999999998</v>
      </c>
      <c r="K16" s="18">
        <v>2.2090000000000001</v>
      </c>
      <c r="L16" s="18">
        <v>2.6459999999999999</v>
      </c>
      <c r="M16" s="18">
        <v>2.35</v>
      </c>
    </row>
    <row r="17" spans="1:13" x14ac:dyDescent="0.3">
      <c r="A17" s="10" t="s">
        <v>68</v>
      </c>
      <c r="B17" s="18">
        <v>1.722</v>
      </c>
      <c r="C17" s="18">
        <v>1.7</v>
      </c>
      <c r="D17" s="18">
        <v>1.6890000000000001</v>
      </c>
      <c r="E17" s="18">
        <v>1.8049999999999999</v>
      </c>
      <c r="F17" s="18">
        <v>1.708</v>
      </c>
      <c r="G17" s="18">
        <v>1.7030000000000001</v>
      </c>
      <c r="H17" s="18">
        <v>2.3149999999999999</v>
      </c>
      <c r="I17" s="18">
        <v>2.4300000000000002</v>
      </c>
      <c r="J17" s="18">
        <v>2.048</v>
      </c>
      <c r="K17" s="18">
        <v>2.1619999999999999</v>
      </c>
      <c r="L17" s="18">
        <v>2.1349999999999998</v>
      </c>
      <c r="M17" s="18">
        <v>2.3780000000000001</v>
      </c>
    </row>
    <row r="18" spans="1:13" x14ac:dyDescent="0.3">
      <c r="A18" s="10" t="s">
        <v>69</v>
      </c>
      <c r="B18" s="18">
        <v>1.835</v>
      </c>
      <c r="C18" s="18">
        <v>1.958</v>
      </c>
      <c r="D18" s="18">
        <v>1.99</v>
      </c>
      <c r="E18" s="18">
        <v>2.1549999999999998</v>
      </c>
      <c r="F18" s="18">
        <v>1.9159999999999999</v>
      </c>
      <c r="G18" s="18">
        <v>2.0049999999999999</v>
      </c>
      <c r="H18" s="18">
        <v>2.5339999999999998</v>
      </c>
      <c r="I18" s="18">
        <v>2.4569999999999999</v>
      </c>
      <c r="J18" s="18">
        <v>2.3069999999999999</v>
      </c>
      <c r="K18" s="18">
        <v>2.3359999999999999</v>
      </c>
      <c r="L18" s="18">
        <v>2.0640000000000001</v>
      </c>
      <c r="M18" s="18">
        <v>2.1560000000000001</v>
      </c>
    </row>
    <row r="19" spans="1:13" x14ac:dyDescent="0.3">
      <c r="A19" s="10" t="s">
        <v>70</v>
      </c>
      <c r="B19" s="18">
        <v>1.595</v>
      </c>
      <c r="C19" s="18">
        <v>1.885</v>
      </c>
      <c r="D19" s="18">
        <v>1.845</v>
      </c>
      <c r="E19" s="18">
        <v>2.0169999999999999</v>
      </c>
      <c r="F19" s="18">
        <v>2.1469999999999998</v>
      </c>
      <c r="G19" s="18">
        <v>2.145</v>
      </c>
      <c r="H19" s="18">
        <v>2.5270000000000001</v>
      </c>
      <c r="I19" s="18">
        <v>2.5680000000000001</v>
      </c>
      <c r="J19" s="18">
        <v>2.4119999999999999</v>
      </c>
      <c r="K19" s="18">
        <v>2.6040000000000001</v>
      </c>
      <c r="L19" s="18">
        <v>2.371</v>
      </c>
      <c r="M19" s="18">
        <v>2.585</v>
      </c>
    </row>
    <row r="20" spans="1:13" x14ac:dyDescent="0.3">
      <c r="A20" s="9" t="s">
        <v>71</v>
      </c>
      <c r="B20" s="18">
        <v>1.4470000000000001</v>
      </c>
      <c r="C20" s="18">
        <v>1.7150000000000001</v>
      </c>
      <c r="D20" s="18">
        <v>1.796</v>
      </c>
      <c r="E20" s="18">
        <v>1.956</v>
      </c>
      <c r="F20" s="18">
        <v>2.0129999999999999</v>
      </c>
      <c r="G20" s="18">
        <v>1.8049999999999999</v>
      </c>
      <c r="H20" s="18">
        <v>2.496</v>
      </c>
      <c r="I20" s="18">
        <v>2.5670000000000002</v>
      </c>
      <c r="J20" s="18">
        <v>2.4350000000000001</v>
      </c>
      <c r="K20" s="18">
        <v>2.552</v>
      </c>
      <c r="L20" s="18">
        <v>2.3719999999999999</v>
      </c>
      <c r="M20" s="18">
        <v>0.55400000000000005</v>
      </c>
    </row>
    <row r="21" spans="1:13" s="4" customFormat="1" x14ac:dyDescent="0.3">
      <c r="A21" s="5"/>
    </row>
    <row r="22" spans="1:13" x14ac:dyDescent="0.3">
      <c r="A22" s="5"/>
      <c r="B22" s="60" t="s">
        <v>72</v>
      </c>
      <c r="C22" s="61"/>
      <c r="D22" s="61"/>
      <c r="E22" s="61"/>
      <c r="F22" s="61"/>
      <c r="G22" s="62"/>
      <c r="H22" s="56" t="s">
        <v>73</v>
      </c>
      <c r="I22" s="57"/>
      <c r="J22" s="57"/>
      <c r="K22" s="57"/>
      <c r="L22" s="57"/>
      <c r="M22" s="58"/>
    </row>
    <row r="23" spans="1:13" x14ac:dyDescent="0.3">
      <c r="A23" s="3"/>
      <c r="B23" s="60" t="s">
        <v>74</v>
      </c>
      <c r="C23" s="62"/>
      <c r="D23" s="60" t="s">
        <v>75</v>
      </c>
      <c r="E23" s="62"/>
      <c r="F23" s="60" t="s">
        <v>76</v>
      </c>
      <c r="G23" s="62"/>
      <c r="H23" s="56" t="s">
        <v>77</v>
      </c>
      <c r="I23" s="58"/>
      <c r="J23" s="56" t="s">
        <v>78</v>
      </c>
      <c r="K23" s="58"/>
      <c r="L23" s="56" t="s">
        <v>79</v>
      </c>
      <c r="M23" s="58"/>
    </row>
    <row r="24" spans="1:13" x14ac:dyDescent="0.3">
      <c r="A24" s="3"/>
      <c r="B24" s="66">
        <f>(B13+C13)/2</f>
        <v>1.3159999999999998</v>
      </c>
      <c r="C24" s="67"/>
      <c r="D24" s="66">
        <f>(D13+E13)/2</f>
        <v>0.46950000000000003</v>
      </c>
      <c r="E24" s="67"/>
      <c r="F24" s="68">
        <f>100-(D24/B24*100)</f>
        <v>64.323708206686916</v>
      </c>
      <c r="G24" s="69"/>
      <c r="H24" s="70">
        <f>(H13+I13)/2</f>
        <v>2.3564999999999996</v>
      </c>
      <c r="I24" s="71"/>
      <c r="J24" s="70">
        <f>(J13+K13)/2</f>
        <v>0.84949999999999992</v>
      </c>
      <c r="K24" s="71"/>
      <c r="L24" s="64">
        <f>100-(J24/H24*100)</f>
        <v>63.950774453638871</v>
      </c>
      <c r="M24" s="65"/>
    </row>
    <row r="25" spans="1:13" x14ac:dyDescent="0.3">
      <c r="A25" s="3"/>
    </row>
    <row r="26" spans="1:13" x14ac:dyDescent="0.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3">
      <c r="A27" s="3" t="s">
        <v>64</v>
      </c>
      <c r="B27" s="8"/>
      <c r="C27" s="8"/>
      <c r="D27" s="8"/>
      <c r="E27" s="8"/>
      <c r="F27" s="7">
        <f>IF(F13="","",100-F13/$B$24*100)</f>
        <v>-22.64437689969607</v>
      </c>
      <c r="G27" s="7">
        <f>IF(G13="","",100-G13/$B$24*100)</f>
        <v>-10.410334346504584</v>
      </c>
      <c r="H27" s="8"/>
      <c r="I27" s="8"/>
      <c r="J27" s="8"/>
      <c r="K27" s="8"/>
      <c r="L27" s="7">
        <f>IF(L13="","",100-L13/$H$24*100)</f>
        <v>10.205813706768495</v>
      </c>
      <c r="M27" s="7">
        <f>IF(M13="","",100-M13/$H$24*100)</f>
        <v>45.215361765329931</v>
      </c>
    </row>
    <row r="28" spans="1:13" x14ac:dyDescent="0.3">
      <c r="A28" s="3" t="s">
        <v>65</v>
      </c>
      <c r="B28" s="7">
        <f>IF(B14="","",100-B14/$B$24*100)</f>
        <v>8.3586626139817639</v>
      </c>
      <c r="C28" s="7">
        <f t="shared" ref="C28:G28" si="0">IF(C14="","",100-C14/$B$24*100)</f>
        <v>-5.3191489361702224</v>
      </c>
      <c r="D28" s="7">
        <f t="shared" si="0"/>
        <v>-2.8115501519756947</v>
      </c>
      <c r="E28" s="7">
        <f t="shared" si="0"/>
        <v>-31.610942249240139</v>
      </c>
      <c r="F28" s="7">
        <f t="shared" si="0"/>
        <v>-18.920972644376917</v>
      </c>
      <c r="G28" s="7">
        <f t="shared" si="0"/>
        <v>-16.945288753799389</v>
      </c>
      <c r="H28" s="7">
        <f>IF(H14="","",100-H14/$H$24*100)</f>
        <v>7.9142796520262948</v>
      </c>
      <c r="I28" s="7">
        <f t="shared" ref="I28:L28" si="1">IF(I14="","",100-I14/$H$24*100)</f>
        <v>9.1024824952259564</v>
      </c>
      <c r="J28" s="7">
        <f t="shared" si="1"/>
        <v>8.6781243369403569</v>
      </c>
      <c r="K28" s="7">
        <f t="shared" si="1"/>
        <v>2.86441756842774</v>
      </c>
      <c r="L28" s="7">
        <f t="shared" si="1"/>
        <v>13.049013367281972</v>
      </c>
      <c r="M28" s="7">
        <f>IF(M14="","",100-M14/$H$24*100)</f>
        <v>7.7445363887120635</v>
      </c>
    </row>
    <row r="29" spans="1:13" x14ac:dyDescent="0.3">
      <c r="A29" s="3" t="s">
        <v>66</v>
      </c>
      <c r="B29" s="7">
        <f t="shared" ref="B29:G29" si="2">IF(B15="","",100-B15/$B$24*100)</f>
        <v>-4.4072948328267643</v>
      </c>
      <c r="C29" s="7">
        <f t="shared" si="2"/>
        <v>-12.082066869300931</v>
      </c>
      <c r="D29" s="7">
        <f t="shared" si="2"/>
        <v>-27.659574468085111</v>
      </c>
      <c r="E29" s="7">
        <f t="shared" si="2"/>
        <v>-14.513677811550153</v>
      </c>
      <c r="F29" s="7">
        <f t="shared" si="2"/>
        <v>-34.118541033434667</v>
      </c>
      <c r="G29" s="7">
        <f t="shared" si="2"/>
        <v>-3.8753799392097505</v>
      </c>
      <c r="H29" s="7">
        <f t="shared" ref="H29:M29" si="3">IF(H15="","",100-H15/$H$24*100)</f>
        <v>-2.8219817525992283</v>
      </c>
      <c r="I29" s="7">
        <f t="shared" si="3"/>
        <v>4.6467218332272324</v>
      </c>
      <c r="J29" s="7">
        <f t="shared" si="3"/>
        <v>2.0157012518565409</v>
      </c>
      <c r="K29" s="7">
        <f t="shared" si="3"/>
        <v>7.9991512836834033</v>
      </c>
      <c r="L29" s="7">
        <f t="shared" si="3"/>
        <v>10.630171865054095</v>
      </c>
      <c r="M29" s="7">
        <f t="shared" si="3"/>
        <v>7.9142796520262948</v>
      </c>
    </row>
    <row r="30" spans="1:13" x14ac:dyDescent="0.3">
      <c r="A30" s="3" t="s">
        <v>67</v>
      </c>
      <c r="B30" s="7">
        <f t="shared" ref="B30:G30" si="4">IF(B16="","",100-B16/$B$24*100)</f>
        <v>-30.471124620060806</v>
      </c>
      <c r="C30" s="7">
        <f t="shared" si="4"/>
        <v>-8.5866261398176391</v>
      </c>
      <c r="D30" s="7">
        <f t="shared" si="4"/>
        <v>-37.310030395136778</v>
      </c>
      <c r="E30" s="7">
        <f t="shared" si="4"/>
        <v>-48.480243161094251</v>
      </c>
      <c r="F30" s="7">
        <f t="shared" si="4"/>
        <v>-41.869300911854111</v>
      </c>
      <c r="G30" s="7">
        <f t="shared" si="4"/>
        <v>-59.49848024316114</v>
      </c>
      <c r="H30" s="7">
        <f t="shared" ref="H30:M30" si="5">IF(H16="","",100-H16/$H$24*100)</f>
        <v>-4.6042860173987066</v>
      </c>
      <c r="I30" s="7">
        <f t="shared" si="5"/>
        <v>-4.3496711224273383</v>
      </c>
      <c r="J30" s="7">
        <f t="shared" si="5"/>
        <v>4.2647994907702014</v>
      </c>
      <c r="K30" s="7">
        <f t="shared" si="5"/>
        <v>6.2592828347124794</v>
      </c>
      <c r="L30" s="7">
        <f t="shared" si="5"/>
        <v>-12.285168682367924</v>
      </c>
      <c r="M30" s="7">
        <f t="shared" si="5"/>
        <v>0.27583280288561696</v>
      </c>
    </row>
    <row r="31" spans="1:13" x14ac:dyDescent="0.3">
      <c r="A31" s="3" t="s">
        <v>68</v>
      </c>
      <c r="B31" s="7">
        <f t="shared" ref="B31:G31" si="6">IF(B17="","",100-B17/$B$24*100)</f>
        <v>-30.85106382978725</v>
      </c>
      <c r="C31" s="7">
        <f t="shared" si="6"/>
        <v>-29.179331306990889</v>
      </c>
      <c r="D31" s="7">
        <f t="shared" si="6"/>
        <v>-28.343465045592723</v>
      </c>
      <c r="E31" s="7">
        <f t="shared" si="6"/>
        <v>-37.158054711246194</v>
      </c>
      <c r="F31" s="7">
        <f t="shared" si="6"/>
        <v>-29.787234042553223</v>
      </c>
      <c r="G31" s="7">
        <f t="shared" si="6"/>
        <v>-29.40729483282675</v>
      </c>
      <c r="H31" s="7">
        <f t="shared" ref="H31:M31" si="7">IF(H17="","",100-H17/$H$24*100)</f>
        <v>1.7610863568852011</v>
      </c>
      <c r="I31" s="7">
        <f t="shared" si="7"/>
        <v>-3.1190324633991224</v>
      </c>
      <c r="J31" s="7">
        <f t="shared" si="7"/>
        <v>13.091449183110527</v>
      </c>
      <c r="K31" s="7">
        <f t="shared" si="7"/>
        <v>8.2537661786547716</v>
      </c>
      <c r="L31" s="7">
        <f t="shared" si="7"/>
        <v>9.3995332060258789</v>
      </c>
      <c r="M31" s="7">
        <f t="shared" si="7"/>
        <v>-0.91237004031403046</v>
      </c>
    </row>
    <row r="32" spans="1:13" x14ac:dyDescent="0.3">
      <c r="A32" s="3" t="s">
        <v>69</v>
      </c>
      <c r="B32" s="7">
        <f t="shared" ref="B32:G32" si="8">IF(B18="","",100-B18/$B$24*100)</f>
        <v>-39.437689969604889</v>
      </c>
      <c r="C32" s="7">
        <f t="shared" si="8"/>
        <v>-48.784194528875389</v>
      </c>
      <c r="D32" s="7">
        <f t="shared" si="8"/>
        <v>-51.215805471124639</v>
      </c>
      <c r="E32" s="7">
        <f t="shared" si="8"/>
        <v>-63.753799392097278</v>
      </c>
      <c r="F32" s="7">
        <f t="shared" si="8"/>
        <v>-45.592705167173278</v>
      </c>
      <c r="G32" s="7">
        <f t="shared" si="8"/>
        <v>-52.355623100303973</v>
      </c>
      <c r="H32" s="7">
        <f t="shared" ref="H32:M32" si="9">IF(H18="","",100-H18/$H$24*100)</f>
        <v>-7.5323573095692922</v>
      </c>
      <c r="I32" s="7">
        <f t="shared" si="9"/>
        <v>-4.2647994907702298</v>
      </c>
      <c r="J32" s="7">
        <f t="shared" si="9"/>
        <v>2.1005728835136779</v>
      </c>
      <c r="K32" s="7">
        <f t="shared" si="9"/>
        <v>0.86993422448546198</v>
      </c>
      <c r="L32" s="7">
        <f t="shared" si="9"/>
        <v>12.412476129853573</v>
      </c>
      <c r="M32" s="7">
        <f t="shared" si="9"/>
        <v>8.5083810736261114</v>
      </c>
    </row>
    <row r="33" spans="1:13" x14ac:dyDescent="0.3">
      <c r="A33" s="3" t="s">
        <v>70</v>
      </c>
      <c r="B33" s="7">
        <f t="shared" ref="B33:G33" si="10">IF(B19="","",100-B19/$B$24*100)</f>
        <v>-21.20060790273557</v>
      </c>
      <c r="C33" s="7">
        <f t="shared" si="10"/>
        <v>-43.237082066869306</v>
      </c>
      <c r="D33" s="7">
        <f t="shared" si="10"/>
        <v>-40.197568389057778</v>
      </c>
      <c r="E33" s="7">
        <f t="shared" si="10"/>
        <v>-53.267477203647417</v>
      </c>
      <c r="F33" s="7">
        <f t="shared" si="10"/>
        <v>-63.145896656534973</v>
      </c>
      <c r="G33" s="7">
        <f t="shared" si="10"/>
        <v>-62.993920972644389</v>
      </c>
      <c r="H33" s="7">
        <f t="shared" ref="H33:M34" si="11">IF(H19="","",100-H19/$H$24*100)</f>
        <v>-7.2353065987693839</v>
      </c>
      <c r="I33" s="7">
        <f t="shared" si="11"/>
        <v>-8.975175047740322</v>
      </c>
      <c r="J33" s="7">
        <f t="shared" si="11"/>
        <v>-2.3551877784850461</v>
      </c>
      <c r="K33" s="7">
        <f t="shared" si="11"/>
        <v>-10.502864417568446</v>
      </c>
      <c r="L33" s="7">
        <f t="shared" si="11"/>
        <v>-0.61531932951413637</v>
      </c>
      <c r="M33" s="7">
        <f t="shared" si="11"/>
        <v>-9.6965839168258157</v>
      </c>
    </row>
    <row r="34" spans="1:13" x14ac:dyDescent="0.3">
      <c r="A34" s="3" t="s">
        <v>71</v>
      </c>
      <c r="B34" s="7">
        <f t="shared" ref="B34:G34" si="12">IF(B20="","",100-B20/$B$24*100)</f>
        <v>-9.9544072948328335</v>
      </c>
      <c r="C34" s="7">
        <f t="shared" si="12"/>
        <v>-30.319148936170222</v>
      </c>
      <c r="D34" s="7">
        <f t="shared" si="12"/>
        <v>-36.47416413373864</v>
      </c>
      <c r="E34" s="7">
        <f t="shared" si="12"/>
        <v>-48.632218844984806</v>
      </c>
      <c r="F34" s="7">
        <f t="shared" si="12"/>
        <v>-52.963525835866278</v>
      </c>
      <c r="G34" s="7">
        <f t="shared" si="12"/>
        <v>-37.158054711246194</v>
      </c>
      <c r="H34" s="7">
        <f>IF(H20="","",100-H20/$H$24*100)</f>
        <v>-5.919796308084031</v>
      </c>
      <c r="I34" s="7">
        <f t="shared" si="11"/>
        <v>-8.9327392319117536</v>
      </c>
      <c r="J34" s="7">
        <f t="shared" si="11"/>
        <v>-3.3312115425419222</v>
      </c>
      <c r="K34" s="7">
        <f t="shared" si="11"/>
        <v>-8.2962019944833543</v>
      </c>
      <c r="L34" s="7">
        <f t="shared" si="11"/>
        <v>-0.65775514534267643</v>
      </c>
      <c r="M34" s="7">
        <f>IF(M20="","",100-M20/$H$24*100)</f>
        <v>76.490558030978136</v>
      </c>
    </row>
  </sheetData>
  <sheetProtection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workbookViewId="0">
      <selection activeCell="D15" sqref="D15"/>
    </sheetView>
  </sheetViews>
  <sheetFormatPr defaultColWidth="10.88671875" defaultRowHeight="14.4" x14ac:dyDescent="0.3"/>
  <cols>
    <col min="1" max="1" width="9.6640625" style="52" customWidth="1"/>
    <col min="2" max="2" width="11.109375" style="31" customWidth="1"/>
    <col min="3" max="3" width="20.5546875" style="31" customWidth="1"/>
    <col min="4" max="4" width="14.33203125" style="31" customWidth="1"/>
    <col min="5" max="5" width="9.109375" style="31" customWidth="1"/>
    <col min="6" max="6" width="14.33203125" style="31" customWidth="1"/>
    <col min="7" max="7" width="9.109375" style="31" customWidth="1"/>
    <col min="8" max="8" width="10" style="31" customWidth="1"/>
    <col min="9" max="9" width="50.5546875" style="31" customWidth="1"/>
    <col min="10" max="10" width="14.88671875" style="31" customWidth="1"/>
    <col min="11" max="16384" width="10.88671875" style="31"/>
  </cols>
  <sheetData>
    <row r="1" spans="1:12" s="27" customFormat="1" ht="17.100000000000001" customHeight="1" x14ac:dyDescent="0.3">
      <c r="A1" s="26" t="s">
        <v>55</v>
      </c>
    </row>
    <row r="2" spans="1:12" s="27" customFormat="1" ht="15" customHeight="1" x14ac:dyDescent="0.3">
      <c r="A2" s="28"/>
    </row>
    <row r="3" spans="1:12" s="27" customFormat="1" ht="15" customHeight="1" x14ac:dyDescent="0.3">
      <c r="A3" s="29" t="s">
        <v>80</v>
      </c>
    </row>
    <row r="4" spans="1:12" ht="15" customHeight="1" x14ac:dyDescent="0.3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3">
      <c r="A5" s="32" t="s">
        <v>81</v>
      </c>
      <c r="B5" s="33"/>
      <c r="C5" s="21">
        <v>45805</v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 x14ac:dyDescent="0.3">
      <c r="A6" s="32" t="s">
        <v>59</v>
      </c>
      <c r="B6" s="33"/>
      <c r="C6" s="22" t="s">
        <v>83</v>
      </c>
      <c r="D6" s="27"/>
      <c r="E6" s="27"/>
      <c r="F6" s="27"/>
      <c r="G6" s="27"/>
      <c r="H6" s="27"/>
      <c r="I6" s="30"/>
    </row>
    <row r="7" spans="1:12" ht="15" customHeight="1" x14ac:dyDescent="0.3">
      <c r="A7" s="32" t="s">
        <v>84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3">
      <c r="A8" s="32" t="s">
        <v>61</v>
      </c>
      <c r="B8" s="33"/>
      <c r="C8" s="37">
        <v>1</v>
      </c>
      <c r="D8" s="27"/>
      <c r="E8" s="27"/>
      <c r="F8" s="27"/>
      <c r="G8" s="27"/>
      <c r="H8" s="27"/>
      <c r="I8" s="30"/>
    </row>
    <row r="9" spans="1:12" ht="15" customHeight="1" x14ac:dyDescent="0.3">
      <c r="A9" s="32" t="s">
        <v>85</v>
      </c>
      <c r="B9" s="33"/>
      <c r="C9" s="22" t="s">
        <v>86</v>
      </c>
      <c r="D9" s="27"/>
      <c r="E9" s="27"/>
      <c r="F9" s="27"/>
      <c r="G9" s="27"/>
      <c r="H9" s="27"/>
      <c r="I9" s="38"/>
    </row>
    <row r="10" spans="1:12" ht="12.6" customHeight="1" x14ac:dyDescent="0.3">
      <c r="A10" s="28"/>
      <c r="B10" s="39"/>
      <c r="C10" s="39"/>
      <c r="D10" s="27"/>
      <c r="E10" s="27"/>
      <c r="F10" s="27"/>
      <c r="G10" s="27"/>
      <c r="H10" s="27"/>
      <c r="I10" s="38"/>
    </row>
    <row r="11" spans="1:12" ht="12.6" customHeight="1" x14ac:dyDescent="0.3">
      <c r="A11" s="28"/>
      <c r="B11" s="39"/>
      <c r="C11" s="39"/>
      <c r="D11" s="27"/>
      <c r="E11" s="27"/>
      <c r="F11" s="27"/>
      <c r="G11" s="27"/>
      <c r="H11" s="27"/>
      <c r="I11" s="38"/>
    </row>
    <row r="12" spans="1:12" ht="17.100000000000001" customHeight="1" x14ac:dyDescent="0.3">
      <c r="A12" s="28"/>
      <c r="B12" s="39"/>
      <c r="C12" s="39"/>
      <c r="D12" s="72" t="s">
        <v>72</v>
      </c>
      <c r="E12" s="72"/>
      <c r="F12" s="72" t="s">
        <v>73</v>
      </c>
      <c r="G12" s="72"/>
      <c r="H12" s="73" t="s">
        <v>87</v>
      </c>
      <c r="I12" s="27"/>
    </row>
    <row r="13" spans="1:12" ht="31.2" x14ac:dyDescent="0.3">
      <c r="A13" s="41"/>
      <c r="B13" s="42" t="s">
        <v>8</v>
      </c>
      <c r="C13" s="42" t="s">
        <v>9</v>
      </c>
      <c r="D13" s="40" t="s">
        <v>88</v>
      </c>
      <c r="E13" s="43" t="s">
        <v>89</v>
      </c>
      <c r="F13" s="40" t="s">
        <v>88</v>
      </c>
      <c r="G13" s="43" t="s">
        <v>89</v>
      </c>
      <c r="H13" s="73"/>
      <c r="I13" s="44" t="s">
        <v>90</v>
      </c>
      <c r="J13" s="54" t="s">
        <v>91</v>
      </c>
      <c r="K13" s="53"/>
      <c r="L13" s="53"/>
    </row>
    <row r="14" spans="1:12" ht="15" customHeight="1" x14ac:dyDescent="0.3">
      <c r="A14" s="45" t="s">
        <v>11</v>
      </c>
      <c r="B14" s="46">
        <f>IF(ECHANTILLONS!B15="","",ECHANTILLONS!B15)</f>
        <v>1</v>
      </c>
      <c r="C14" s="47">
        <f>IF(ECHANTILLONS!C15="","",ECHANTILLONS!C15)</f>
        <v>2401072</v>
      </c>
      <c r="D14" s="48">
        <f>IF('450-600 nm'!F27="","",'450-600 nm'!F27)</f>
        <v>-22.64437689969607</v>
      </c>
      <c r="E14" s="48" t="str">
        <f>IF(D14="","",IF(D14&gt;=$G$5,"POS","NEG"))</f>
        <v>NEG</v>
      </c>
      <c r="F14" s="48">
        <f>IF('450-600 nm'!L27="","",'450-600 nm'!L27)</f>
        <v>10.205813706768495</v>
      </c>
      <c r="G14" s="48" t="str">
        <f>IF(F14="","",IF(F14&gt;=$G$5,"POS","NEG"))</f>
        <v>NEG</v>
      </c>
      <c r="H14" s="48" t="str">
        <f>IF(AND(E14="NEG",G14="NEG"),"N",IF(E14="POS","P",IF(G14="POS","P","")))</f>
        <v>N</v>
      </c>
      <c r="I14" s="49" t="str">
        <f>IF(ECHANTILLONS!D15="","",ECHANTILLONS!D15)</f>
        <v/>
      </c>
      <c r="J14" s="49"/>
    </row>
    <row r="15" spans="1:12" ht="15" customHeight="1" x14ac:dyDescent="0.3">
      <c r="A15" s="36" t="s">
        <v>12</v>
      </c>
      <c r="B15" s="46">
        <f>IF(ECHANTILLONS!B16="","",ECHANTILLONS!B16)</f>
        <v>2</v>
      </c>
      <c r="C15" s="50">
        <f>IF(ECHANTILLONS!C16="","",ECHANTILLONS!C16)</f>
        <v>2401079</v>
      </c>
      <c r="D15" s="51">
        <f>IF('450-600 nm'!G27="","",'450-600 nm'!G27)</f>
        <v>-10.410334346504584</v>
      </c>
      <c r="E15" s="48" t="str">
        <f t="shared" ref="E15:E57" si="0">IF(D15="","",IF(D15&gt;=$G$5,"POS","NEG"))</f>
        <v>NEG</v>
      </c>
      <c r="F15" s="51">
        <f>IF('450-600 nm'!M27="","",'450-600 nm'!M27)</f>
        <v>45.215361765329931</v>
      </c>
      <c r="G15" s="48" t="str">
        <f t="shared" ref="G15:G57" si="1">IF(F15="","",IF(F15&gt;=$G$5,"POS","NEG"))</f>
        <v>POS</v>
      </c>
      <c r="H15" s="48" t="str">
        <f t="shared" ref="H15:H57" si="2">IF(AND(E15="NEG",G15="NEG"),"N",IF(E15="POS","P",IF(G15="POS","P","")))</f>
        <v>P</v>
      </c>
      <c r="I15" s="49" t="str">
        <f>IF(ECHANTILLONS!D16="","",ECHANTILLONS!D16)</f>
        <v/>
      </c>
      <c r="J15" s="49"/>
    </row>
    <row r="16" spans="1:12" ht="15" customHeight="1" x14ac:dyDescent="0.3">
      <c r="A16" s="36" t="s">
        <v>13</v>
      </c>
      <c r="B16" s="46">
        <f>IF(ECHANTILLONS!B17="","",ECHANTILLONS!B17)</f>
        <v>3</v>
      </c>
      <c r="C16" s="50">
        <f>IF(ECHANTILLONS!C17="","",ECHANTILLONS!C17)</f>
        <v>2400846</v>
      </c>
      <c r="D16" s="51">
        <f>IF('450-600 nm'!B28="","",'450-600 nm'!B28)</f>
        <v>8.3586626139817639</v>
      </c>
      <c r="E16" s="48" t="str">
        <f t="shared" si="0"/>
        <v>NEG</v>
      </c>
      <c r="F16" s="51">
        <f>IF('450-600 nm'!H28="","",'450-600 nm'!H28)</f>
        <v>7.9142796520262948</v>
      </c>
      <c r="G16" s="48" t="str">
        <f t="shared" si="1"/>
        <v>NEG</v>
      </c>
      <c r="H16" s="48" t="str">
        <f t="shared" si="2"/>
        <v>N</v>
      </c>
      <c r="I16" s="49" t="str">
        <f>IF(ECHANTILLONS!D17="","",ECHANTILLONS!D17)</f>
        <v/>
      </c>
      <c r="J16" s="49"/>
    </row>
    <row r="17" spans="1:10" ht="15" customHeight="1" x14ac:dyDescent="0.3">
      <c r="A17" s="36" t="s">
        <v>14</v>
      </c>
      <c r="B17" s="46">
        <f>IF(ECHANTILLONS!B18="","",ECHANTILLONS!B18)</f>
        <v>4</v>
      </c>
      <c r="C17" s="50">
        <f>IF(ECHANTILLONS!C18="","",ECHANTILLONS!C18)</f>
        <v>2400831</v>
      </c>
      <c r="D17" s="51">
        <f>IF('450-600 nm'!C28="","",'450-600 nm'!C28)</f>
        <v>-5.3191489361702224</v>
      </c>
      <c r="E17" s="48" t="str">
        <f t="shared" si="0"/>
        <v>NEG</v>
      </c>
      <c r="F17" s="51">
        <f>IF('450-600 nm'!I28="","",'450-600 nm'!I28)</f>
        <v>9.1024824952259564</v>
      </c>
      <c r="G17" s="48" t="str">
        <f t="shared" si="1"/>
        <v>NEG</v>
      </c>
      <c r="H17" s="48" t="str">
        <f t="shared" si="2"/>
        <v>N</v>
      </c>
      <c r="I17" s="49" t="str">
        <f>IF(ECHANTILLONS!D18="","",ECHANTILLONS!D18)</f>
        <v/>
      </c>
      <c r="J17" s="49"/>
    </row>
    <row r="18" spans="1:10" ht="15" customHeight="1" x14ac:dyDescent="0.3">
      <c r="A18" s="36" t="s">
        <v>15</v>
      </c>
      <c r="B18" s="46">
        <f>IF(ECHANTILLONS!B19="","",ECHANTILLONS!B19)</f>
        <v>5</v>
      </c>
      <c r="C18" s="50">
        <f>IF(ECHANTILLONS!C19="","",ECHANTILLONS!C19)</f>
        <v>2402995</v>
      </c>
      <c r="D18" s="51">
        <f>IF('450-600 nm'!D28="","",'450-600 nm'!D28)</f>
        <v>-2.8115501519756947</v>
      </c>
      <c r="E18" s="48" t="str">
        <f t="shared" si="0"/>
        <v>NEG</v>
      </c>
      <c r="F18" s="51">
        <f>IF('450-600 nm'!J28="","",'450-600 nm'!J28)</f>
        <v>8.6781243369403569</v>
      </c>
      <c r="G18" s="48" t="str">
        <f t="shared" si="1"/>
        <v>NEG</v>
      </c>
      <c r="H18" s="48" t="str">
        <f t="shared" si="2"/>
        <v>N</v>
      </c>
      <c r="I18" s="49" t="str">
        <f>IF(ECHANTILLONS!D19="","",ECHANTILLONS!D19)</f>
        <v/>
      </c>
      <c r="J18" s="49"/>
    </row>
    <row r="19" spans="1:10" ht="15" customHeight="1" x14ac:dyDescent="0.3">
      <c r="A19" s="36" t="s">
        <v>16</v>
      </c>
      <c r="B19" s="46">
        <f>IF(ECHANTILLONS!B20="","",ECHANTILLONS!B20)</f>
        <v>6</v>
      </c>
      <c r="C19" s="50">
        <f>IF(ECHANTILLONS!C20="","",ECHANTILLONS!C20)</f>
        <v>2400807</v>
      </c>
      <c r="D19" s="51">
        <f>IF('450-600 nm'!E28="","",'450-600 nm'!E28)</f>
        <v>-31.610942249240139</v>
      </c>
      <c r="E19" s="48" t="str">
        <f t="shared" si="0"/>
        <v>NEG</v>
      </c>
      <c r="F19" s="51">
        <f>IF('450-600 nm'!K28="","",'450-600 nm'!K28)</f>
        <v>2.86441756842774</v>
      </c>
      <c r="G19" s="48" t="str">
        <f t="shared" si="1"/>
        <v>NEG</v>
      </c>
      <c r="H19" s="48" t="str">
        <f t="shared" si="2"/>
        <v>N</v>
      </c>
      <c r="I19" s="49" t="str">
        <f>IF(ECHANTILLONS!D20="","",ECHANTILLONS!D20)</f>
        <v/>
      </c>
      <c r="J19" s="49"/>
    </row>
    <row r="20" spans="1:10" ht="15" customHeight="1" x14ac:dyDescent="0.3">
      <c r="A20" s="36" t="s">
        <v>17</v>
      </c>
      <c r="B20" s="46">
        <f>IF(ECHANTILLONS!B21="","",ECHANTILLONS!B21)</f>
        <v>7</v>
      </c>
      <c r="C20" s="50">
        <f>IF(ECHANTILLONS!C21="","",ECHANTILLONS!C21)</f>
        <v>2402842</v>
      </c>
      <c r="D20" s="51">
        <f>IF('450-600 nm'!F28="","",'450-600 nm'!F28)</f>
        <v>-18.920972644376917</v>
      </c>
      <c r="E20" s="48" t="str">
        <f t="shared" si="0"/>
        <v>NEG</v>
      </c>
      <c r="F20" s="51">
        <f>IF('450-600 nm'!L28="","",'450-600 nm'!L28)</f>
        <v>13.049013367281972</v>
      </c>
      <c r="G20" s="48" t="str">
        <f t="shared" si="1"/>
        <v>NEG</v>
      </c>
      <c r="H20" s="48" t="str">
        <f t="shared" si="2"/>
        <v>N</v>
      </c>
      <c r="I20" s="49" t="str">
        <f>IF(ECHANTILLONS!D21="","",ECHANTILLONS!D21)</f>
        <v/>
      </c>
      <c r="J20" s="49"/>
    </row>
    <row r="21" spans="1:10" ht="15" customHeight="1" x14ac:dyDescent="0.3">
      <c r="A21" s="36" t="s">
        <v>18</v>
      </c>
      <c r="B21" s="46">
        <f>IF(ECHANTILLONS!B22="","",ECHANTILLONS!B22)</f>
        <v>8</v>
      </c>
      <c r="C21" s="50">
        <f>IF(ECHANTILLONS!C22="","",ECHANTILLONS!C22)</f>
        <v>2400904</v>
      </c>
      <c r="D21" s="51">
        <f>IF('450-600 nm'!G28="","",'450-600 nm'!G28)</f>
        <v>-16.945288753799389</v>
      </c>
      <c r="E21" s="48" t="str">
        <f t="shared" si="0"/>
        <v>NEG</v>
      </c>
      <c r="F21" s="51">
        <f>IF('450-600 nm'!M28="","",'450-600 nm'!M28)</f>
        <v>7.7445363887120635</v>
      </c>
      <c r="G21" s="48" t="str">
        <f t="shared" si="1"/>
        <v>NEG</v>
      </c>
      <c r="H21" s="48" t="str">
        <f t="shared" si="2"/>
        <v>N</v>
      </c>
      <c r="I21" s="49" t="str">
        <f>IF(ECHANTILLONS!D22="","",ECHANTILLONS!D22)</f>
        <v/>
      </c>
      <c r="J21" s="49"/>
    </row>
    <row r="22" spans="1:10" ht="15" customHeight="1" x14ac:dyDescent="0.3">
      <c r="A22" s="36" t="s">
        <v>19</v>
      </c>
      <c r="B22" s="46">
        <f>IF(ECHANTILLONS!B23="","",ECHANTILLONS!B23)</f>
        <v>9</v>
      </c>
      <c r="C22" s="50">
        <f>IF(ECHANTILLONS!C23="","",ECHANTILLONS!C23)</f>
        <v>2402449</v>
      </c>
      <c r="D22" s="51">
        <f>IF('450-600 nm'!B29="","",'450-600 nm'!B29)</f>
        <v>-4.4072948328267643</v>
      </c>
      <c r="E22" s="48" t="str">
        <f t="shared" si="0"/>
        <v>NEG</v>
      </c>
      <c r="F22" s="51">
        <f>IF('450-600 nm'!H29="","",'450-600 nm'!H29)</f>
        <v>-2.8219817525992283</v>
      </c>
      <c r="G22" s="48" t="str">
        <f t="shared" si="1"/>
        <v>NEG</v>
      </c>
      <c r="H22" s="48" t="str">
        <f t="shared" si="2"/>
        <v>N</v>
      </c>
      <c r="I22" s="49" t="str">
        <f>IF(ECHANTILLONS!D23="","",ECHANTILLONS!D23)</f>
        <v/>
      </c>
      <c r="J22" s="49"/>
    </row>
    <row r="23" spans="1:10" ht="15" customHeight="1" x14ac:dyDescent="0.3">
      <c r="A23" s="36" t="s">
        <v>20</v>
      </c>
      <c r="B23" s="46">
        <f>IF(ECHANTILLONS!B24="","",ECHANTILLONS!B24)</f>
        <v>10</v>
      </c>
      <c r="C23" s="50">
        <f>IF(ECHANTILLONS!C24="","",ECHANTILLONS!C24)</f>
        <v>2402970</v>
      </c>
      <c r="D23" s="51">
        <f>IF('450-600 nm'!C29="","",'450-600 nm'!C29)</f>
        <v>-12.082066869300931</v>
      </c>
      <c r="E23" s="48" t="str">
        <f t="shared" si="0"/>
        <v>NEG</v>
      </c>
      <c r="F23" s="51">
        <f>IF('450-600 nm'!I29="","",'450-600 nm'!I29)</f>
        <v>4.6467218332272324</v>
      </c>
      <c r="G23" s="48" t="str">
        <f t="shared" si="1"/>
        <v>NEG</v>
      </c>
      <c r="H23" s="48" t="str">
        <f t="shared" si="2"/>
        <v>N</v>
      </c>
      <c r="I23" s="49" t="str">
        <f>IF(ECHANTILLONS!D24="","",ECHANTILLONS!D24)</f>
        <v/>
      </c>
      <c r="J23" s="49"/>
    </row>
    <row r="24" spans="1:10" ht="15" customHeight="1" x14ac:dyDescent="0.3">
      <c r="A24" s="36" t="s">
        <v>21</v>
      </c>
      <c r="B24" s="46">
        <f>IF(ECHANTILLONS!B25="","",ECHANTILLONS!B25)</f>
        <v>11</v>
      </c>
      <c r="C24" s="50">
        <f>IF(ECHANTILLONS!C25="","",ECHANTILLONS!C25)</f>
        <v>2400845</v>
      </c>
      <c r="D24" s="51">
        <f>IF('450-600 nm'!D29="","",'450-600 nm'!D29)</f>
        <v>-27.659574468085111</v>
      </c>
      <c r="E24" s="48" t="str">
        <f t="shared" si="0"/>
        <v>NEG</v>
      </c>
      <c r="F24" s="51">
        <f>IF('450-600 nm'!J29="","",'450-600 nm'!J29)</f>
        <v>2.0157012518565409</v>
      </c>
      <c r="G24" s="48" t="str">
        <f t="shared" si="1"/>
        <v>NEG</v>
      </c>
      <c r="H24" s="48" t="str">
        <f t="shared" si="2"/>
        <v>N</v>
      </c>
      <c r="I24" s="49" t="str">
        <f>IF(ECHANTILLONS!D25="","",ECHANTILLONS!D25)</f>
        <v/>
      </c>
      <c r="J24" s="49"/>
    </row>
    <row r="25" spans="1:10" ht="15" customHeight="1" x14ac:dyDescent="0.3">
      <c r="A25" s="36" t="s">
        <v>22</v>
      </c>
      <c r="B25" s="46">
        <f>IF(ECHANTILLONS!B26="","",ECHANTILLONS!B26)</f>
        <v>12</v>
      </c>
      <c r="C25" s="50">
        <f>IF(ECHANTILLONS!C26="","",ECHANTILLONS!C26)</f>
        <v>2402913</v>
      </c>
      <c r="D25" s="51">
        <f>IF('450-600 nm'!E29="","",'450-600 nm'!E29)</f>
        <v>-14.513677811550153</v>
      </c>
      <c r="E25" s="48" t="str">
        <f t="shared" si="0"/>
        <v>NEG</v>
      </c>
      <c r="F25" s="51">
        <f>IF('450-600 nm'!K29="","",'450-600 nm'!K29)</f>
        <v>7.9991512836834033</v>
      </c>
      <c r="G25" s="48" t="str">
        <f t="shared" si="1"/>
        <v>NEG</v>
      </c>
      <c r="H25" s="48" t="str">
        <f t="shared" si="2"/>
        <v>N</v>
      </c>
      <c r="I25" s="49" t="str">
        <f>IF(ECHANTILLONS!D26="","",ECHANTILLONS!D26)</f>
        <v/>
      </c>
      <c r="J25" s="49"/>
    </row>
    <row r="26" spans="1:10" ht="15" customHeight="1" x14ac:dyDescent="0.3">
      <c r="A26" s="36" t="s">
        <v>23</v>
      </c>
      <c r="B26" s="46">
        <f>IF(ECHANTILLONS!B27="","",ECHANTILLONS!B27)</f>
        <v>13</v>
      </c>
      <c r="C26" s="50">
        <f>IF(ECHANTILLONS!C27="","",ECHANTILLONS!C27)</f>
        <v>2402284</v>
      </c>
      <c r="D26" s="51">
        <f>IF('450-600 nm'!F29="","",'450-600 nm'!F29)</f>
        <v>-34.118541033434667</v>
      </c>
      <c r="E26" s="48" t="str">
        <f t="shared" si="0"/>
        <v>NEG</v>
      </c>
      <c r="F26" s="51">
        <f>IF('450-600 nm'!L29="","",'450-600 nm'!L29)</f>
        <v>10.630171865054095</v>
      </c>
      <c r="G26" s="48" t="str">
        <f t="shared" si="1"/>
        <v>NEG</v>
      </c>
      <c r="H26" s="48" t="str">
        <f t="shared" si="2"/>
        <v>N</v>
      </c>
      <c r="I26" s="49" t="str">
        <f>IF(ECHANTILLONS!D27="","",ECHANTILLONS!D27)</f>
        <v/>
      </c>
      <c r="J26" s="49"/>
    </row>
    <row r="27" spans="1:10" ht="15" customHeight="1" x14ac:dyDescent="0.3">
      <c r="A27" s="36" t="s">
        <v>24</v>
      </c>
      <c r="B27" s="46">
        <f>IF(ECHANTILLONS!B28="","",ECHANTILLONS!B28)</f>
        <v>14</v>
      </c>
      <c r="C27" s="50">
        <f>IF(ECHANTILLONS!C28="","",ECHANTILLONS!C28)</f>
        <v>2402407</v>
      </c>
      <c r="D27" s="51">
        <f>IF('450-600 nm'!G29="","",'450-600 nm'!G29)</f>
        <v>-3.8753799392097505</v>
      </c>
      <c r="E27" s="48" t="str">
        <f t="shared" si="0"/>
        <v>NEG</v>
      </c>
      <c r="F27" s="51">
        <f>IF('450-600 nm'!M29="","",'450-600 nm'!M29)</f>
        <v>7.9142796520262948</v>
      </c>
      <c r="G27" s="48" t="str">
        <f t="shared" si="1"/>
        <v>NEG</v>
      </c>
      <c r="H27" s="48" t="str">
        <f t="shared" si="2"/>
        <v>N</v>
      </c>
      <c r="I27" s="49" t="str">
        <f>IF(ECHANTILLONS!D28="","",ECHANTILLONS!D28)</f>
        <v/>
      </c>
      <c r="J27" s="49"/>
    </row>
    <row r="28" spans="1:10" ht="15" customHeight="1" x14ac:dyDescent="0.3">
      <c r="A28" s="36" t="s">
        <v>25</v>
      </c>
      <c r="B28" s="46">
        <f>IF(ECHANTILLONS!B29="","",ECHANTILLONS!B29)</f>
        <v>15</v>
      </c>
      <c r="C28" s="50">
        <f>IF(ECHANTILLONS!C29="","",ECHANTILLONS!C29)</f>
        <v>2400748</v>
      </c>
      <c r="D28" s="51">
        <f>IF('450-600 nm'!B30="","",'450-600 nm'!B30)</f>
        <v>-30.471124620060806</v>
      </c>
      <c r="E28" s="48" t="str">
        <f t="shared" si="0"/>
        <v>NEG</v>
      </c>
      <c r="F28" s="51">
        <f>IF('450-600 nm'!H30="","",'450-600 nm'!H30)</f>
        <v>-4.6042860173987066</v>
      </c>
      <c r="G28" s="48" t="str">
        <f t="shared" si="1"/>
        <v>NEG</v>
      </c>
      <c r="H28" s="48" t="str">
        <f t="shared" si="2"/>
        <v>N</v>
      </c>
      <c r="I28" s="49" t="str">
        <f>IF(ECHANTILLONS!D29="","",ECHANTILLONS!D29)</f>
        <v/>
      </c>
      <c r="J28" s="49"/>
    </row>
    <row r="29" spans="1:10" ht="15" customHeight="1" x14ac:dyDescent="0.3">
      <c r="A29" s="36" t="s">
        <v>26</v>
      </c>
      <c r="B29" s="46">
        <f>IF(ECHANTILLONS!B30="","",ECHANTILLONS!B30)</f>
        <v>16</v>
      </c>
      <c r="C29" s="50">
        <f>IF(ECHANTILLONS!C30="","",ECHANTILLONS!C30)</f>
        <v>2402952</v>
      </c>
      <c r="D29" s="51">
        <f>IF('450-600 nm'!C30="","",'450-600 nm'!C30)</f>
        <v>-8.5866261398176391</v>
      </c>
      <c r="E29" s="48" t="str">
        <f t="shared" si="0"/>
        <v>NEG</v>
      </c>
      <c r="F29" s="51">
        <f>IF('450-600 nm'!I30="","",'450-600 nm'!I30)</f>
        <v>-4.3496711224273383</v>
      </c>
      <c r="G29" s="48" t="str">
        <f t="shared" si="1"/>
        <v>NEG</v>
      </c>
      <c r="H29" s="48" t="str">
        <f t="shared" si="2"/>
        <v>N</v>
      </c>
      <c r="I29" s="49" t="str">
        <f>IF(ECHANTILLONS!D30="","",ECHANTILLONS!D30)</f>
        <v/>
      </c>
      <c r="J29" s="49"/>
    </row>
    <row r="30" spans="1:10" ht="15" customHeight="1" x14ac:dyDescent="0.3">
      <c r="A30" s="36" t="s">
        <v>27</v>
      </c>
      <c r="B30" s="46">
        <f>IF(ECHANTILLONS!B31="","",ECHANTILLONS!B31)</f>
        <v>17</v>
      </c>
      <c r="C30" s="50">
        <f>IF(ECHANTILLONS!C31="","",ECHANTILLONS!C31)</f>
        <v>2402410</v>
      </c>
      <c r="D30" s="51">
        <f>IF('450-600 nm'!D30="","",'450-600 nm'!D30)</f>
        <v>-37.310030395136778</v>
      </c>
      <c r="E30" s="48" t="str">
        <f t="shared" si="0"/>
        <v>NEG</v>
      </c>
      <c r="F30" s="51">
        <f>IF('450-600 nm'!J30="","",'450-600 nm'!J30)</f>
        <v>4.2647994907702014</v>
      </c>
      <c r="G30" s="48" t="str">
        <f t="shared" si="1"/>
        <v>NEG</v>
      </c>
      <c r="H30" s="48" t="str">
        <f t="shared" si="2"/>
        <v>N</v>
      </c>
      <c r="I30" s="49" t="str">
        <f>IF(ECHANTILLONS!D31="","",ECHANTILLONS!D31)</f>
        <v/>
      </c>
      <c r="J30" s="49"/>
    </row>
    <row r="31" spans="1:10" ht="15" customHeight="1" x14ac:dyDescent="0.3">
      <c r="A31" s="36" t="s">
        <v>28</v>
      </c>
      <c r="B31" s="46">
        <f>IF(ECHANTILLONS!B32="","",ECHANTILLONS!B32)</f>
        <v>18</v>
      </c>
      <c r="C31" s="50">
        <f>IF(ECHANTILLONS!C32="","",ECHANTILLONS!C32)</f>
        <v>2402291</v>
      </c>
      <c r="D31" s="51">
        <f>IF('450-600 nm'!E30="","",'450-600 nm'!E30)</f>
        <v>-48.480243161094251</v>
      </c>
      <c r="E31" s="48" t="str">
        <f t="shared" si="0"/>
        <v>NEG</v>
      </c>
      <c r="F31" s="51">
        <f>IF('450-600 nm'!K30="","",'450-600 nm'!K30)</f>
        <v>6.2592828347124794</v>
      </c>
      <c r="G31" s="48" t="str">
        <f t="shared" si="1"/>
        <v>NEG</v>
      </c>
      <c r="H31" s="48" t="str">
        <f t="shared" si="2"/>
        <v>N</v>
      </c>
      <c r="I31" s="49" t="str">
        <f>IF(ECHANTILLONS!D32="","",ECHANTILLONS!D32)</f>
        <v/>
      </c>
      <c r="J31" s="49"/>
    </row>
    <row r="32" spans="1:10" ht="15" customHeight="1" x14ac:dyDescent="0.3">
      <c r="A32" s="36" t="s">
        <v>29</v>
      </c>
      <c r="B32" s="46">
        <f>IF(ECHANTILLONS!B33="","",ECHANTILLONS!B33)</f>
        <v>19</v>
      </c>
      <c r="C32" s="50">
        <f>IF(ECHANTILLONS!C33="","",ECHANTILLONS!C33)</f>
        <v>2402287</v>
      </c>
      <c r="D32" s="51">
        <f>IF('450-600 nm'!F30="","",'450-600 nm'!F30)</f>
        <v>-41.869300911854111</v>
      </c>
      <c r="E32" s="48" t="str">
        <f t="shared" si="0"/>
        <v>NEG</v>
      </c>
      <c r="F32" s="51">
        <f>IF('450-600 nm'!L30="","",'450-600 nm'!L30)</f>
        <v>-12.285168682367924</v>
      </c>
      <c r="G32" s="48" t="str">
        <f t="shared" si="1"/>
        <v>NEG</v>
      </c>
      <c r="H32" s="48" t="str">
        <f t="shared" si="2"/>
        <v>N</v>
      </c>
      <c r="I32" s="49" t="str">
        <f>IF(ECHANTILLONS!D33="","",ECHANTILLONS!D33)</f>
        <v/>
      </c>
      <c r="J32" s="49"/>
    </row>
    <row r="33" spans="1:10" ht="15" customHeight="1" x14ac:dyDescent="0.3">
      <c r="A33" s="36" t="s">
        <v>30</v>
      </c>
      <c r="B33" s="46">
        <f>IF(ECHANTILLONS!B34="","",ECHANTILLONS!B34)</f>
        <v>20</v>
      </c>
      <c r="C33" s="50">
        <f>IF(ECHANTILLONS!C34="","",ECHANTILLONS!C34)</f>
        <v>2402298</v>
      </c>
      <c r="D33" s="51">
        <f>IF('450-600 nm'!G30="","",'450-600 nm'!G30)</f>
        <v>-59.49848024316114</v>
      </c>
      <c r="E33" s="48" t="str">
        <f t="shared" si="0"/>
        <v>NEG</v>
      </c>
      <c r="F33" s="51">
        <f>IF('450-600 nm'!M30="","",'450-600 nm'!M30)</f>
        <v>0.27583280288561696</v>
      </c>
      <c r="G33" s="48" t="str">
        <f t="shared" si="1"/>
        <v>NEG</v>
      </c>
      <c r="H33" s="48" t="str">
        <f t="shared" si="2"/>
        <v>N</v>
      </c>
      <c r="I33" s="49" t="str">
        <f>IF(ECHANTILLONS!D34="","",ECHANTILLONS!D34)</f>
        <v/>
      </c>
      <c r="J33" s="49"/>
    </row>
    <row r="34" spans="1:10" ht="15" customHeight="1" x14ac:dyDescent="0.3">
      <c r="A34" s="36" t="s">
        <v>31</v>
      </c>
      <c r="B34" s="46">
        <f>IF(ECHANTILLONS!B35="","",ECHANTILLONS!B35)</f>
        <v>21</v>
      </c>
      <c r="C34" s="50">
        <f>IF(ECHANTILLONS!C35="","",ECHANTILLONS!C35)</f>
        <v>2402281</v>
      </c>
      <c r="D34" s="51">
        <f>IF('450-600 nm'!B31="","",'450-600 nm'!B31)</f>
        <v>-30.85106382978725</v>
      </c>
      <c r="E34" s="48" t="str">
        <f t="shared" si="0"/>
        <v>NEG</v>
      </c>
      <c r="F34" s="51">
        <f>IF('450-600 nm'!H31="","",'450-600 nm'!H31)</f>
        <v>1.7610863568852011</v>
      </c>
      <c r="G34" s="48" t="str">
        <f t="shared" si="1"/>
        <v>NEG</v>
      </c>
      <c r="H34" s="48" t="str">
        <f t="shared" si="2"/>
        <v>N</v>
      </c>
      <c r="I34" s="49" t="str">
        <f>IF(ECHANTILLONS!D35="","",ECHANTILLONS!D35)</f>
        <v/>
      </c>
      <c r="J34" s="49"/>
    </row>
    <row r="35" spans="1:10" ht="15" customHeight="1" x14ac:dyDescent="0.3">
      <c r="A35" s="36" t="s">
        <v>32</v>
      </c>
      <c r="B35" s="46">
        <f>IF(ECHANTILLONS!B36="","",ECHANTILLONS!B36)</f>
        <v>22</v>
      </c>
      <c r="C35" s="50">
        <f>IF(ECHANTILLONS!C36="","",ECHANTILLONS!C36)</f>
        <v>2400896</v>
      </c>
      <c r="D35" s="51">
        <f>IF('450-600 nm'!C31="","",'450-600 nm'!C31)</f>
        <v>-29.179331306990889</v>
      </c>
      <c r="E35" s="48" t="str">
        <f t="shared" si="0"/>
        <v>NEG</v>
      </c>
      <c r="F35" s="51">
        <f>IF('450-600 nm'!I31="","",'450-600 nm'!I31)</f>
        <v>-3.1190324633991224</v>
      </c>
      <c r="G35" s="48" t="str">
        <f t="shared" si="1"/>
        <v>NEG</v>
      </c>
      <c r="H35" s="48" t="str">
        <f t="shared" si="2"/>
        <v>N</v>
      </c>
      <c r="I35" s="49" t="str">
        <f>IF(ECHANTILLONS!D36="","",ECHANTILLONS!D36)</f>
        <v/>
      </c>
      <c r="J35" s="49"/>
    </row>
    <row r="36" spans="1:10" ht="15" customHeight="1" x14ac:dyDescent="0.3">
      <c r="A36" s="36" t="s">
        <v>33</v>
      </c>
      <c r="B36" s="46">
        <f>IF(ECHANTILLONS!B37="","",ECHANTILLONS!B37)</f>
        <v>23</v>
      </c>
      <c r="C36" s="50">
        <f>IF(ECHANTILLONS!C37="","",ECHANTILLONS!C37)</f>
        <v>2400882</v>
      </c>
      <c r="D36" s="51">
        <f>IF('450-600 nm'!D31="","",'450-600 nm'!D31)</f>
        <v>-28.343465045592723</v>
      </c>
      <c r="E36" s="48" t="str">
        <f t="shared" si="0"/>
        <v>NEG</v>
      </c>
      <c r="F36" s="51">
        <f>IF('450-600 nm'!J31="","",'450-600 nm'!J31)</f>
        <v>13.091449183110527</v>
      </c>
      <c r="G36" s="48" t="str">
        <f t="shared" si="1"/>
        <v>NEG</v>
      </c>
      <c r="H36" s="48" t="str">
        <f t="shared" si="2"/>
        <v>N</v>
      </c>
      <c r="I36" s="49" t="str">
        <f>IF(ECHANTILLONS!D37="","",ECHANTILLONS!D37)</f>
        <v/>
      </c>
      <c r="J36" s="49"/>
    </row>
    <row r="37" spans="1:10" ht="15" customHeight="1" x14ac:dyDescent="0.3">
      <c r="A37" s="36" t="s">
        <v>34</v>
      </c>
      <c r="B37" s="46">
        <f>IF(ECHANTILLONS!B38="","",ECHANTILLONS!B38)</f>
        <v>24</v>
      </c>
      <c r="C37" s="50">
        <f>IF(ECHANTILLONS!C38="","",ECHANTILLONS!C38)</f>
        <v>2402847</v>
      </c>
      <c r="D37" s="51">
        <f>IF('450-600 nm'!E31="","",'450-600 nm'!E31)</f>
        <v>-37.158054711246194</v>
      </c>
      <c r="E37" s="48" t="str">
        <f t="shared" si="0"/>
        <v>NEG</v>
      </c>
      <c r="F37" s="51">
        <f>IF('450-600 nm'!K31="","",'450-600 nm'!K31)</f>
        <v>8.2537661786547716</v>
      </c>
      <c r="G37" s="48" t="str">
        <f t="shared" si="1"/>
        <v>NEG</v>
      </c>
      <c r="H37" s="48" t="str">
        <f t="shared" si="2"/>
        <v>N</v>
      </c>
      <c r="I37" s="49" t="str">
        <f>IF(ECHANTILLONS!D38="","",ECHANTILLONS!D38)</f>
        <v/>
      </c>
      <c r="J37" s="49"/>
    </row>
    <row r="38" spans="1:10" ht="15" customHeight="1" x14ac:dyDescent="0.3">
      <c r="A38" s="36" t="s">
        <v>35</v>
      </c>
      <c r="B38" s="46">
        <f>IF(ECHANTILLONS!B39="","",ECHANTILLONS!B39)</f>
        <v>25</v>
      </c>
      <c r="C38" s="50">
        <f>IF(ECHANTILLONS!C39="","",ECHANTILLONS!C39)</f>
        <v>2402836</v>
      </c>
      <c r="D38" s="51">
        <f>IF('450-600 nm'!F31="","",'450-600 nm'!F31)</f>
        <v>-29.787234042553223</v>
      </c>
      <c r="E38" s="48" t="str">
        <f t="shared" si="0"/>
        <v>NEG</v>
      </c>
      <c r="F38" s="51">
        <f>IF('450-600 nm'!L31="","",'450-600 nm'!L31)</f>
        <v>9.3995332060258789</v>
      </c>
      <c r="G38" s="48" t="str">
        <f t="shared" si="1"/>
        <v>NEG</v>
      </c>
      <c r="H38" s="48" t="str">
        <f t="shared" si="2"/>
        <v>N</v>
      </c>
      <c r="I38" s="49" t="str">
        <f>IF(ECHANTILLONS!D39="","",ECHANTILLONS!D39)</f>
        <v/>
      </c>
      <c r="J38" s="49"/>
    </row>
    <row r="39" spans="1:10" ht="15" customHeight="1" x14ac:dyDescent="0.3">
      <c r="A39" s="36" t="s">
        <v>36</v>
      </c>
      <c r="B39" s="46">
        <f>IF(ECHANTILLONS!B40="","",ECHANTILLONS!B40)</f>
        <v>26</v>
      </c>
      <c r="C39" s="50">
        <f>IF(ECHANTILLONS!C40="","",ECHANTILLONS!C40)</f>
        <v>2402906</v>
      </c>
      <c r="D39" s="51">
        <f>IF('450-600 nm'!G31="","",'450-600 nm'!G31)</f>
        <v>-29.40729483282675</v>
      </c>
      <c r="E39" s="48" t="str">
        <f t="shared" si="0"/>
        <v>NEG</v>
      </c>
      <c r="F39" s="51">
        <f>IF('450-600 nm'!M31="","",'450-600 nm'!M31)</f>
        <v>-0.91237004031403046</v>
      </c>
      <c r="G39" s="48" t="str">
        <f t="shared" si="1"/>
        <v>NEG</v>
      </c>
      <c r="H39" s="48" t="str">
        <f t="shared" si="2"/>
        <v>N</v>
      </c>
      <c r="I39" s="49" t="str">
        <f>IF(ECHANTILLONS!D40="","",ECHANTILLONS!D40)</f>
        <v/>
      </c>
      <c r="J39" s="49"/>
    </row>
    <row r="40" spans="1:10" ht="15" customHeight="1" x14ac:dyDescent="0.3">
      <c r="A40" s="36" t="s">
        <v>37</v>
      </c>
      <c r="B40" s="46">
        <f>IF(ECHANTILLONS!B41="","",ECHANTILLONS!B41)</f>
        <v>27</v>
      </c>
      <c r="C40" s="50">
        <f>IF(ECHANTILLONS!C41="","",ECHANTILLONS!C41)</f>
        <v>2402820</v>
      </c>
      <c r="D40" s="51">
        <f>IF('450-600 nm'!B32="","",'450-600 nm'!B32)</f>
        <v>-39.437689969604889</v>
      </c>
      <c r="E40" s="48" t="str">
        <f t="shared" si="0"/>
        <v>NEG</v>
      </c>
      <c r="F40" s="51">
        <f>IF('450-600 nm'!H32="","",'450-600 nm'!H32)</f>
        <v>-7.5323573095692922</v>
      </c>
      <c r="G40" s="48" t="str">
        <f t="shared" si="1"/>
        <v>NEG</v>
      </c>
      <c r="H40" s="48" t="str">
        <f t="shared" si="2"/>
        <v>N</v>
      </c>
      <c r="I40" s="49" t="str">
        <f>IF(ECHANTILLONS!D41="","",ECHANTILLONS!D41)</f>
        <v/>
      </c>
      <c r="J40" s="49"/>
    </row>
    <row r="41" spans="1:10" ht="15" customHeight="1" x14ac:dyDescent="0.3">
      <c r="A41" s="36" t="s">
        <v>38</v>
      </c>
      <c r="B41" s="46">
        <f>IF(ECHANTILLONS!B42="","",ECHANTILLONS!B42)</f>
        <v>28</v>
      </c>
      <c r="C41" s="50">
        <f>IF(ECHANTILLONS!C42="","",ECHANTILLONS!C42)</f>
        <v>2402959</v>
      </c>
      <c r="D41" s="51">
        <f>IF('450-600 nm'!C32="","",'450-600 nm'!C32)</f>
        <v>-48.784194528875389</v>
      </c>
      <c r="E41" s="48" t="str">
        <f t="shared" si="0"/>
        <v>NEG</v>
      </c>
      <c r="F41" s="51">
        <f>IF('450-600 nm'!I32="","",'450-600 nm'!I32)</f>
        <v>-4.2647994907702298</v>
      </c>
      <c r="G41" s="48" t="str">
        <f t="shared" si="1"/>
        <v>NEG</v>
      </c>
      <c r="H41" s="48" t="str">
        <f t="shared" si="2"/>
        <v>N</v>
      </c>
      <c r="I41" s="49" t="str">
        <f>IF(ECHANTILLONS!D42="","",ECHANTILLONS!D42)</f>
        <v/>
      </c>
      <c r="J41" s="49"/>
    </row>
    <row r="42" spans="1:10" ht="15" customHeight="1" x14ac:dyDescent="0.3">
      <c r="A42" s="36" t="s">
        <v>39</v>
      </c>
      <c r="B42" s="46">
        <f>IF(ECHANTILLONS!B43="","",ECHANTILLONS!B43)</f>
        <v>29</v>
      </c>
      <c r="C42" s="50">
        <f>IF(ECHANTILLONS!C43="","",ECHANTILLONS!C43)</f>
        <v>2402917</v>
      </c>
      <c r="D42" s="51">
        <f>IF('450-600 nm'!D32="","",'450-600 nm'!D32)</f>
        <v>-51.215805471124639</v>
      </c>
      <c r="E42" s="48" t="str">
        <f t="shared" si="0"/>
        <v>NEG</v>
      </c>
      <c r="F42" s="51">
        <f>IF('450-600 nm'!J32="","",'450-600 nm'!J32)</f>
        <v>2.1005728835136779</v>
      </c>
      <c r="G42" s="48" t="str">
        <f t="shared" si="1"/>
        <v>NEG</v>
      </c>
      <c r="H42" s="48" t="str">
        <f t="shared" si="2"/>
        <v>N</v>
      </c>
      <c r="I42" s="49" t="str">
        <f>IF(ECHANTILLONS!D43="","",ECHANTILLONS!D43)</f>
        <v/>
      </c>
      <c r="J42" s="49"/>
    </row>
    <row r="43" spans="1:10" ht="15" customHeight="1" x14ac:dyDescent="0.3">
      <c r="A43" s="36" t="s">
        <v>40</v>
      </c>
      <c r="B43" s="46">
        <f>IF(ECHANTILLONS!B44="","",ECHANTILLONS!B44)</f>
        <v>30</v>
      </c>
      <c r="C43" s="50">
        <f>IF(ECHANTILLONS!C44="","",ECHANTILLONS!C44)</f>
        <v>2402937</v>
      </c>
      <c r="D43" s="51">
        <f>IF('450-600 nm'!E32="","",'450-600 nm'!E32)</f>
        <v>-63.753799392097278</v>
      </c>
      <c r="E43" s="48" t="str">
        <f t="shared" si="0"/>
        <v>NEG</v>
      </c>
      <c r="F43" s="51">
        <f>IF('450-600 nm'!K32="","",'450-600 nm'!K32)</f>
        <v>0.86993422448546198</v>
      </c>
      <c r="G43" s="48" t="str">
        <f t="shared" si="1"/>
        <v>NEG</v>
      </c>
      <c r="H43" s="48" t="str">
        <f t="shared" si="2"/>
        <v>N</v>
      </c>
      <c r="I43" s="49" t="str">
        <f>IF(ECHANTILLONS!D44="","",ECHANTILLONS!D44)</f>
        <v/>
      </c>
      <c r="J43" s="49"/>
    </row>
    <row r="44" spans="1:10" ht="15" customHeight="1" x14ac:dyDescent="0.3">
      <c r="A44" s="36" t="s">
        <v>41</v>
      </c>
      <c r="B44" s="46">
        <f>IF(ECHANTILLONS!B45="","",ECHANTILLONS!B45)</f>
        <v>31</v>
      </c>
      <c r="C44" s="50">
        <f>IF(ECHANTILLONS!C45="","",ECHANTILLONS!C45)</f>
        <v>2402800</v>
      </c>
      <c r="D44" s="51">
        <f>IF('450-600 nm'!F32="","",'450-600 nm'!F32)</f>
        <v>-45.592705167173278</v>
      </c>
      <c r="E44" s="48" t="str">
        <f t="shared" si="0"/>
        <v>NEG</v>
      </c>
      <c r="F44" s="51">
        <f>IF('450-600 nm'!L32="","",'450-600 nm'!L32)</f>
        <v>12.412476129853573</v>
      </c>
      <c r="G44" s="48" t="str">
        <f t="shared" si="1"/>
        <v>NEG</v>
      </c>
      <c r="H44" s="48" t="str">
        <f t="shared" si="2"/>
        <v>N</v>
      </c>
      <c r="I44" s="49" t="str">
        <f>IF(ECHANTILLONS!D45="","",ECHANTILLONS!D45)</f>
        <v/>
      </c>
      <c r="J44" s="49"/>
    </row>
    <row r="45" spans="1:10" ht="15" customHeight="1" x14ac:dyDescent="0.3">
      <c r="A45" s="36" t="s">
        <v>42</v>
      </c>
      <c r="B45" s="46">
        <f>IF(ECHANTILLONS!B46="","",ECHANTILLONS!B46)</f>
        <v>32</v>
      </c>
      <c r="C45" s="50">
        <f>IF(ECHANTILLONS!C46="","",ECHANTILLONS!C46)</f>
        <v>2402825</v>
      </c>
      <c r="D45" s="51">
        <f>IF('450-600 nm'!G32="","",'450-600 nm'!G32)</f>
        <v>-52.355623100303973</v>
      </c>
      <c r="E45" s="48" t="str">
        <f t="shared" si="0"/>
        <v>NEG</v>
      </c>
      <c r="F45" s="51">
        <f>IF('450-600 nm'!M32="","",'450-600 nm'!M32)</f>
        <v>8.5083810736261114</v>
      </c>
      <c r="G45" s="48" t="str">
        <f t="shared" si="1"/>
        <v>NEG</v>
      </c>
      <c r="H45" s="48" t="str">
        <f t="shared" si="2"/>
        <v>N</v>
      </c>
      <c r="I45" s="49" t="str">
        <f>IF(ECHANTILLONS!D46="","",ECHANTILLONS!D46)</f>
        <v/>
      </c>
      <c r="J45" s="49"/>
    </row>
    <row r="46" spans="1:10" ht="15" customHeight="1" x14ac:dyDescent="0.3">
      <c r="A46" s="36" t="s">
        <v>43</v>
      </c>
      <c r="B46" s="46">
        <f>IF(ECHANTILLONS!B47="","",ECHANTILLONS!B47)</f>
        <v>33</v>
      </c>
      <c r="C46" s="50">
        <f>IF(ECHANTILLONS!C47="","",ECHANTILLONS!C47)</f>
        <v>2401082</v>
      </c>
      <c r="D46" s="51">
        <f>IF('450-600 nm'!B33="","",'450-600 nm'!B33)</f>
        <v>-21.20060790273557</v>
      </c>
      <c r="E46" s="48" t="str">
        <f t="shared" si="0"/>
        <v>NEG</v>
      </c>
      <c r="F46" s="51">
        <f>IF('450-600 nm'!H33="","",'450-600 nm'!H33)</f>
        <v>-7.2353065987693839</v>
      </c>
      <c r="G46" s="48" t="str">
        <f t="shared" si="1"/>
        <v>NEG</v>
      </c>
      <c r="H46" s="48" t="str">
        <f t="shared" si="2"/>
        <v>N</v>
      </c>
      <c r="I46" s="49" t="str">
        <f>IF(ECHANTILLONS!D47="","",ECHANTILLONS!D47)</f>
        <v/>
      </c>
      <c r="J46" s="49"/>
    </row>
    <row r="47" spans="1:10" ht="15" customHeight="1" x14ac:dyDescent="0.3">
      <c r="A47" s="36" t="s">
        <v>44</v>
      </c>
      <c r="B47" s="46">
        <f>IF(ECHANTILLONS!B48="","",ECHANTILLONS!B48)</f>
        <v>34</v>
      </c>
      <c r="C47" s="50">
        <f>IF(ECHANTILLONS!C48="","",ECHANTILLONS!C48)</f>
        <v>2402834</v>
      </c>
      <c r="D47" s="51">
        <f>IF('450-600 nm'!C33="","",'450-600 nm'!C33)</f>
        <v>-43.237082066869306</v>
      </c>
      <c r="E47" s="48" t="str">
        <f t="shared" si="0"/>
        <v>NEG</v>
      </c>
      <c r="F47" s="51">
        <f>IF('450-600 nm'!I33="","",'450-600 nm'!I33)</f>
        <v>-8.975175047740322</v>
      </c>
      <c r="G47" s="48" t="str">
        <f t="shared" si="1"/>
        <v>NEG</v>
      </c>
      <c r="H47" s="48" t="str">
        <f t="shared" si="2"/>
        <v>N</v>
      </c>
      <c r="I47" s="49" t="str">
        <f>IF(ECHANTILLONS!D48="","",ECHANTILLONS!D48)</f>
        <v/>
      </c>
      <c r="J47" s="49"/>
    </row>
    <row r="48" spans="1:10" ht="15" customHeight="1" x14ac:dyDescent="0.3">
      <c r="A48" s="36" t="s">
        <v>45</v>
      </c>
      <c r="B48" s="46">
        <f>IF(ECHANTILLONS!B49="","",ECHANTILLONS!B49)</f>
        <v>35</v>
      </c>
      <c r="C48" s="50">
        <f>IF(ECHANTILLONS!C49="","",ECHANTILLONS!C49)</f>
        <v>2402776</v>
      </c>
      <c r="D48" s="51">
        <f>IF('450-600 nm'!D33="","",'450-600 nm'!D33)</f>
        <v>-40.197568389057778</v>
      </c>
      <c r="E48" s="48" t="str">
        <f t="shared" si="0"/>
        <v>NEG</v>
      </c>
      <c r="F48" s="51">
        <f>IF('450-600 nm'!J33="","",'450-600 nm'!J33)</f>
        <v>-2.3551877784850461</v>
      </c>
      <c r="G48" s="48" t="str">
        <f t="shared" si="1"/>
        <v>NEG</v>
      </c>
      <c r="H48" s="48" t="str">
        <f t="shared" si="2"/>
        <v>N</v>
      </c>
      <c r="I48" s="49" t="str">
        <f>IF(ECHANTILLONS!D49="","",ECHANTILLONS!D49)</f>
        <v/>
      </c>
      <c r="J48" s="49"/>
    </row>
    <row r="49" spans="1:10" ht="15" customHeight="1" x14ac:dyDescent="0.3">
      <c r="A49" s="36" t="s">
        <v>46</v>
      </c>
      <c r="B49" s="46">
        <f>IF(ECHANTILLONS!B50="","",ECHANTILLONS!B50)</f>
        <v>36</v>
      </c>
      <c r="C49" s="50">
        <f>IF(ECHANTILLONS!C50="","",ECHANTILLONS!C50)</f>
        <v>2500019</v>
      </c>
      <c r="D49" s="51">
        <f>IF('450-600 nm'!E33="","",'450-600 nm'!E33)</f>
        <v>-53.267477203647417</v>
      </c>
      <c r="E49" s="48" t="str">
        <f t="shared" si="0"/>
        <v>NEG</v>
      </c>
      <c r="F49" s="51">
        <f>IF('450-600 nm'!K33="","",'450-600 nm'!K33)</f>
        <v>-10.502864417568446</v>
      </c>
      <c r="G49" s="48" t="str">
        <f t="shared" si="1"/>
        <v>NEG</v>
      </c>
      <c r="H49" s="48" t="str">
        <f t="shared" si="2"/>
        <v>N</v>
      </c>
      <c r="I49" s="49" t="str">
        <f>IF(ECHANTILLONS!D50="","",ECHANTILLONS!D50)</f>
        <v/>
      </c>
      <c r="J49" s="49"/>
    </row>
    <row r="50" spans="1:10" ht="15" customHeight="1" x14ac:dyDescent="0.3">
      <c r="A50" s="36" t="s">
        <v>47</v>
      </c>
      <c r="B50" s="46">
        <f>IF(ECHANTILLONS!B51="","",ECHANTILLONS!B51)</f>
        <v>37</v>
      </c>
      <c r="C50" s="50">
        <f>IF(ECHANTILLONS!C51="","",ECHANTILLONS!C51)</f>
        <v>2402586</v>
      </c>
      <c r="D50" s="51">
        <f>IF('450-600 nm'!F33="","",'450-600 nm'!F33)</f>
        <v>-63.145896656534973</v>
      </c>
      <c r="E50" s="48" t="str">
        <f t="shared" si="0"/>
        <v>NEG</v>
      </c>
      <c r="F50" s="51">
        <f>IF('450-600 nm'!L33="","",'450-600 nm'!L33)</f>
        <v>-0.61531932951413637</v>
      </c>
      <c r="G50" s="48" t="str">
        <f t="shared" si="1"/>
        <v>NEG</v>
      </c>
      <c r="H50" s="48" t="str">
        <f t="shared" si="2"/>
        <v>N</v>
      </c>
      <c r="I50" s="49" t="str">
        <f>IF(ECHANTILLONS!D51="","",ECHANTILLONS!D51)</f>
        <v/>
      </c>
      <c r="J50" s="49"/>
    </row>
    <row r="51" spans="1:10" ht="15" customHeight="1" x14ac:dyDescent="0.3">
      <c r="A51" s="36" t="s">
        <v>48</v>
      </c>
      <c r="B51" s="46">
        <f>IF(ECHANTILLONS!B52="","",ECHANTILLONS!B52)</f>
        <v>38</v>
      </c>
      <c r="C51" s="50">
        <f>IF(ECHANTILLONS!C52="","",ECHANTILLONS!C52)</f>
        <v>2402831</v>
      </c>
      <c r="D51" s="51">
        <f>IF('450-600 nm'!G33="","",'450-600 nm'!G33)</f>
        <v>-62.993920972644389</v>
      </c>
      <c r="E51" s="48" t="str">
        <f t="shared" si="0"/>
        <v>NEG</v>
      </c>
      <c r="F51" s="51">
        <f>IF('450-600 nm'!M33="","",'450-600 nm'!M33)</f>
        <v>-9.6965839168258157</v>
      </c>
      <c r="G51" s="48" t="str">
        <f t="shared" si="1"/>
        <v>NEG</v>
      </c>
      <c r="H51" s="48" t="str">
        <f t="shared" si="2"/>
        <v>N</v>
      </c>
      <c r="I51" s="49" t="str">
        <f>IF(ECHANTILLONS!D52="","",ECHANTILLONS!D52)</f>
        <v/>
      </c>
      <c r="J51" s="49"/>
    </row>
    <row r="52" spans="1:10" ht="15" customHeight="1" x14ac:dyDescent="0.3">
      <c r="A52" s="36" t="s">
        <v>49</v>
      </c>
      <c r="B52" s="46">
        <f>IF(ECHANTILLONS!B53="","",ECHANTILLONS!B53)</f>
        <v>39</v>
      </c>
      <c r="C52" s="50">
        <f>IF(ECHANTILLONS!C53="","",ECHANTILLONS!C53)</f>
        <v>2400780</v>
      </c>
      <c r="D52" s="51">
        <f>IF('450-600 nm'!B34="","",'450-600 nm'!B34)</f>
        <v>-9.9544072948328335</v>
      </c>
      <c r="E52" s="48" t="str">
        <f t="shared" si="0"/>
        <v>NEG</v>
      </c>
      <c r="F52" s="51">
        <f>IF('450-600 nm'!H34="","",'450-600 nm'!H34)</f>
        <v>-5.919796308084031</v>
      </c>
      <c r="G52" s="48" t="str">
        <f t="shared" si="1"/>
        <v>NEG</v>
      </c>
      <c r="H52" s="48" t="str">
        <f t="shared" si="2"/>
        <v>N</v>
      </c>
      <c r="I52" s="49" t="str">
        <f>IF(ECHANTILLONS!D53="","",ECHANTILLONS!D53)</f>
        <v/>
      </c>
      <c r="J52" s="49"/>
    </row>
    <row r="53" spans="1:10" ht="15" customHeight="1" x14ac:dyDescent="0.3">
      <c r="A53" s="36" t="s">
        <v>50</v>
      </c>
      <c r="B53" s="46">
        <f>IF(ECHANTILLONS!B54="","",ECHANTILLONS!B54)</f>
        <v>40</v>
      </c>
      <c r="C53" s="50">
        <f>IF(ECHANTILLONS!C54="","",ECHANTILLONS!C54)</f>
        <v>2400818</v>
      </c>
      <c r="D53" s="51">
        <f>IF('450-600 nm'!C34="","",'450-600 nm'!C34)</f>
        <v>-30.319148936170222</v>
      </c>
      <c r="E53" s="48" t="str">
        <f t="shared" si="0"/>
        <v>NEG</v>
      </c>
      <c r="F53" s="51">
        <f>IF('450-600 nm'!I34="","",'450-600 nm'!I34)</f>
        <v>-8.9327392319117536</v>
      </c>
      <c r="G53" s="48" t="str">
        <f t="shared" si="1"/>
        <v>NEG</v>
      </c>
      <c r="H53" s="48" t="str">
        <f t="shared" si="2"/>
        <v>N</v>
      </c>
      <c r="I53" s="49" t="str">
        <f>IF(ECHANTILLONS!D54="","",ECHANTILLONS!D54)</f>
        <v/>
      </c>
      <c r="J53" s="49"/>
    </row>
    <row r="54" spans="1:10" ht="15" customHeight="1" x14ac:dyDescent="0.3">
      <c r="A54" s="36" t="s">
        <v>51</v>
      </c>
      <c r="B54" s="46">
        <f>IF(ECHANTILLONS!B55="","",ECHANTILLONS!B55)</f>
        <v>41</v>
      </c>
      <c r="C54" s="50">
        <f>IF(ECHANTILLONS!C55="","",ECHANTILLONS!C55)</f>
        <v>2400806</v>
      </c>
      <c r="D54" s="51">
        <f>IF('450-600 nm'!D34="","",'450-600 nm'!D34)</f>
        <v>-36.47416413373864</v>
      </c>
      <c r="E54" s="48" t="str">
        <f t="shared" si="0"/>
        <v>NEG</v>
      </c>
      <c r="F54" s="51">
        <f>IF('450-600 nm'!J34="","",'450-600 nm'!J34)</f>
        <v>-3.3312115425419222</v>
      </c>
      <c r="G54" s="48" t="str">
        <f t="shared" si="1"/>
        <v>NEG</v>
      </c>
      <c r="H54" s="48" t="str">
        <f t="shared" si="2"/>
        <v>N</v>
      </c>
      <c r="I54" s="49" t="str">
        <f>IF(ECHANTILLONS!D55="","",ECHANTILLONS!D55)</f>
        <v/>
      </c>
      <c r="J54" s="49"/>
    </row>
    <row r="55" spans="1:10" ht="15" customHeight="1" x14ac:dyDescent="0.3">
      <c r="A55" s="36" t="s">
        <v>52</v>
      </c>
      <c r="B55" s="46">
        <f>IF(ECHANTILLONS!B56="","",ECHANTILLONS!B56)</f>
        <v>42</v>
      </c>
      <c r="C55" s="50">
        <f>IF(ECHANTILLONS!C56="","",ECHANTILLONS!C56)</f>
        <v>2500007</v>
      </c>
      <c r="D55" s="51">
        <f>IF('450-600 nm'!E34="","",'450-600 nm'!E34)</f>
        <v>-48.632218844984806</v>
      </c>
      <c r="E55" s="48" t="str">
        <f t="shared" si="0"/>
        <v>NEG</v>
      </c>
      <c r="F55" s="51">
        <f>IF('450-600 nm'!K34="","",'450-600 nm'!K34)</f>
        <v>-8.2962019944833543</v>
      </c>
      <c r="G55" s="48" t="str">
        <f t="shared" si="1"/>
        <v>NEG</v>
      </c>
      <c r="H55" s="48" t="str">
        <f t="shared" si="2"/>
        <v>N</v>
      </c>
      <c r="I55" s="49" t="str">
        <f>IF(ECHANTILLONS!D56="","",ECHANTILLONS!D56)</f>
        <v/>
      </c>
      <c r="J55" s="49"/>
    </row>
    <row r="56" spans="1:10" ht="15" customHeight="1" x14ac:dyDescent="0.3">
      <c r="A56" s="36" t="s">
        <v>53</v>
      </c>
      <c r="B56" s="46">
        <f>IF(ECHANTILLONS!B57="","",ECHANTILLONS!B57)</f>
        <v>43</v>
      </c>
      <c r="C56" s="50">
        <f>IF(ECHANTILLONS!C57="","",ECHANTILLONS!C57)</f>
        <v>2402924</v>
      </c>
      <c r="D56" s="51">
        <f>IF('450-600 nm'!F34="","",'450-600 nm'!F34)</f>
        <v>-52.963525835866278</v>
      </c>
      <c r="E56" s="48" t="str">
        <f t="shared" si="0"/>
        <v>NEG</v>
      </c>
      <c r="F56" s="51">
        <f>IF('450-600 nm'!L34="","",'450-600 nm'!L34)</f>
        <v>-0.65775514534267643</v>
      </c>
      <c r="G56" s="48" t="str">
        <f t="shared" si="1"/>
        <v>NEG</v>
      </c>
      <c r="H56" s="48" t="str">
        <f t="shared" si="2"/>
        <v>N</v>
      </c>
      <c r="I56" s="49" t="str">
        <f>IF(ECHANTILLONS!D57="","",ECHANTILLONS!D57)</f>
        <v/>
      </c>
      <c r="J56" s="49"/>
    </row>
    <row r="57" spans="1:10" ht="15" customHeight="1" x14ac:dyDescent="0.3">
      <c r="A57" s="36" t="s">
        <v>54</v>
      </c>
      <c r="B57" s="46">
        <f>IF(ECHANTILLONS!B58="","",ECHANTILLONS!B58)</f>
        <v>44</v>
      </c>
      <c r="C57" s="50">
        <f>IF(ECHANTILLONS!C58="","",ECHANTILLONS!C58)</f>
        <v>2400878</v>
      </c>
      <c r="D57" s="51">
        <f>IF('450-600 nm'!G34="","",'450-600 nm'!G34)</f>
        <v>-37.158054711246194</v>
      </c>
      <c r="E57" s="48" t="str">
        <f t="shared" si="0"/>
        <v>NEG</v>
      </c>
      <c r="F57" s="51">
        <f>IF('450-600 nm'!M34="","",'450-600 nm'!M34)</f>
        <v>76.490558030978136</v>
      </c>
      <c r="G57" s="48" t="str">
        <f t="shared" si="1"/>
        <v>POS</v>
      </c>
      <c r="H57" s="48" t="str">
        <f t="shared" si="2"/>
        <v>P</v>
      </c>
      <c r="I57" s="49" t="str">
        <f>IF(ECHANTILLONS!D58="","",ECHANTILLONS!D58)</f>
        <v/>
      </c>
      <c r="J57" s="49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2025-06-16T13:23:41+00:00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B82B80-169F-4F46-8DE4-B4E13F968202}"/>
</file>

<file path=customXml/itemProps2.xml><?xml version="1.0" encoding="utf-8"?>
<ds:datastoreItem xmlns:ds="http://schemas.openxmlformats.org/officeDocument/2006/customXml" ds:itemID="{659BBFB0-3340-4E8A-B7A9-D0BA333C0EA3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2025-11-21T20:17:49Z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