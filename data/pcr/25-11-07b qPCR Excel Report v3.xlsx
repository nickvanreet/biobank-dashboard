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6321346F-8803-4EF4-80EA-8C2256CB88FB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295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<sst xmlns="http://schemas.openxmlformats.org/spreadsheetml/2006/main" count="427" uniqueCount="76">
  <si>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</si>
  <si>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</si>
  <si>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</si>
  <si>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</si>
  <si>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</si>
  <si>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</si>
  <si>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</si>
  <si>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</si>
  <si>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</si>
  <si>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</si>
  <si>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</si>
  <si>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</si>
  <si>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</si>
  <si>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</si>
  <si>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</si>
  <si>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</si>
  <si>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</si>
  <si>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</si>
  <si>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</si>
  <si>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</si>
  <si>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</si>
  <si>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</si>
  <si>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</si>
  <si>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</si>
  <si>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</si>
  <si>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</si>
  <si>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</si>
  <si>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</si>
  <si>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</si>
  <si>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</si>
  <si>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</si>
  <si>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</si>
  <si>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</si>
  <si>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</si>
  <si>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</si>
  <si>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</si>
  <si>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</si>
  <si>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</si>
  <si>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</si>
  <si>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</si>
  <si>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</si>
  <si>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</si>
  <si>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</si>
  <si>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</si>
  <si>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</si>
  <si>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2025-11-07 12.30.49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</si>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</sst>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topLeftCell="A20" workbookViewId="0">
      <selection activeCell="A35" sqref="A35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423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423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423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423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424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424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424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424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425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425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425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425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426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426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426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426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427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427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427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427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428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428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428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428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429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429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429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429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430</v>
      </c>
      <c r="C30" s="8">
        <v>33.941164553458499</v>
      </c>
      <c r="D30" s="8">
        <v>0.56263074707602001</v>
      </c>
      <c r="E30" s="8">
        <v>0.99877000000000005</v>
      </c>
      <c r="F30" s="8"/>
    </row>
    <row r="31" spans="1:6">
      <c r="A31" s="8">
        <v>30</v>
      </c>
      <c r="B31" s="8">
        <v>430</v>
      </c>
      <c r="C31" s="8">
        <v>33.4268164062888</v>
      </c>
      <c r="D31" s="8">
        <v>0.531997715248129</v>
      </c>
      <c r="E31" s="8">
        <v>0.99863999999999997</v>
      </c>
      <c r="F31" s="8"/>
    </row>
    <row r="32" spans="1:6">
      <c r="A32" s="8">
        <v>31</v>
      </c>
      <c r="B32" s="8">
        <v>430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430</v>
      </c>
      <c r="C33" s="8">
        <v>34.470585182938102</v>
      </c>
      <c r="D33" s="8">
        <v>0.48314633044663702</v>
      </c>
      <c r="E33" s="8">
        <v>0.99814000000000003</v>
      </c>
      <c r="F33" s="8"/>
    </row>
    <row r="34" spans="1:6">
      <c r="A34" s="8">
        <v>33</v>
      </c>
      <c r="B34" s="8">
        <v>431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431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431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431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432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432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432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432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22.539234100319899</v>
      </c>
      <c r="D42" s="8">
        <v>0.96609513533556701</v>
      </c>
      <c r="E42" s="8">
        <v>0.99926999999999999</v>
      </c>
      <c r="F42" s="8"/>
    </row>
    <row r="43" spans="1:6">
      <c r="A43" s="8">
        <v>42</v>
      </c>
      <c r="B43" s="8" t="s">
        <v>7</v>
      </c>
      <c r="C43" s="8">
        <v>22.476655046117099</v>
      </c>
      <c r="D43" s="8">
        <v>0.88101569431550797</v>
      </c>
      <c r="E43" s="8">
        <v>0.99970999999999999</v>
      </c>
      <c r="F43" s="8"/>
    </row>
    <row r="44" spans="1:6">
      <c r="A44" s="8">
        <v>43</v>
      </c>
      <c r="B44" s="8" t="s">
        <v>7</v>
      </c>
      <c r="C44" s="8">
        <v>23.196183245938101</v>
      </c>
      <c r="D44" s="8">
        <v>1.0169014351653101</v>
      </c>
      <c r="E44" s="8">
        <v>0.99888999999999994</v>
      </c>
      <c r="F44" s="8"/>
    </row>
    <row r="45" spans="1:6">
      <c r="A45" s="8">
        <v>44</v>
      </c>
      <c r="B45" s="8" t="s">
        <v>7</v>
      </c>
      <c r="C45" s="8">
        <v>22.463417092475801</v>
      </c>
      <c r="D45" s="8">
        <v>0.94337948807233196</v>
      </c>
      <c r="E45" s="8">
        <v>0.99982000000000004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topLeftCell="A22" workbookViewId="0">
      <selection activeCell="A22" sqref="A22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423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423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423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423</v>
      </c>
      <c r="C5" s="9">
        <v>37.768247818548502</v>
      </c>
      <c r="D5" s="9">
        <v>0.58986185580192296</v>
      </c>
      <c r="E5" s="9">
        <v>0.99805999999999995</v>
      </c>
      <c r="F5" s="9"/>
    </row>
    <row r="6" spans="1:6">
      <c r="A6" s="9">
        <v>5</v>
      </c>
      <c r="B6" s="9">
        <v>424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424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424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424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425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425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425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425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426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426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426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426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427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427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427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427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428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428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428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428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429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429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429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429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430</v>
      </c>
      <c r="C30" s="9">
        <v>37.8515641645591</v>
      </c>
      <c r="D30" s="9">
        <v>0.58928552495289399</v>
      </c>
      <c r="E30" s="9">
        <v>0.99717</v>
      </c>
      <c r="F30" s="9"/>
    </row>
    <row r="31" spans="1:6">
      <c r="A31" s="9">
        <v>30</v>
      </c>
      <c r="B31" s="9">
        <v>430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430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430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431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431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431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431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432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432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432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432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20.201235813455199</v>
      </c>
      <c r="D42" s="9">
        <v>0.939008964424207</v>
      </c>
      <c r="E42" s="9">
        <v>0.99831999999999999</v>
      </c>
      <c r="F42" s="9"/>
    </row>
    <row r="43" spans="1:6">
      <c r="A43" s="9">
        <v>42</v>
      </c>
      <c r="B43" s="9" t="s">
        <v>7</v>
      </c>
      <c r="C43" s="9">
        <v>20.110718226722501</v>
      </c>
      <c r="D43" s="9">
        <v>0.94345534315837998</v>
      </c>
      <c r="E43" s="9">
        <v>0.99822999999999995</v>
      </c>
      <c r="F43" s="9"/>
    </row>
    <row r="44" spans="1:6">
      <c r="A44" s="9">
        <v>43</v>
      </c>
      <c r="B44" s="9" t="s">
        <v>7</v>
      </c>
      <c r="C44" s="9">
        <v>20.158273531853901</v>
      </c>
      <c r="D44" s="9">
        <v>0.94265105147249995</v>
      </c>
      <c r="E44" s="9">
        <v>0.99821000000000004</v>
      </c>
      <c r="F44" s="9"/>
    </row>
    <row r="45" spans="1:6">
      <c r="A45" s="9">
        <v>44</v>
      </c>
      <c r="B45" s="9" t="s">
        <v>7</v>
      </c>
      <c r="C45" s="9">
        <v>20.1028334128357</v>
      </c>
      <c r="D45" s="9">
        <v>0.944797557971506</v>
      </c>
      <c r="E45" s="9">
        <v>0.99814000000000003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/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423</v>
      </c>
      <c r="C2" s="10">
        <v>23.446818627995299</v>
      </c>
      <c r="D2" s="10">
        <v>0.86578232431873103</v>
      </c>
      <c r="E2" s="10">
        <v>0.99948999999999999</v>
      </c>
      <c r="F2" s="10"/>
    </row>
    <row r="3" spans="1:6">
      <c r="A3" s="10">
        <v>2</v>
      </c>
      <c r="B3" s="10">
        <v>423</v>
      </c>
      <c r="C3" s="10">
        <v>27.074335280510301</v>
      </c>
      <c r="D3" s="10">
        <v>0.89717075617930897</v>
      </c>
      <c r="E3" s="10">
        <v>0.99890999999999996</v>
      </c>
      <c r="F3" s="10"/>
    </row>
    <row r="4" spans="1:6">
      <c r="A4" s="10">
        <v>3</v>
      </c>
      <c r="B4" s="10">
        <v>423</v>
      </c>
      <c r="C4" s="10">
        <v>23.290154572711099</v>
      </c>
      <c r="D4" s="10">
        <v>0.90659455842604497</v>
      </c>
      <c r="E4" s="10">
        <v>0.99892000000000003</v>
      </c>
      <c r="F4" s="10"/>
    </row>
    <row r="5" spans="1:6">
      <c r="A5" s="10">
        <v>4</v>
      </c>
      <c r="B5" s="10">
        <v>423</v>
      </c>
      <c r="C5" s="10">
        <v>23.465753294707898</v>
      </c>
      <c r="D5" s="10">
        <v>0.86336617002555904</v>
      </c>
      <c r="E5" s="10">
        <v>0.99948000000000004</v>
      </c>
      <c r="F5" s="10"/>
    </row>
    <row r="6" spans="1:6">
      <c r="A6" s="10">
        <v>5</v>
      </c>
      <c r="B6" s="10">
        <v>424</v>
      </c>
      <c r="C6" s="10">
        <v>27.7422190138488</v>
      </c>
      <c r="D6" s="10">
        <v>0.85140738043060105</v>
      </c>
      <c r="E6" s="10">
        <v>0.99953999999999998</v>
      </c>
      <c r="F6" s="10"/>
    </row>
    <row r="7" spans="1:6">
      <c r="A7" s="10">
        <v>6</v>
      </c>
      <c r="B7" s="10">
        <v>424</v>
      </c>
      <c r="C7" s="10">
        <v>27.737917052760601</v>
      </c>
      <c r="D7" s="10">
        <v>0.86091105625330799</v>
      </c>
      <c r="E7" s="10">
        <v>0.99933000000000005</v>
      </c>
      <c r="F7" s="10"/>
    </row>
    <row r="8" spans="1:6">
      <c r="A8" s="10">
        <v>7</v>
      </c>
      <c r="B8" s="10">
        <v>424</v>
      </c>
      <c r="C8" s="10">
        <v>27.4649072912657</v>
      </c>
      <c r="D8" s="10">
        <v>0.89766847921034199</v>
      </c>
      <c r="E8" s="10">
        <v>0.99956999999999996</v>
      </c>
      <c r="F8" s="10"/>
    </row>
    <row r="9" spans="1:6">
      <c r="A9" s="10">
        <v>8</v>
      </c>
      <c r="B9" s="10">
        <v>424</v>
      </c>
      <c r="C9" s="10">
        <v>27.478976915278601</v>
      </c>
      <c r="D9" s="10">
        <v>0.87511783417591604</v>
      </c>
      <c r="E9" s="10">
        <v>0.99950000000000006</v>
      </c>
      <c r="F9" s="10"/>
    </row>
    <row r="10" spans="1:6">
      <c r="A10" s="10">
        <v>9</v>
      </c>
      <c r="B10" s="10">
        <v>425</v>
      </c>
      <c r="C10" s="10">
        <v>23.049987498116501</v>
      </c>
      <c r="D10" s="10">
        <v>0.886004228032783</v>
      </c>
      <c r="E10" s="10">
        <v>0.99902000000000002</v>
      </c>
      <c r="F10" s="10"/>
    </row>
    <row r="11" spans="1:6">
      <c r="A11" s="10">
        <v>10</v>
      </c>
      <c r="B11" s="10">
        <v>425</v>
      </c>
      <c r="C11" s="10">
        <v>23.1126624610406</v>
      </c>
      <c r="D11" s="10">
        <v>0.88207415934460098</v>
      </c>
      <c r="E11" s="10">
        <v>0.99873999999999996</v>
      </c>
      <c r="F11" s="10"/>
    </row>
    <row r="12" spans="1:6">
      <c r="A12" s="10">
        <v>11</v>
      </c>
      <c r="B12" s="10">
        <v>425</v>
      </c>
      <c r="C12" s="10">
        <v>23.0848568736616</v>
      </c>
      <c r="D12" s="10">
        <v>0.92890969068208795</v>
      </c>
      <c r="E12" s="10">
        <v>0.99866999999999995</v>
      </c>
      <c r="F12" s="10"/>
    </row>
    <row r="13" spans="1:6">
      <c r="A13" s="10">
        <v>12</v>
      </c>
      <c r="B13" s="10">
        <v>425</v>
      </c>
      <c r="C13" s="10">
        <v>23.0565700266283</v>
      </c>
      <c r="D13" s="10">
        <v>0.87650204162248502</v>
      </c>
      <c r="E13" s="10">
        <v>0.99897999999999998</v>
      </c>
      <c r="F13" s="10"/>
    </row>
    <row r="14" spans="1:6">
      <c r="A14" s="10">
        <v>13</v>
      </c>
      <c r="B14" s="10">
        <v>426</v>
      </c>
      <c r="C14" s="10">
        <v>24.007608768794299</v>
      </c>
      <c r="D14" s="10">
        <v>0.90854900281589701</v>
      </c>
      <c r="E14" s="10">
        <v>0.99853999999999998</v>
      </c>
      <c r="F14" s="10"/>
    </row>
    <row r="15" spans="1:6">
      <c r="A15" s="10">
        <v>14</v>
      </c>
      <c r="B15" s="10">
        <v>426</v>
      </c>
      <c r="C15" s="10">
        <v>23.814530519019101</v>
      </c>
      <c r="D15" s="10">
        <v>0.84969511043519397</v>
      </c>
      <c r="E15" s="10">
        <v>0.99917</v>
      </c>
      <c r="F15" s="10"/>
    </row>
    <row r="16" spans="1:6">
      <c r="A16" s="10">
        <v>15</v>
      </c>
      <c r="B16" s="10">
        <v>426</v>
      </c>
      <c r="C16" s="10">
        <v>23.735803992109101</v>
      </c>
      <c r="D16" s="10">
        <v>0.92140186846993799</v>
      </c>
      <c r="E16" s="10">
        <v>0.99882000000000004</v>
      </c>
      <c r="F16" s="10"/>
    </row>
    <row r="17" spans="1:6">
      <c r="A17" s="10">
        <v>16</v>
      </c>
      <c r="B17" s="10">
        <v>426</v>
      </c>
      <c r="C17" s="10">
        <v>23.9245822944143</v>
      </c>
      <c r="D17" s="10">
        <v>0.89118725554679201</v>
      </c>
      <c r="E17" s="10">
        <v>0.99877000000000005</v>
      </c>
      <c r="F17" s="10"/>
    </row>
    <row r="18" spans="1:6">
      <c r="A18" s="10">
        <v>17</v>
      </c>
      <c r="B18" s="10">
        <v>427</v>
      </c>
      <c r="C18" s="10">
        <v>24.4213103103822</v>
      </c>
      <c r="D18" s="10">
        <v>0.85701099157715199</v>
      </c>
      <c r="E18" s="10">
        <v>0.99958999999999998</v>
      </c>
      <c r="F18" s="10"/>
    </row>
    <row r="19" spans="1:6">
      <c r="A19" s="10">
        <v>18</v>
      </c>
      <c r="B19" s="10">
        <v>427</v>
      </c>
      <c r="C19" s="10">
        <v>24.388089159884402</v>
      </c>
      <c r="D19" s="10">
        <v>0.857428842646349</v>
      </c>
      <c r="E19" s="10">
        <v>0.99939999999999996</v>
      </c>
      <c r="F19" s="10"/>
    </row>
    <row r="20" spans="1:6">
      <c r="A20" s="10">
        <v>19</v>
      </c>
      <c r="B20" s="10">
        <v>427</v>
      </c>
      <c r="C20" s="10">
        <v>24.319230183667901</v>
      </c>
      <c r="D20" s="10">
        <v>0.86112308977304897</v>
      </c>
      <c r="E20" s="10">
        <v>0.99948000000000004</v>
      </c>
      <c r="F20" s="10"/>
    </row>
    <row r="21" spans="1:6">
      <c r="A21" s="10">
        <v>20</v>
      </c>
      <c r="B21" s="10">
        <v>427</v>
      </c>
      <c r="C21" s="10">
        <v>24.331128305455302</v>
      </c>
      <c r="D21" s="10">
        <v>0.85300128882102</v>
      </c>
      <c r="E21" s="10">
        <v>0.99941999999999998</v>
      </c>
      <c r="F21" s="10"/>
    </row>
    <row r="22" spans="1:6">
      <c r="A22" s="10">
        <v>21</v>
      </c>
      <c r="B22" s="10">
        <v>428</v>
      </c>
      <c r="C22" s="10">
        <v>24.864070696392599</v>
      </c>
      <c r="D22" s="10">
        <v>0.82721481604110003</v>
      </c>
      <c r="E22" s="10">
        <v>0.99922</v>
      </c>
      <c r="F22" s="10"/>
    </row>
    <row r="23" spans="1:6">
      <c r="A23" s="10">
        <v>22</v>
      </c>
      <c r="B23" s="10">
        <v>428</v>
      </c>
      <c r="C23" s="10">
        <v>24.810083725352701</v>
      </c>
      <c r="D23" s="10">
        <v>0.82295949333693896</v>
      </c>
      <c r="E23" s="10">
        <v>0.99950000000000006</v>
      </c>
      <c r="F23" s="10"/>
    </row>
    <row r="24" spans="1:6">
      <c r="A24" s="10">
        <v>23</v>
      </c>
      <c r="B24" s="10">
        <v>428</v>
      </c>
      <c r="C24" s="10">
        <v>24.822004238660099</v>
      </c>
      <c r="D24" s="10">
        <v>0.82158088923202399</v>
      </c>
      <c r="E24" s="10">
        <v>0.99953999999999998</v>
      </c>
      <c r="F24" s="10"/>
    </row>
    <row r="25" spans="1:6">
      <c r="A25" s="10">
        <v>24</v>
      </c>
      <c r="B25" s="10">
        <v>428</v>
      </c>
      <c r="C25" s="10">
        <v>24.786995663654299</v>
      </c>
      <c r="D25" s="10">
        <v>0.81407072514176704</v>
      </c>
      <c r="E25" s="10">
        <v>0.99958999999999998</v>
      </c>
      <c r="F25" s="10"/>
    </row>
    <row r="26" spans="1:6">
      <c r="A26" s="10">
        <v>25</v>
      </c>
      <c r="B26" s="10">
        <v>429</v>
      </c>
      <c r="C26" s="10">
        <v>24.587059201366099</v>
      </c>
      <c r="D26" s="10">
        <v>0.83879147518605002</v>
      </c>
      <c r="E26" s="10">
        <v>0.99921000000000004</v>
      </c>
      <c r="F26" s="10"/>
    </row>
    <row r="27" spans="1:6">
      <c r="A27" s="10">
        <v>26</v>
      </c>
      <c r="B27" s="10">
        <v>429</v>
      </c>
      <c r="C27" s="10">
        <v>24.661511917442098</v>
      </c>
      <c r="D27" s="10">
        <v>0.82230392296671895</v>
      </c>
      <c r="E27" s="10">
        <v>0.99946000000000002</v>
      </c>
      <c r="F27" s="10"/>
    </row>
    <row r="28" spans="1:6">
      <c r="A28" s="10">
        <v>27</v>
      </c>
      <c r="B28" s="10">
        <v>429</v>
      </c>
      <c r="C28" s="10">
        <v>24.563737835473098</v>
      </c>
      <c r="D28" s="10">
        <v>0.80731358403824305</v>
      </c>
      <c r="E28" s="10">
        <v>0.99968000000000001</v>
      </c>
      <c r="F28" s="10"/>
    </row>
    <row r="29" spans="1:6">
      <c r="A29" s="10">
        <v>28</v>
      </c>
      <c r="B29" s="10">
        <v>429</v>
      </c>
      <c r="C29" s="10">
        <v>24.7329112007648</v>
      </c>
      <c r="D29" s="10">
        <v>0.81993265690949702</v>
      </c>
      <c r="E29" s="10">
        <v>0.99946000000000002</v>
      </c>
      <c r="F29" s="10"/>
    </row>
    <row r="30" spans="1:6">
      <c r="A30" s="10">
        <v>29</v>
      </c>
      <c r="B30" s="10">
        <v>430</v>
      </c>
      <c r="C30" s="10">
        <v>27.2585434076742</v>
      </c>
      <c r="D30" s="10">
        <v>0.86749444673200704</v>
      </c>
      <c r="E30" s="10">
        <v>0.99941000000000002</v>
      </c>
      <c r="F30" s="10"/>
    </row>
    <row r="31" spans="1:6">
      <c r="A31" s="10">
        <v>30</v>
      </c>
      <c r="B31" s="10">
        <v>430</v>
      </c>
      <c r="C31" s="10">
        <v>27.173467227083101</v>
      </c>
      <c r="D31" s="10">
        <v>0.85977083245070296</v>
      </c>
      <c r="E31" s="10">
        <v>0.99933000000000005</v>
      </c>
      <c r="F31" s="10"/>
    </row>
    <row r="32" spans="1:6">
      <c r="A32" s="10">
        <v>31</v>
      </c>
      <c r="B32" s="10">
        <v>430</v>
      </c>
      <c r="C32" s="10">
        <v>27.250552582021001</v>
      </c>
      <c r="D32" s="10">
        <v>0.86798720341689795</v>
      </c>
      <c r="E32" s="10">
        <v>0.99936999999999998</v>
      </c>
      <c r="F32" s="10"/>
    </row>
    <row r="33" spans="1:6">
      <c r="A33" s="10">
        <v>32</v>
      </c>
      <c r="B33" s="10">
        <v>430</v>
      </c>
      <c r="C33" s="10">
        <v>27.148805824974101</v>
      </c>
      <c r="D33" s="10">
        <v>0.88494362442166097</v>
      </c>
      <c r="E33" s="10">
        <v>0.99905999999999995</v>
      </c>
      <c r="F33" s="10"/>
    </row>
    <row r="34" spans="1:6">
      <c r="A34" s="10">
        <v>33</v>
      </c>
      <c r="B34" s="10">
        <v>431</v>
      </c>
      <c r="C34" s="10">
        <v>25.319157388008701</v>
      </c>
      <c r="D34" s="10">
        <v>0.86131933281484496</v>
      </c>
      <c r="E34" s="10">
        <v>0.99951999999999996</v>
      </c>
      <c r="F34" s="10"/>
    </row>
    <row r="35" spans="1:6">
      <c r="A35" s="10">
        <v>34</v>
      </c>
      <c r="B35" s="10">
        <v>431</v>
      </c>
      <c r="C35" s="10">
        <v>25.284162486321801</v>
      </c>
      <c r="D35" s="10">
        <v>0.83664050795639899</v>
      </c>
      <c r="E35" s="10">
        <v>0.99956999999999996</v>
      </c>
      <c r="F35" s="10"/>
    </row>
    <row r="36" spans="1:6">
      <c r="A36" s="10">
        <v>35</v>
      </c>
      <c r="B36" s="10">
        <v>431</v>
      </c>
      <c r="C36" s="10">
        <v>25.4165854817157</v>
      </c>
      <c r="D36" s="10">
        <v>0.86729499625416695</v>
      </c>
      <c r="E36" s="10">
        <v>0.99941999999999998</v>
      </c>
      <c r="F36" s="10"/>
    </row>
    <row r="37" spans="1:6">
      <c r="A37" s="10">
        <v>36</v>
      </c>
      <c r="B37" s="10">
        <v>431</v>
      </c>
      <c r="C37" s="10">
        <v>25.401185964782201</v>
      </c>
      <c r="D37" s="10">
        <v>0.85605541195383705</v>
      </c>
      <c r="E37" s="10">
        <v>0.99951999999999996</v>
      </c>
      <c r="F37" s="10"/>
    </row>
    <row r="38" spans="1:6">
      <c r="A38" s="10">
        <v>37</v>
      </c>
      <c r="B38" s="10">
        <v>432</v>
      </c>
      <c r="C38" s="10">
        <v>25.012361076961199</v>
      </c>
      <c r="D38" s="10">
        <v>0.884318739826499</v>
      </c>
      <c r="E38" s="10">
        <v>0.99897999999999998</v>
      </c>
      <c r="F38" s="10"/>
    </row>
    <row r="39" spans="1:6">
      <c r="A39" s="10">
        <v>38</v>
      </c>
      <c r="B39" s="10">
        <v>432</v>
      </c>
      <c r="C39" s="10">
        <v>24.9030608063436</v>
      </c>
      <c r="D39" s="10">
        <v>0.88923081278331995</v>
      </c>
      <c r="E39" s="10">
        <v>0.99885999999999997</v>
      </c>
      <c r="F39" s="10"/>
    </row>
    <row r="40" spans="1:6">
      <c r="A40" s="10">
        <v>39</v>
      </c>
      <c r="B40" s="10">
        <v>432</v>
      </c>
      <c r="C40" s="10">
        <v>24.898833764953299</v>
      </c>
      <c r="D40" s="10">
        <v>0.89064254993639003</v>
      </c>
      <c r="E40" s="10">
        <v>0.99887000000000004</v>
      </c>
      <c r="F40" s="10"/>
    </row>
    <row r="41" spans="1:6">
      <c r="A41" s="10">
        <v>40</v>
      </c>
      <c r="B41" s="10">
        <v>432</v>
      </c>
      <c r="C41" s="10">
        <v>24.8575784585707</v>
      </c>
      <c r="D41" s="10">
        <v>0.89269901560956399</v>
      </c>
      <c r="E41" s="10">
        <v>0.99885000000000002</v>
      </c>
      <c r="F41" s="10"/>
    </row>
    <row r="42" spans="1:6">
      <c r="A42" s="10">
        <v>41</v>
      </c>
      <c r="B42" s="10" t="s">
        <v>7</v>
      </c>
      <c r="C42" s="10">
        <v>35.0532609940349</v>
      </c>
      <c r="D42" s="10">
        <v>0.67204168300712996</v>
      </c>
      <c r="E42" s="10">
        <v>0.99931000000000003</v>
      </c>
      <c r="F42" s="10"/>
    </row>
    <row r="43" spans="1:6">
      <c r="A43" s="10">
        <v>42</v>
      </c>
      <c r="B43" s="10" t="s">
        <v>7</v>
      </c>
      <c r="C43" s="10">
        <v>30.926180375483799</v>
      </c>
      <c r="D43" s="10">
        <v>0.74621047360477</v>
      </c>
      <c r="E43" s="10">
        <v>0.99919999999999998</v>
      </c>
      <c r="F43" s="10"/>
    </row>
    <row r="44" spans="1:6">
      <c r="A44" s="10">
        <v>43</v>
      </c>
      <c r="B44" s="10" t="s">
        <v>7</v>
      </c>
      <c r="C44" s="10">
        <v>35.048125773745703</v>
      </c>
      <c r="D44" s="10">
        <v>0.67928927601594102</v>
      </c>
      <c r="E44" s="10">
        <v>0.99938000000000005</v>
      </c>
      <c r="F44" s="10"/>
    </row>
    <row r="45" spans="1:6">
      <c r="A45" s="10">
        <v>44</v>
      </c>
      <c r="B45" s="10" t="s">
        <v>7</v>
      </c>
      <c r="C45" s="10">
        <v>35.648911893728197</v>
      </c>
      <c r="D45" s="10">
        <v>0.64343715303751203</v>
      </c>
      <c r="E45" s="10">
        <v>0.99944999999999995</v>
      </c>
      <c r="F45" s="10"/>
    </row>
    <row r="46" spans="1:6">
      <c r="A46" s="10">
        <v>45</v>
      </c>
      <c r="B46" s="10" t="s">
        <v>8</v>
      </c>
      <c r="C46" s="10">
        <v>38.503254529040298</v>
      </c>
      <c r="D46" s="10">
        <v>0.81137375000188305</v>
      </c>
      <c r="E46" s="10">
        <v>0.98816999999999999</v>
      </c>
      <c r="F46" s="10"/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423</v>
      </c>
      <c r="B2">
        <f>IF('177T'!C2="", "", '177T'!C2)</f>
        <v>-1</v>
      </c>
      <c r="C2">
        <f>IF('18S2'!C2="", "", '18S2'!C2)</f>
        <v>-1</v>
      </c>
      <c r="D2">
        <f>IF(RNAseP!C2="", "", RNAseP!C2)</f>
        <v>23.446818627995299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423</v>
      </c>
      <c r="B3">
        <f>IF('177T'!C3="", "", '177T'!C3)</f>
        <v>-1</v>
      </c>
      <c r="C3">
        <f>IF('18S2'!C3="", "", '18S2'!C3)</f>
        <v>-1</v>
      </c>
      <c r="D3">
        <f>IF(RNAseP!C3="", "", RNAseP!C3)</f>
        <v>27.074335280510301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423</v>
      </c>
      <c r="B4">
        <f>IF('177T'!C4="", "", '177T'!C4)</f>
        <v>-1</v>
      </c>
      <c r="C4">
        <f>IF('18S2'!C4="", "", '18S2'!C4)</f>
        <v>-1</v>
      </c>
      <c r="D4">
        <f>IF(RNAseP!C4="", "", RNAseP!C4)</f>
        <v>23.290154572711099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423</v>
      </c>
      <c r="B5">
        <f>IF('177T'!C5="", "", '177T'!C5)</f>
        <v>-1</v>
      </c>
      <c r="C5">
        <f>IF('18S2'!C5="", "", '18S2'!C5)</f>
        <v>37.768247818548502</v>
      </c>
      <c r="D5">
        <f>IF(RNAseP!C5="", "", RNAseP!C5)</f>
        <v>23.465753294707898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0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S</v>
      </c>
      <c r="I5" t="str" cm="1">
        <f t="array" ref="I5">INDEX(Decision!$E$1:$E$28, MATCH(E5&amp;F5&amp;G5, Decision!$A$1:$A$28&amp;Decision!$B$1:$B$28&amp;Decision!$C$1:$C$28, 0))</f>
        <v>RNA suspect</v>
      </c>
    </row>
    <row r="6" spans="1:9">
      <c r="A6">
        <f>IF(AND('177T'!B6 = '18S2'!B6, '177T'!B6 = RNAseP!B6, '177T'!B6 &lt;&gt; ""), '177T'!B6, IF('177T'!B6 = "", "", "Mismatch"))</f>
        <v>424</v>
      </c>
      <c r="B6">
        <f>IF('177T'!C6="", "", '177T'!C6)</f>
        <v>-1</v>
      </c>
      <c r="C6">
        <f>IF('18S2'!C6="", "", '18S2'!C6)</f>
        <v>-1</v>
      </c>
      <c r="D6">
        <f>IF(RNAseP!C6="", "", RNAseP!C6)</f>
        <v>27.7422190138488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424</v>
      </c>
      <c r="B7">
        <f>IF('177T'!C7="", "", '177T'!C7)</f>
        <v>-1</v>
      </c>
      <c r="C7">
        <f>IF('18S2'!C7="", "", '18S2'!C7)</f>
        <v>-1</v>
      </c>
      <c r="D7">
        <f>IF(RNAseP!C7="", "", RNAseP!C7)</f>
        <v>27.737917052760601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424</v>
      </c>
      <c r="B8">
        <f>IF('177T'!C8="", "", '177T'!C8)</f>
        <v>-1</v>
      </c>
      <c r="C8">
        <f>IF('18S2'!C8="", "", '18S2'!C8)</f>
        <v>-1</v>
      </c>
      <c r="D8">
        <f>IF(RNAseP!C8="", "", RNAseP!C8)</f>
        <v>27.4649072912657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424</v>
      </c>
      <c r="B9">
        <f>IF('177T'!C9="", "", '177T'!C9)</f>
        <v>-1</v>
      </c>
      <c r="C9">
        <f>IF('18S2'!C9="", "", '18S2'!C9)</f>
        <v>-1</v>
      </c>
      <c r="D9">
        <f>IF(RNAseP!C9="", "", RNAseP!C9)</f>
        <v>27.478976915278601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425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23.049987498116501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425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23.1126624610406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425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23.0848568736616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425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23.0565700266283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426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24.007608768794299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426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23.814530519019101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426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23.735803992109101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426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23.9245822944143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427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24.4213103103822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427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24.388089159884402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427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24.319230183667901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427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24.331128305455302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428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24.864070696392599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428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24.810083725352701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428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24.822004238660099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428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24.786995663654299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429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24.587059201366099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429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24.661511917442098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429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24.563737835473098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429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24.7329112007648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430</v>
      </c>
      <c r="B30">
        <f>IF('177T'!C30="", "", '177T'!C30)</f>
        <v>33.941164553458499</v>
      </c>
      <c r="C30">
        <f>IF('18S2'!C30="", "", '18S2'!C30)</f>
        <v>37.8515641645591</v>
      </c>
      <c r="D30">
        <f>IF(RNAseP!C30="", "", RNAseP!C30)</f>
        <v>27.2585434076742</v>
      </c>
      <c r="E30" s="3" t="str">
        <f>IF(B30=-1, "-1", IF(B30&lt;VLOOKUP("177T", Cutoff!$A$1:$B$4, 2, FALSE), "1", "0"))</f>
        <v>1</v>
      </c>
      <c r="F30" s="3" t="str">
        <f>IF(C30=-1, "-1", IF(C30&lt;VLOOKUP("18S2", Cutoff!$A$1:$B$4, 2, FALSE), "1", "0"))</f>
        <v>0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P</v>
      </c>
      <c r="I30" t="str" cm="1">
        <f t="array" ref="I30">INDEX(Decision!$E$1:$E$28, MATCH(E30&amp;F30&amp;G30, Decision!$A$1:$A$28&amp;Decision!$B$1:$B$28&amp;Decision!$C$1:$C$28, 0))</f>
        <v>DNA case &amp; RNA suspect</v>
      </c>
    </row>
    <row r="31" spans="1:9">
      <c r="A31">
        <f>IF(AND('177T'!B31 = '18S2'!B31, '177T'!B31 = RNAseP!B31, '177T'!B31 &lt;&gt; ""), '177T'!B31, IF('177T'!B31 = "", "", "Mismatch"))</f>
        <v>430</v>
      </c>
      <c r="B31">
        <f>IF('177T'!C31="", "", '177T'!C31)</f>
        <v>33.4268164062888</v>
      </c>
      <c r="C31">
        <f>IF('18S2'!C31="", "", '18S2'!C31)</f>
        <v>-1</v>
      </c>
      <c r="D31">
        <f>IF(RNAseP!C31="", "", RNAseP!C31)</f>
        <v>27.173467227083101</v>
      </c>
      <c r="E31" s="3" t="str">
        <f>IF(B31=-1, "-1", IF(B31&lt;VLOOKUP("177T", Cutoff!$A$1:$B$4, 2, FALSE), "1", "0"))</f>
        <v>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P</v>
      </c>
      <c r="I31" t="str" cm="1">
        <f t="array" ref="I31">INDEX(Decision!$E$1:$E$28, MATCH(E31&amp;F31&amp;G31, Decision!$A$1:$A$28&amp;Decision!$B$1:$B$28&amp;Decision!$C$1:$C$28, 0))</f>
        <v>DNA case</v>
      </c>
    </row>
    <row r="32" spans="1:9">
      <c r="A32">
        <f>IF(AND('177T'!B32 = '18S2'!B32, '177T'!B32 = RNAseP!B32, '177T'!B32 &lt;&gt; ""), '177T'!B32, IF('177T'!B32 = "", "", "Mismatch"))</f>
        <v>430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27.250552582021001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430</v>
      </c>
      <c r="B33">
        <f>IF('177T'!C33="", "", '177T'!C33)</f>
        <v>34.470585182938102</v>
      </c>
      <c r="C33">
        <f>IF('18S2'!C33="", "", '18S2'!C33)</f>
        <v>-1</v>
      </c>
      <c r="D33">
        <f>IF(RNAseP!C33="", "", RNAseP!C33)</f>
        <v>27.148805824974101</v>
      </c>
      <c r="E33" s="3" t="str">
        <f>IF(B33=-1, "-1", IF(B33&lt;VLOOKUP("177T", Cutoff!$A$1:$B$4, 2, FALSE), "1", "0"))</f>
        <v>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P</v>
      </c>
      <c r="I33" t="str" cm="1">
        <f t="array" ref="I33">INDEX(Decision!$E$1:$E$28, MATCH(E33&amp;F33&amp;G33, Decision!$A$1:$A$28&amp;Decision!$B$1:$B$28&amp;Decision!$C$1:$C$28, 0))</f>
        <v>DNA case</v>
      </c>
    </row>
    <row r="34" spans="1:9">
      <c r="A34">
        <f>IF(AND('177T'!B34 = '18S2'!B34, '177T'!B34 = RNAseP!B34, '177T'!B34 &lt;&gt; ""), '177T'!B34, IF('177T'!B34 = "", "", "Mismatch"))</f>
        <v>431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25.319157388008701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431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25.284162486321801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431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25.4165854817157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431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25.401185964782201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432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25.012361076961199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432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24.9030608063436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432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24.898833764953299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432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24.8575784585707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22.539234100319899</v>
      </c>
      <c r="C42">
        <f>IF('18S2'!C42="", "", '18S2'!C42)</f>
        <v>20.201235813455199</v>
      </c>
      <c r="D42">
        <f>IF(RNAseP!C42="", "", RNAseP!C42)</f>
        <v>35.0532609940349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22.476655046117099</v>
      </c>
      <c r="C43">
        <f>IF('18S2'!C43="", "", '18S2'!C43)</f>
        <v>20.110718226722501</v>
      </c>
      <c r="D43">
        <f>IF(RNAseP!C43="", "", RNAseP!C43)</f>
        <v>30.926180375483799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23.196183245938101</v>
      </c>
      <c r="C44">
        <f>IF('18S2'!C44="", "", '18S2'!C44)</f>
        <v>20.158273531853901</v>
      </c>
      <c r="D44">
        <f>IF(RNAseP!C44="", "", RNAseP!C44)</f>
        <v>35.048125773745703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22.463417092475801</v>
      </c>
      <c r="C45">
        <f>IF('18S2'!C45="", "", '18S2'!C45)</f>
        <v>20.1028334128357</v>
      </c>
      <c r="D45">
        <f>IF(RNAseP!C45="", "", RNAseP!C45)</f>
        <v>35.648911893728197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38.503254529040298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A14" workbookViewId="0">
      <selection activeCell="D22" sqref="D22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45968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0">
        <v>45771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423</v>
      </c>
      <c r="B16" s="11">
        <v>2500100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>37,8</v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24,3 +/- 1,8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424</v>
      </c>
      <c r="B17" s="11">
        <v>2500991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27,6 +/- 0,2</v>
      </c>
      <c r="G17" s="18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425</v>
      </c>
      <c r="B18" s="11">
        <v>2500994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23,1 +/- 0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426</v>
      </c>
      <c r="B19" s="11">
        <v>2501919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23,9 +/- 0,1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427</v>
      </c>
      <c r="B20" s="11">
        <v>2500773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24,4 +/- 0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428</v>
      </c>
      <c r="B21" s="11">
        <v>2500777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24,8 +/- 0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429</v>
      </c>
      <c r="B22" s="11">
        <v>2500789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24,6 +/- 0,1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430</v>
      </c>
      <c r="B23" s="11">
        <v>2500788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P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>33,9 +/- 0,5</v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>37,9</v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27,2 +/- 0,1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431</v>
      </c>
      <c r="B24" s="11">
        <v>2500763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25,4 +/- 0,1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432</v>
      </c>
      <c r="B25" s="11">
        <v>2501939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24,9 +/- 0,1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22,7 +/- 0,4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20,1 +/- 0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34,2 +/- 2,2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38,5</v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25" t="s">
        <v>59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24" t="s">
        <v>62</v>
      </c>
      <c r="D30" s="24"/>
      <c r="E30" s="20"/>
    </row>
    <row r="31" spans="1:12">
      <c r="A31" s="18" t="s">
        <v>20</v>
      </c>
      <c r="B31" s="18" t="s">
        <v>21</v>
      </c>
      <c r="C31" s="24" t="s">
        <v>63</v>
      </c>
      <c r="D31" s="24"/>
      <c r="E31" s="20"/>
    </row>
    <row r="32" spans="1:12">
      <c r="A32" s="18" t="s">
        <v>22</v>
      </c>
      <c r="B32" s="18" t="s">
        <v>64</v>
      </c>
      <c r="C32" s="24" t="s">
        <v>65</v>
      </c>
      <c r="D32" s="24"/>
      <c r="E32" s="20"/>
    </row>
    <row r="33" spans="1:5">
      <c r="A33" s="18" t="s">
        <v>66</v>
      </c>
      <c r="B33" s="18" t="s">
        <v>67</v>
      </c>
      <c r="C33" s="24" t="s">
        <v>68</v>
      </c>
      <c r="D33" s="24"/>
      <c r="E33" s="20"/>
    </row>
    <row r="34" spans="1:5">
      <c r="A34" s="18" t="s">
        <v>17</v>
      </c>
      <c r="B34" s="18" t="s">
        <v>69</v>
      </c>
      <c r="C34" s="24" t="s">
        <v>70</v>
      </c>
      <c r="D34" s="24"/>
      <c r="E34" s="20"/>
    </row>
    <row r="35" spans="1:5">
      <c r="A35" s="18" t="s">
        <v>71</v>
      </c>
      <c r="B35" s="18" t="s">
        <v>72</v>
      </c>
      <c r="C35" s="24" t="s">
        <v>73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423</v>
      </c>
      <c r="B2" s="3" t="str" cm="1">
        <f t="array" ref="B2">_xlfn.TEXTJOIN(", ", TRUE, IF(Analysis!$A$2:$A$82=A2, Analysis!$H$2:$H$82, ""))</f>
        <v>N, N, N, S</v>
      </c>
      <c r="C2" s="3" t="str" cm="1">
        <f t="array" ref="C2">_xlfn.TEXTJOIN(", ", TRUE, IF(Analysis!$A$2:$A$82=A2, Analysis!$I$2:$I$82, ""))</f>
        <v>negative, negative, negative, RNA suspect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>37,8</v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24,3 +/- 1,8</v>
      </c>
    </row>
    <row r="3" spans="1:11">
      <c r="A3" s="3">
        <f>Report!A17</f>
        <v>424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27,6 +/- 0,2</v>
      </c>
    </row>
    <row r="4" spans="1:11">
      <c r="A4" s="3">
        <f>Report!A18</f>
        <v>425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23,1 +/- 0</v>
      </c>
    </row>
    <row r="5" spans="1:11">
      <c r="A5" s="3">
        <f>Report!A19</f>
        <v>426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23,9 +/- 0,1</v>
      </c>
    </row>
    <row r="6" spans="1:11">
      <c r="A6" s="3">
        <f>Report!A20</f>
        <v>427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24,4 +/- 0</v>
      </c>
    </row>
    <row r="7" spans="1:11">
      <c r="A7" s="3">
        <f>Report!A21</f>
        <v>428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24,8 +/- 0</v>
      </c>
      <c r="K7" s="4"/>
    </row>
    <row r="8" spans="1:11">
      <c r="A8" s="3">
        <f>Report!A22</f>
        <v>429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24,6 +/- 0,1</v>
      </c>
    </row>
    <row r="9" spans="1:11">
      <c r="A9" s="3">
        <f>Report!A23</f>
        <v>430</v>
      </c>
      <c r="B9" s="3" t="str" cm="1">
        <f t="array" ref="B9">_xlfn.TEXTJOIN(", ", TRUE, IF(Analysis!$A$2:$A$82=A9, Analysis!$H$2:$H$82, ""))</f>
        <v>P, P, N, P</v>
      </c>
      <c r="C9" s="3" t="str" cm="1">
        <f t="array" ref="C9">_xlfn.TEXTJOIN(", ", TRUE, IF(Analysis!$A$2:$A$82=A9, Analysis!$I$2:$I$82, ""))</f>
        <v>DNA case &amp; RNA suspect, DNA case, negative, DNA case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P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>33,9 +/- 0,5</v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>37,9</v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27,2 +/- 0,1</v>
      </c>
    </row>
    <row r="10" spans="1:11">
      <c r="A10" s="3">
        <f>Report!A24</f>
        <v>431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25,4 +/- 0,1</v>
      </c>
    </row>
    <row r="11" spans="1:11">
      <c r="A11" s="3">
        <f>Report!A25</f>
        <v>432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24,9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22,7 +/- 0,4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20,1 +/- 0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34,2 +/- 2,2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OK, OK, OK</v>
      </c>
      <c r="C13" s="3" t="str" cm="1">
        <f t="array" ref="C13">_xlfn.TEXTJOIN(", ", TRUE, IF(Analysis!$A$2:$A$82=A13, Analysis!$I$2:$I$82, ""))</f>
        <v>RNAseP,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38,5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2025-11-07T15:01:50+00:00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C9EE64-7FB6-4E9E-B0E6-48C88173DB9F}"/>
</file>

<file path=customXml/itemProps2.xml><?xml version="1.0" encoding="utf-8"?>
<ds:datastoreItem xmlns:ds="http://schemas.openxmlformats.org/officeDocument/2006/customXml" ds:itemID="{F8E3033A-3862-416F-A9B7-26165447B6D8}"/>
</file>

<file path=customXml/itemProps3.xml><?xml version="1.0" encoding="utf-8"?>
<ds:datastoreItem xmlns:ds="http://schemas.openxmlformats.org/officeDocument/2006/customXml" ds:itemID="{689BE915-8F65-4B9D-AF0D-DD960DECE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2025-11-09T09:08:27Z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