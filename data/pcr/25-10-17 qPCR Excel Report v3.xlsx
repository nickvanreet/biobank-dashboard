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BC18F9E1-04AD-4484-A588-3834BFDA343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<sst xmlns="http://schemas.openxmlformats.org/spreadsheetml/2006/main" count="407" uniqueCount="75">
  <si>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</si>
  <si>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</si>
  <si>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</si>
  <si>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</si>
  <si>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</si>
  <si>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</si>
  <si>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</si>
  <si>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</si>
  <si>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</si>
  <si>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</si>
  <si>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</si>
  <si>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</si>
  <si>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</si>
  <si>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</si>
  <si>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</si>
  <si>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</si>
  <si>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</si>
  <si>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</si>
  <si>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</si>
  <si>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</si>
  <si>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</si>
  <si>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</si>
  <si>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</si>
  <si>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</si>
  <si>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</si>
  <si>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</si>
  <si>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</si>
  <si>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</si>
  <si>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</si>
  <si>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</si>
  <si>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</si>
  <si>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</si>
  <si>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</si>
  <si>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</si>
  <si>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</si>
  <si>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</si>
  <si>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</si>
  <si>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</si>
  <si>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</si>
  <si>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</si>
  <si>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</si>
  <si>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</si>
  <si>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</si>
  <si>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</si>
  <si>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</si>
  <si>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2025-10-17 10.32.29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</si>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</sst>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276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276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276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276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277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277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277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277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278</v>
      </c>
      <c r="C10" s="8">
        <v>31.577309858019699</v>
      </c>
      <c r="D10" s="8">
        <v>0.65806350609498898</v>
      </c>
      <c r="E10" s="8">
        <v>0.99960000000000004</v>
      </c>
      <c r="F10" s="8"/>
    </row>
    <row r="11" spans="1:6">
      <c r="A11" s="8">
        <v>10</v>
      </c>
      <c r="B11" s="8">
        <v>278</v>
      </c>
      <c r="C11" s="8">
        <v>31.181763991086999</v>
      </c>
      <c r="D11" s="8">
        <v>0.69621313074215496</v>
      </c>
      <c r="E11" s="8">
        <v>0.99970999999999999</v>
      </c>
      <c r="F11" s="8"/>
    </row>
    <row r="12" spans="1:6">
      <c r="A12" s="8">
        <v>11</v>
      </c>
      <c r="B12" s="8">
        <v>278</v>
      </c>
      <c r="C12" s="8">
        <v>32.143864036182499</v>
      </c>
      <c r="D12" s="8">
        <v>0.67601900577126695</v>
      </c>
      <c r="E12" s="8">
        <v>0.99973999999999996</v>
      </c>
      <c r="F12" s="8"/>
    </row>
    <row r="13" spans="1:6">
      <c r="A13" s="8">
        <v>12</v>
      </c>
      <c r="B13" s="8">
        <v>278</v>
      </c>
      <c r="C13" s="8">
        <v>32.316778262979398</v>
      </c>
      <c r="D13" s="8">
        <v>0.68755572032823298</v>
      </c>
      <c r="E13" s="8">
        <v>0.99782000000000004</v>
      </c>
      <c r="F13" s="8"/>
    </row>
    <row r="14" spans="1:6">
      <c r="A14" s="8">
        <v>13</v>
      </c>
      <c r="B14" s="8">
        <v>279</v>
      </c>
      <c r="C14" s="8">
        <v>28.5710023667408</v>
      </c>
      <c r="D14" s="8">
        <v>0.75359655594235697</v>
      </c>
      <c r="E14" s="8">
        <v>0.99990000000000001</v>
      </c>
      <c r="F14" s="8"/>
    </row>
    <row r="15" spans="1:6">
      <c r="A15" s="8">
        <v>14</v>
      </c>
      <c r="B15" s="8">
        <v>279</v>
      </c>
      <c r="C15" s="8">
        <v>28.822923694248502</v>
      </c>
      <c r="D15" s="8">
        <v>0.70900513108527097</v>
      </c>
      <c r="E15" s="8">
        <v>0.99975000000000003</v>
      </c>
      <c r="F15" s="8"/>
    </row>
    <row r="16" spans="1:6">
      <c r="A16" s="8">
        <v>15</v>
      </c>
      <c r="B16" s="8">
        <v>279</v>
      </c>
      <c r="C16" s="8">
        <v>28.110237238186901</v>
      </c>
      <c r="D16" s="8">
        <v>0.722675041678291</v>
      </c>
      <c r="E16" s="8">
        <v>0.99980999999999998</v>
      </c>
      <c r="F16" s="8"/>
    </row>
    <row r="17" spans="1:6">
      <c r="A17" s="8">
        <v>16</v>
      </c>
      <c r="B17" s="8">
        <v>279</v>
      </c>
      <c r="C17" s="8">
        <v>28.837592699526599</v>
      </c>
      <c r="D17" s="8">
        <v>0.70139405509848496</v>
      </c>
      <c r="E17" s="8">
        <v>0.99983999999999995</v>
      </c>
      <c r="F17" s="8"/>
    </row>
    <row r="18" spans="1:6">
      <c r="A18" s="8">
        <v>17</v>
      </c>
      <c r="B18" s="8">
        <v>280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280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280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280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281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281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281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281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282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282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282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282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283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283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283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283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284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284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284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284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285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285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285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285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21.300005979119</v>
      </c>
      <c r="D42" s="8">
        <v>0.84215824224410196</v>
      </c>
      <c r="E42" s="8">
        <v>0.99999000000000005</v>
      </c>
      <c r="F42" s="8"/>
    </row>
    <row r="43" spans="1:6">
      <c r="A43" s="8">
        <v>42</v>
      </c>
      <c r="B43" s="8" t="s">
        <v>7</v>
      </c>
      <c r="C43" s="8">
        <v>21.098586301859701</v>
      </c>
      <c r="D43" s="8">
        <v>1.0140537380813599</v>
      </c>
      <c r="E43" s="8">
        <v>0.99912999999999996</v>
      </c>
      <c r="F43" s="8"/>
    </row>
    <row r="44" spans="1:6">
      <c r="A44" s="8">
        <v>43</v>
      </c>
      <c r="B44" s="8" t="s">
        <v>7</v>
      </c>
      <c r="C44" s="8">
        <v>22.7657599325108</v>
      </c>
      <c r="D44" s="8">
        <v>0.87790006776521401</v>
      </c>
      <c r="E44" s="8">
        <v>0.99970999999999999</v>
      </c>
      <c r="F44" s="8"/>
    </row>
    <row r="45" spans="1:6">
      <c r="A45" s="8">
        <v>44</v>
      </c>
      <c r="B45" s="8" t="s">
        <v>7</v>
      </c>
      <c r="C45" s="8">
        <v>21.521544979062199</v>
      </c>
      <c r="D45" s="8">
        <v>0.799231342436314</v>
      </c>
      <c r="E45" s="8">
        <v>0.99963999999999997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276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276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276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276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277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277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277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277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278</v>
      </c>
      <c r="C10" s="9">
        <v>37.992424442965998</v>
      </c>
      <c r="D10" s="9">
        <v>0.39801938854844199</v>
      </c>
      <c r="E10" s="9">
        <v>0.99017999999999995</v>
      </c>
      <c r="F10" s="9"/>
    </row>
    <row r="11" spans="1:6">
      <c r="A11" s="9">
        <v>10</v>
      </c>
      <c r="B11" s="9">
        <v>278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278</v>
      </c>
      <c r="C12" s="9">
        <v>36.069111777364398</v>
      </c>
      <c r="D12" s="9">
        <v>0.57547296421855199</v>
      </c>
      <c r="E12" s="9">
        <v>0.99665000000000004</v>
      </c>
      <c r="F12" s="9"/>
    </row>
    <row r="13" spans="1:6">
      <c r="A13" s="9">
        <v>12</v>
      </c>
      <c r="B13" s="9">
        <v>278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279</v>
      </c>
      <c r="C14" s="9">
        <v>36.039407022755498</v>
      </c>
      <c r="D14" s="9">
        <v>0.476920942289487</v>
      </c>
      <c r="E14" s="9">
        <v>0.99865000000000004</v>
      </c>
      <c r="F14" s="9"/>
    </row>
    <row r="15" spans="1:6">
      <c r="A15" s="9">
        <v>14</v>
      </c>
      <c r="B15" s="9">
        <v>279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279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279</v>
      </c>
      <c r="C17" s="9">
        <v>36.953018154114098</v>
      </c>
      <c r="D17" s="9">
        <v>0.40971751710406601</v>
      </c>
      <c r="E17" s="9">
        <v>0.99861999999999995</v>
      </c>
      <c r="F17" s="9"/>
    </row>
    <row r="18" spans="1:6">
      <c r="A18" s="9">
        <v>17</v>
      </c>
      <c r="B18" s="9">
        <v>280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280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280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280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281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281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281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281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282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282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282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282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283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283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283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283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284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284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284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284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285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285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285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285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19.311492807412701</v>
      </c>
      <c r="D42" s="9">
        <v>0.94018994514082999</v>
      </c>
      <c r="E42" s="9">
        <v>0.99904000000000004</v>
      </c>
      <c r="F42" s="9"/>
    </row>
    <row r="43" spans="1:6">
      <c r="A43" s="9">
        <v>42</v>
      </c>
      <c r="B43" s="9" t="s">
        <v>7</v>
      </c>
      <c r="C43" s="9">
        <v>19.138808826945301</v>
      </c>
      <c r="D43" s="9">
        <v>0.96409682024607002</v>
      </c>
      <c r="E43" s="9">
        <v>0.99839</v>
      </c>
      <c r="F43" s="9"/>
    </row>
    <row r="44" spans="1:6">
      <c r="A44" s="9">
        <v>43</v>
      </c>
      <c r="B44" s="9" t="s">
        <v>7</v>
      </c>
      <c r="C44" s="9">
        <v>19.773424124725601</v>
      </c>
      <c r="D44" s="9">
        <v>0.98742652320544</v>
      </c>
      <c r="E44" s="9">
        <v>0.99865000000000004</v>
      </c>
      <c r="F44" s="9"/>
    </row>
    <row r="45" spans="1:6">
      <c r="A45" s="9">
        <v>44</v>
      </c>
      <c r="B45" s="9" t="s">
        <v>7</v>
      </c>
      <c r="C45" s="9">
        <v>19.811098521342402</v>
      </c>
      <c r="D45" s="9">
        <v>0.96836308712701502</v>
      </c>
      <c r="E45" s="9">
        <v>0.99883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276</v>
      </c>
      <c r="C2" s="10">
        <v>21.363460394353499</v>
      </c>
      <c r="D2" s="10">
        <v>0.90843823581172001</v>
      </c>
      <c r="E2" s="10">
        <v>0.99975000000000003</v>
      </c>
      <c r="F2" s="10"/>
    </row>
    <row r="3" spans="1:6">
      <c r="A3" s="10">
        <v>2</v>
      </c>
      <c r="B3" s="10">
        <v>276</v>
      </c>
      <c r="C3" s="10">
        <v>21.346938042813498</v>
      </c>
      <c r="D3" s="10">
        <v>0.95603960999819804</v>
      </c>
      <c r="E3" s="10">
        <v>0.99948999999999999</v>
      </c>
      <c r="F3" s="10"/>
    </row>
    <row r="4" spans="1:6">
      <c r="A4" s="10">
        <v>3</v>
      </c>
      <c r="B4" s="10">
        <v>276</v>
      </c>
      <c r="C4" s="10">
        <v>21.344151722655599</v>
      </c>
      <c r="D4" s="10">
        <v>0.95790413494904503</v>
      </c>
      <c r="E4" s="10">
        <v>0.99948999999999999</v>
      </c>
      <c r="F4" s="10"/>
    </row>
    <row r="5" spans="1:6">
      <c r="A5" s="10">
        <v>4</v>
      </c>
      <c r="B5" s="10">
        <v>276</v>
      </c>
      <c r="C5" s="10">
        <v>21.3424315600505</v>
      </c>
      <c r="D5" s="10">
        <v>0.95370982860734899</v>
      </c>
      <c r="E5" s="10">
        <v>0.99951999999999996</v>
      </c>
      <c r="F5" s="10"/>
    </row>
    <row r="6" spans="1:6">
      <c r="A6" s="10">
        <v>5</v>
      </c>
      <c r="B6" s="10">
        <v>277</v>
      </c>
      <c r="C6" s="10">
        <v>23.602859814299599</v>
      </c>
      <c r="D6" s="10">
        <v>0.87737145837554198</v>
      </c>
      <c r="E6" s="10">
        <v>0.99988999999999995</v>
      </c>
      <c r="F6" s="10"/>
    </row>
    <row r="7" spans="1:6">
      <c r="A7" s="10">
        <v>6</v>
      </c>
      <c r="B7" s="10">
        <v>277</v>
      </c>
      <c r="C7" s="10">
        <v>23.590056823051601</v>
      </c>
      <c r="D7" s="10">
        <v>0.93528291192414603</v>
      </c>
      <c r="E7" s="10">
        <v>0.99968999999999997</v>
      </c>
      <c r="F7" s="10"/>
    </row>
    <row r="8" spans="1:6">
      <c r="A8" s="10">
        <v>7</v>
      </c>
      <c r="B8" s="10">
        <v>277</v>
      </c>
      <c r="C8" s="10">
        <v>23.676463364956899</v>
      </c>
      <c r="D8" s="10">
        <v>0.90387677934384902</v>
      </c>
      <c r="E8" s="10">
        <v>0.99975999999999998</v>
      </c>
      <c r="F8" s="10"/>
    </row>
    <row r="9" spans="1:6">
      <c r="A9" s="10">
        <v>8</v>
      </c>
      <c r="B9" s="10">
        <v>277</v>
      </c>
      <c r="C9" s="10">
        <v>23.700155143806601</v>
      </c>
      <c r="D9" s="10">
        <v>0.89332948613006502</v>
      </c>
      <c r="E9" s="10">
        <v>0.99973000000000001</v>
      </c>
      <c r="F9" s="10"/>
    </row>
    <row r="10" spans="1:6">
      <c r="A10" s="10">
        <v>9</v>
      </c>
      <c r="B10" s="10">
        <v>278</v>
      </c>
      <c r="C10" s="10">
        <v>25.711903248797999</v>
      </c>
      <c r="D10" s="10">
        <v>0.91321827234685204</v>
      </c>
      <c r="E10" s="10">
        <v>0.99968999999999997</v>
      </c>
      <c r="F10" s="10"/>
    </row>
    <row r="11" spans="1:6">
      <c r="A11" s="10">
        <v>10</v>
      </c>
      <c r="B11" s="10">
        <v>278</v>
      </c>
      <c r="C11" s="10">
        <v>25.790695061001198</v>
      </c>
      <c r="D11" s="10">
        <v>0.89155056166327296</v>
      </c>
      <c r="E11" s="10">
        <v>0.99977000000000005</v>
      </c>
      <c r="F11" s="10"/>
    </row>
    <row r="12" spans="1:6">
      <c r="A12" s="10">
        <v>11</v>
      </c>
      <c r="B12" s="10">
        <v>278</v>
      </c>
      <c r="C12" s="10">
        <v>25.783214486148601</v>
      </c>
      <c r="D12" s="10">
        <v>0.91548830705239903</v>
      </c>
      <c r="E12" s="10">
        <v>0.99963000000000002</v>
      </c>
      <c r="F12" s="10"/>
    </row>
    <row r="13" spans="1:6">
      <c r="A13" s="10">
        <v>12</v>
      </c>
      <c r="B13" s="10">
        <v>278</v>
      </c>
      <c r="C13" s="10">
        <v>25.785934489758802</v>
      </c>
      <c r="D13" s="10">
        <v>0.93735944555684603</v>
      </c>
      <c r="E13" s="10">
        <v>0.99953000000000003</v>
      </c>
      <c r="F13" s="10"/>
    </row>
    <row r="14" spans="1:6">
      <c r="A14" s="10">
        <v>13</v>
      </c>
      <c r="B14" s="10">
        <v>279</v>
      </c>
      <c r="C14" s="10">
        <v>22.8107424011428</v>
      </c>
      <c r="D14" s="10">
        <v>1.0177817988940501</v>
      </c>
      <c r="E14" s="10">
        <v>0.99880999999999998</v>
      </c>
      <c r="F14" s="10"/>
    </row>
    <row r="15" spans="1:6">
      <c r="A15" s="10">
        <v>14</v>
      </c>
      <c r="B15" s="10">
        <v>279</v>
      </c>
      <c r="C15" s="10">
        <v>22.734001419158702</v>
      </c>
      <c r="D15" s="10">
        <v>0.91578883008164602</v>
      </c>
      <c r="E15" s="10">
        <v>0.99963999999999997</v>
      </c>
      <c r="F15" s="10"/>
    </row>
    <row r="16" spans="1:6">
      <c r="A16" s="10">
        <v>15</v>
      </c>
      <c r="B16" s="10">
        <v>279</v>
      </c>
      <c r="C16" s="10">
        <v>22.771555146493199</v>
      </c>
      <c r="D16" s="10">
        <v>0.91223615425385696</v>
      </c>
      <c r="E16" s="10">
        <v>0.99963000000000002</v>
      </c>
      <c r="F16" s="10"/>
    </row>
    <row r="17" spans="1:6">
      <c r="A17" s="10">
        <v>16</v>
      </c>
      <c r="B17" s="10">
        <v>279</v>
      </c>
      <c r="C17" s="10">
        <v>22.684606227864698</v>
      </c>
      <c r="D17" s="10">
        <v>0.92100889216505499</v>
      </c>
      <c r="E17" s="10">
        <v>0.99965999999999999</v>
      </c>
      <c r="F17" s="10"/>
    </row>
    <row r="18" spans="1:6">
      <c r="A18" s="10">
        <v>17</v>
      </c>
      <c r="B18" s="10">
        <v>280</v>
      </c>
      <c r="C18" s="10">
        <v>23.685673781836499</v>
      </c>
      <c r="D18" s="10">
        <v>0.94614542707689897</v>
      </c>
      <c r="E18" s="10">
        <v>0.99926999999999999</v>
      </c>
      <c r="F18" s="10"/>
    </row>
    <row r="19" spans="1:6">
      <c r="A19" s="10">
        <v>18</v>
      </c>
      <c r="B19" s="10">
        <v>280</v>
      </c>
      <c r="C19" s="10">
        <v>23.669511745956498</v>
      </c>
      <c r="D19" s="10">
        <v>0.92339748330098703</v>
      </c>
      <c r="E19" s="10">
        <v>0.99939</v>
      </c>
      <c r="F19" s="10"/>
    </row>
    <row r="20" spans="1:6">
      <c r="A20" s="10">
        <v>19</v>
      </c>
      <c r="B20" s="10">
        <v>280</v>
      </c>
      <c r="C20" s="10">
        <v>23.7425065390822</v>
      </c>
      <c r="D20" s="10">
        <v>0.91458434341808104</v>
      </c>
      <c r="E20" s="10">
        <v>0.99936999999999998</v>
      </c>
      <c r="F20" s="10"/>
    </row>
    <row r="21" spans="1:6">
      <c r="A21" s="10">
        <v>20</v>
      </c>
      <c r="B21" s="10">
        <v>280</v>
      </c>
      <c r="C21" s="10">
        <v>23.767349690961801</v>
      </c>
      <c r="D21" s="10">
        <v>0.90069487931411396</v>
      </c>
      <c r="E21" s="10">
        <v>0.99944999999999995</v>
      </c>
      <c r="F21" s="10"/>
    </row>
    <row r="22" spans="1:6">
      <c r="A22" s="10">
        <v>21</v>
      </c>
      <c r="B22" s="10">
        <v>281</v>
      </c>
      <c r="C22" s="10">
        <v>21.1458667931736</v>
      </c>
      <c r="D22" s="10">
        <v>0.94154199460377197</v>
      </c>
      <c r="E22" s="10">
        <v>0.99929999999999997</v>
      </c>
      <c r="F22" s="10"/>
    </row>
    <row r="23" spans="1:6">
      <c r="A23" s="10">
        <v>22</v>
      </c>
      <c r="B23" s="10">
        <v>281</v>
      </c>
      <c r="C23" s="10">
        <v>21.244436708116599</v>
      </c>
      <c r="D23" s="10">
        <v>0.98332351567515797</v>
      </c>
      <c r="E23" s="10">
        <v>0.99900999999999995</v>
      </c>
      <c r="F23" s="10"/>
    </row>
    <row r="24" spans="1:6">
      <c r="A24" s="10">
        <v>23</v>
      </c>
      <c r="B24" s="10">
        <v>281</v>
      </c>
      <c r="C24" s="10">
        <v>21.1457757508405</v>
      </c>
      <c r="D24" s="10">
        <v>0.969556024771562</v>
      </c>
      <c r="E24" s="10">
        <v>0.99907999999999997</v>
      </c>
      <c r="F24" s="10"/>
    </row>
    <row r="25" spans="1:6">
      <c r="A25" s="10">
        <v>24</v>
      </c>
      <c r="B25" s="10">
        <v>281</v>
      </c>
      <c r="C25" s="10">
        <v>21.185794958290401</v>
      </c>
      <c r="D25" s="10">
        <v>0.98041133737586295</v>
      </c>
      <c r="E25" s="10">
        <v>0.999</v>
      </c>
      <c r="F25" s="10"/>
    </row>
    <row r="26" spans="1:6">
      <c r="A26" s="10">
        <v>25</v>
      </c>
      <c r="B26" s="10">
        <v>282</v>
      </c>
      <c r="C26" s="10">
        <v>24.425854846731902</v>
      </c>
      <c r="D26" s="10">
        <v>0.91257486351357997</v>
      </c>
      <c r="E26" s="10">
        <v>0.99978</v>
      </c>
      <c r="F26" s="10"/>
    </row>
    <row r="27" spans="1:6">
      <c r="A27" s="10">
        <v>26</v>
      </c>
      <c r="B27" s="10">
        <v>282</v>
      </c>
      <c r="C27" s="10">
        <v>24.277863069657499</v>
      </c>
      <c r="D27" s="10">
        <v>0.96194041739707503</v>
      </c>
      <c r="E27" s="10">
        <v>0.99934000000000001</v>
      </c>
      <c r="F27" s="10"/>
    </row>
    <row r="28" spans="1:6">
      <c r="A28" s="10">
        <v>27</v>
      </c>
      <c r="B28" s="10">
        <v>282</v>
      </c>
      <c r="C28" s="10">
        <v>24.451599760082399</v>
      </c>
      <c r="D28" s="10">
        <v>0.91625460829162997</v>
      </c>
      <c r="E28" s="10">
        <v>0.99975000000000003</v>
      </c>
      <c r="F28" s="10"/>
    </row>
    <row r="29" spans="1:6">
      <c r="A29" s="10">
        <v>28</v>
      </c>
      <c r="B29" s="10">
        <v>282</v>
      </c>
      <c r="C29" s="10">
        <v>24.4147889794184</v>
      </c>
      <c r="D29" s="10">
        <v>0.86896322557461403</v>
      </c>
      <c r="E29" s="10">
        <v>0.99992000000000003</v>
      </c>
      <c r="F29" s="10"/>
    </row>
    <row r="30" spans="1:6">
      <c r="A30" s="10">
        <v>29</v>
      </c>
      <c r="B30" s="10">
        <v>283</v>
      </c>
      <c r="C30" s="10">
        <v>20.724912432144901</v>
      </c>
      <c r="D30" s="10">
        <v>0.90505305547890502</v>
      </c>
      <c r="E30" s="10">
        <v>0.99961</v>
      </c>
      <c r="F30" s="10"/>
    </row>
    <row r="31" spans="1:6">
      <c r="A31" s="10">
        <v>30</v>
      </c>
      <c r="B31" s="10">
        <v>283</v>
      </c>
      <c r="C31" s="10">
        <v>20.623148145245199</v>
      </c>
      <c r="D31" s="10">
        <v>0.92954967838674796</v>
      </c>
      <c r="E31" s="10">
        <v>0.99965999999999999</v>
      </c>
      <c r="F31" s="10"/>
    </row>
    <row r="32" spans="1:6">
      <c r="A32" s="10">
        <v>31</v>
      </c>
      <c r="B32" s="10">
        <v>283</v>
      </c>
      <c r="C32" s="10">
        <v>20.597894395768101</v>
      </c>
      <c r="D32" s="10">
        <v>0.93080265306687004</v>
      </c>
      <c r="E32" s="10">
        <v>0.99968000000000001</v>
      </c>
      <c r="F32" s="10"/>
    </row>
    <row r="33" spans="1:6">
      <c r="A33" s="10">
        <v>32</v>
      </c>
      <c r="B33" s="10">
        <v>283</v>
      </c>
      <c r="C33" s="10">
        <v>20.5614295039097</v>
      </c>
      <c r="D33" s="10">
        <v>0.94143621035184399</v>
      </c>
      <c r="E33" s="10">
        <v>0.99960000000000004</v>
      </c>
      <c r="F33" s="10"/>
    </row>
    <row r="34" spans="1:6">
      <c r="A34" s="10">
        <v>33</v>
      </c>
      <c r="B34" s="10">
        <v>284</v>
      </c>
      <c r="C34" s="10">
        <v>24.169783196471801</v>
      </c>
      <c r="D34" s="10">
        <v>0.98930242059528195</v>
      </c>
      <c r="E34" s="10">
        <v>0.99911000000000005</v>
      </c>
      <c r="F34" s="10"/>
    </row>
    <row r="35" spans="1:6">
      <c r="A35" s="10">
        <v>34</v>
      </c>
      <c r="B35" s="10">
        <v>284</v>
      </c>
      <c r="C35" s="10">
        <v>24.180335147634199</v>
      </c>
      <c r="D35" s="10">
        <v>0.91142477947671896</v>
      </c>
      <c r="E35" s="10">
        <v>0.99963000000000002</v>
      </c>
      <c r="F35" s="10"/>
    </row>
    <row r="36" spans="1:6">
      <c r="A36" s="10">
        <v>35</v>
      </c>
      <c r="B36" s="10">
        <v>284</v>
      </c>
      <c r="C36" s="10">
        <v>24.169136469291299</v>
      </c>
      <c r="D36" s="10">
        <v>0.94927237051644298</v>
      </c>
      <c r="E36" s="10">
        <v>0.99929999999999997</v>
      </c>
      <c r="F36" s="10"/>
    </row>
    <row r="37" spans="1:6">
      <c r="A37" s="10">
        <v>36</v>
      </c>
      <c r="B37" s="10">
        <v>284</v>
      </c>
      <c r="C37" s="10">
        <v>24.153191918291402</v>
      </c>
      <c r="D37" s="10">
        <v>0.99833110668544101</v>
      </c>
      <c r="E37" s="10">
        <v>0.99890999999999996</v>
      </c>
      <c r="F37" s="10"/>
    </row>
    <row r="38" spans="1:6">
      <c r="A38" s="10">
        <v>37</v>
      </c>
      <c r="B38" s="10">
        <v>285</v>
      </c>
      <c r="C38" s="10">
        <v>22.452812043839099</v>
      </c>
      <c r="D38" s="10">
        <v>0.94158029641438601</v>
      </c>
      <c r="E38" s="10">
        <v>0.99973000000000001</v>
      </c>
      <c r="F38" s="10"/>
    </row>
    <row r="39" spans="1:6">
      <c r="A39" s="10">
        <v>38</v>
      </c>
      <c r="B39" s="10">
        <v>285</v>
      </c>
      <c r="C39" s="10">
        <v>22.4436899447572</v>
      </c>
      <c r="D39" s="10">
        <v>0.95277102823650905</v>
      </c>
      <c r="E39" s="10">
        <v>0.99961999999999995</v>
      </c>
      <c r="F39" s="10"/>
    </row>
    <row r="40" spans="1:6">
      <c r="A40" s="10">
        <v>39</v>
      </c>
      <c r="B40" s="10">
        <v>285</v>
      </c>
      <c r="C40" s="10">
        <v>22.4552247688991</v>
      </c>
      <c r="D40" s="10">
        <v>0.92933924295265502</v>
      </c>
      <c r="E40" s="10">
        <v>0.99968999999999997</v>
      </c>
      <c r="F40" s="10"/>
    </row>
    <row r="41" spans="1:6">
      <c r="A41" s="10">
        <v>40</v>
      </c>
      <c r="B41" s="10">
        <v>285</v>
      </c>
      <c r="C41" s="10">
        <v>21.907739044176701</v>
      </c>
      <c r="D41" s="10">
        <v>0.77762559359162298</v>
      </c>
      <c r="E41" s="10">
        <v>0.99999000000000005</v>
      </c>
      <c r="F41" s="10"/>
    </row>
    <row r="42" spans="1:6">
      <c r="A42" s="10">
        <v>41</v>
      </c>
      <c r="B42" s="10" t="s">
        <v>7</v>
      </c>
      <c r="C42" s="10">
        <v>33.828496533882003</v>
      </c>
      <c r="D42" s="10">
        <v>0.66083442761736799</v>
      </c>
      <c r="E42" s="10">
        <v>0.99980999999999998</v>
      </c>
      <c r="F42" s="10"/>
    </row>
    <row r="43" spans="1:6">
      <c r="A43" s="10">
        <v>42</v>
      </c>
      <c r="B43" s="10" t="s">
        <v>7</v>
      </c>
      <c r="C43" s="10">
        <v>33.474039481781503</v>
      </c>
      <c r="D43" s="10">
        <v>0.69629806107356895</v>
      </c>
      <c r="E43" s="10">
        <v>0.99963999999999997</v>
      </c>
      <c r="F43" s="10"/>
    </row>
    <row r="44" spans="1:6">
      <c r="A44" s="10">
        <v>43</v>
      </c>
      <c r="B44" s="10" t="s">
        <v>7</v>
      </c>
      <c r="C44" s="10">
        <v>34.266779329313103</v>
      </c>
      <c r="D44" s="10">
        <v>0.68475944455451199</v>
      </c>
      <c r="E44" s="10">
        <v>0.99963999999999997</v>
      </c>
      <c r="F44" s="10"/>
    </row>
    <row r="45" spans="1:6">
      <c r="A45" s="10">
        <v>44</v>
      </c>
      <c r="B45" s="10" t="s">
        <v>7</v>
      </c>
      <c r="C45" s="10">
        <v>34.574612258823301</v>
      </c>
      <c r="D45" s="10">
        <v>0.63861062406490499</v>
      </c>
      <c r="E45" s="10">
        <v>0.99968999999999997</v>
      </c>
      <c r="F45" s="10"/>
    </row>
    <row r="46" spans="1:6">
      <c r="A46" s="10">
        <v>45</v>
      </c>
      <c r="B46" s="10" t="s">
        <v>8</v>
      </c>
      <c r="C46" s="10">
        <v>37.939379237211803</v>
      </c>
      <c r="D46" s="10">
        <v>0.71756542836204396</v>
      </c>
      <c r="E46" s="10">
        <v>0.99616000000000005</v>
      </c>
      <c r="F46" s="10"/>
    </row>
    <row r="47" spans="1:6">
      <c r="A47" s="10">
        <v>46</v>
      </c>
      <c r="B47" s="10" t="s">
        <v>8</v>
      </c>
      <c r="C47" s="10">
        <v>37.7793843203183</v>
      </c>
      <c r="D47" s="10">
        <v>0.49379894981193301</v>
      </c>
      <c r="E47" s="10">
        <v>0.97528999999999999</v>
      </c>
      <c r="F47" s="10"/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276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21.363460394353499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276</v>
      </c>
      <c r="B3">
        <f>IF('177T'!C3="", "", '177T'!C3)</f>
        <v>-1</v>
      </c>
      <c r="C3">
        <f>IF('18S2'!C3="", "", '18S2'!C3)</f>
        <v>-1</v>
      </c>
      <c r="D3">
        <f>IF(RNAseP!C3="", "", RNAseP!C3)</f>
        <v>21.346938042813498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276</v>
      </c>
      <c r="B4">
        <f>IF('177T'!C4="", "", '177T'!C4)</f>
        <v>-1</v>
      </c>
      <c r="C4">
        <f>IF('18S2'!C4="", "", '18S2'!C4)</f>
        <v>-1</v>
      </c>
      <c r="D4">
        <f>IF(RNAseP!C4="", "", RNAseP!C4)</f>
        <v>21.344151722655599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276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21.3424315600505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277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23.602859814299599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277</v>
      </c>
      <c r="B7">
        <f>IF('177T'!C7="", "", '177T'!C7)</f>
        <v>-1</v>
      </c>
      <c r="C7">
        <f>IF('18S2'!C7="", "", '18S2'!C7)</f>
        <v>-1</v>
      </c>
      <c r="D7">
        <f>IF(RNAseP!C7="", "", RNAseP!C7)</f>
        <v>23.590056823051601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277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23.676463364956899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277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23.700155143806601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278</v>
      </c>
      <c r="B10">
        <f>IF('177T'!C10="", "", '177T'!C10)</f>
        <v>31.577309858019699</v>
      </c>
      <c r="C10">
        <f>IF('18S2'!C10="", "", '18S2'!C10)</f>
        <v>37.992424442965998</v>
      </c>
      <c r="D10">
        <f>IF(RNAseP!C10="", "", RNAseP!C10)</f>
        <v>25.711903248797999</v>
      </c>
      <c r="E10" s="3" t="str">
        <f>IF(B10=-1, "-1", IF(B10&lt;VLOOKUP("177T", Cutoff!$A$1:$B$4, 2, FALSE), "1", "0"))</f>
        <v>1</v>
      </c>
      <c r="F10" s="3" t="str">
        <f>IF(C10=-1, "-1", IF(C10&lt;VLOOKUP("18S2", Cutoff!$A$1:$B$4, 2, FALSE), "1", "0"))</f>
        <v>0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P</v>
      </c>
      <c r="I10" t="str" cm="1">
        <f t="array" ref="I10">INDEX(Decision!$E$1:$E$28, MATCH(E10&amp;F10&amp;G10, Decision!$A$1:$A$28&amp;Decision!$B$1:$B$28&amp;Decision!$C$1:$C$28, 0))</f>
        <v>DNA case &amp; RNA suspect</v>
      </c>
    </row>
    <row r="11" spans="1:9">
      <c r="A11">
        <f>IF(AND('177T'!B11 = '18S2'!B11, '177T'!B11 = RNAseP!B11, '177T'!B11 &lt;&gt; ""), '177T'!B11, IF('177T'!B11 = "", "", "Mismatch"))</f>
        <v>278</v>
      </c>
      <c r="B11">
        <f>IF('177T'!C11="", "", '177T'!C11)</f>
        <v>31.181763991086999</v>
      </c>
      <c r="C11">
        <f>IF('18S2'!C11="", "", '18S2'!C11)</f>
        <v>-1</v>
      </c>
      <c r="D11">
        <f>IF(RNAseP!C11="", "", RNAseP!C11)</f>
        <v>25.790695061001198</v>
      </c>
      <c r="E11" s="3" t="str">
        <f>IF(B11=-1, "-1", IF(B11&lt;VLOOKUP("177T", Cutoff!$A$1:$B$4, 2, FALSE), "1", "0"))</f>
        <v>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P</v>
      </c>
      <c r="I11" t="str" cm="1">
        <f t="array" ref="I11">INDEX(Decision!$E$1:$E$28, MATCH(E11&amp;F11&amp;G11, Decision!$A$1:$A$28&amp;Decision!$B$1:$B$28&amp;Decision!$C$1:$C$28, 0))</f>
        <v>DNA case</v>
      </c>
    </row>
    <row r="12" spans="1:9">
      <c r="A12">
        <f>IF(AND('177T'!B12 = '18S2'!B12, '177T'!B12 = RNAseP!B12, '177T'!B12 &lt;&gt; ""), '177T'!B12, IF('177T'!B12 = "", "", "Mismatch"))</f>
        <v>278</v>
      </c>
      <c r="B12">
        <f>IF('177T'!C12="", "", '177T'!C12)</f>
        <v>32.143864036182499</v>
      </c>
      <c r="C12">
        <f>IF('18S2'!C12="", "", '18S2'!C12)</f>
        <v>36.069111777364398</v>
      </c>
      <c r="D12">
        <f>IF(RNAseP!C12="", "", RNAseP!C12)</f>
        <v>25.783214486148601</v>
      </c>
      <c r="E12" s="3" t="str">
        <f>IF(B12=-1, "-1", IF(B12&lt;VLOOKUP("177T", Cutoff!$A$1:$B$4, 2, FALSE), "1", "0"))</f>
        <v>1</v>
      </c>
      <c r="F12" s="3" t="str">
        <f>IF(C12=-1, "-1", IF(C12&lt;VLOOKUP("18S2", Cutoff!$A$1:$B$4, 2, FALSE), "1", "0"))</f>
        <v>0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P</v>
      </c>
      <c r="I12" t="str" cm="1">
        <f t="array" ref="I12">INDEX(Decision!$E$1:$E$28, MATCH(E12&amp;F12&amp;G12, Decision!$A$1:$A$28&amp;Decision!$B$1:$B$28&amp;Decision!$C$1:$C$28, 0))</f>
        <v>DNA case &amp; RNA suspect</v>
      </c>
    </row>
    <row r="13" spans="1:9">
      <c r="A13">
        <f>IF(AND('177T'!B13 = '18S2'!B13, '177T'!B13 = RNAseP!B13, '177T'!B13 &lt;&gt; ""), '177T'!B13, IF('177T'!B13 = "", "", "Mismatch"))</f>
        <v>278</v>
      </c>
      <c r="B13">
        <f>IF('177T'!C13="", "", '177T'!C13)</f>
        <v>32.316778262979398</v>
      </c>
      <c r="C13">
        <f>IF('18S2'!C13="", "", '18S2'!C13)</f>
        <v>-1</v>
      </c>
      <c r="D13">
        <f>IF(RNAseP!C13="", "", RNAseP!C13)</f>
        <v>25.785934489758802</v>
      </c>
      <c r="E13" s="3" t="str">
        <f>IF(B13=-1, "-1", IF(B13&lt;VLOOKUP("177T", Cutoff!$A$1:$B$4, 2, FALSE), "1", "0"))</f>
        <v>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P</v>
      </c>
      <c r="I13" t="str" cm="1">
        <f t="array" ref="I13">INDEX(Decision!$E$1:$E$28, MATCH(E13&amp;F13&amp;G13, Decision!$A$1:$A$28&amp;Decision!$B$1:$B$28&amp;Decision!$C$1:$C$28, 0))</f>
        <v>DNA case</v>
      </c>
    </row>
    <row r="14" spans="1:9">
      <c r="A14">
        <f>IF(AND('177T'!B14 = '18S2'!B14, '177T'!B14 = RNAseP!B14, '177T'!B14 &lt;&gt; ""), '177T'!B14, IF('177T'!B14 = "", "", "Mismatch"))</f>
        <v>279</v>
      </c>
      <c r="B14">
        <f>IF('177T'!C14="", "", '177T'!C14)</f>
        <v>28.5710023667408</v>
      </c>
      <c r="C14">
        <f>IF('18S2'!C14="", "", '18S2'!C14)</f>
        <v>36.039407022755498</v>
      </c>
      <c r="D14">
        <f>IF(RNAseP!C14="", "", RNAseP!C14)</f>
        <v>22.8107424011428</v>
      </c>
      <c r="E14" s="3" t="str">
        <f>IF(B14=-1, "-1", IF(B14&lt;VLOOKUP("177T", Cutoff!$A$1:$B$4, 2, FALSE), "1", "0"))</f>
        <v>1</v>
      </c>
      <c r="F14" s="3" t="str">
        <f>IF(C14=-1, "-1", IF(C14&lt;VLOOKUP("18S2", Cutoff!$A$1:$B$4, 2, FALSE), "1", "0"))</f>
        <v>0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P</v>
      </c>
      <c r="I14" t="str" cm="1">
        <f t="array" ref="I14">INDEX(Decision!$E$1:$E$28, MATCH(E14&amp;F14&amp;G14, Decision!$A$1:$A$28&amp;Decision!$B$1:$B$28&amp;Decision!$C$1:$C$28, 0))</f>
        <v>DNA case &amp; RNA suspect</v>
      </c>
    </row>
    <row r="15" spans="1:9">
      <c r="A15">
        <f>IF(AND('177T'!B15 = '18S2'!B15, '177T'!B15 = RNAseP!B15, '177T'!B15 &lt;&gt; ""), '177T'!B15, IF('177T'!B15 = "", "", "Mismatch"))</f>
        <v>279</v>
      </c>
      <c r="B15">
        <f>IF('177T'!C15="", "", '177T'!C15)</f>
        <v>28.822923694248502</v>
      </c>
      <c r="C15">
        <f>IF('18S2'!C15="", "", '18S2'!C15)</f>
        <v>-1</v>
      </c>
      <c r="D15">
        <f>IF(RNAseP!C15="", "", RNAseP!C15)</f>
        <v>22.734001419158702</v>
      </c>
      <c r="E15" s="3" t="str">
        <f>IF(B15=-1, "-1", IF(B15&lt;VLOOKUP("177T", Cutoff!$A$1:$B$4, 2, FALSE), "1", "0"))</f>
        <v>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P</v>
      </c>
      <c r="I15" t="str" cm="1">
        <f t="array" ref="I15">INDEX(Decision!$E$1:$E$28, MATCH(E15&amp;F15&amp;G15, Decision!$A$1:$A$28&amp;Decision!$B$1:$B$28&amp;Decision!$C$1:$C$28, 0))</f>
        <v>DNA case</v>
      </c>
    </row>
    <row r="16" spans="1:9">
      <c r="A16">
        <f>IF(AND('177T'!B16 = '18S2'!B16, '177T'!B16 = RNAseP!B16, '177T'!B16 &lt;&gt; ""), '177T'!B16, IF('177T'!B16 = "", "", "Mismatch"))</f>
        <v>279</v>
      </c>
      <c r="B16">
        <f>IF('177T'!C16="", "", '177T'!C16)</f>
        <v>28.110237238186901</v>
      </c>
      <c r="C16">
        <f>IF('18S2'!C16="", "", '18S2'!C16)</f>
        <v>-1</v>
      </c>
      <c r="D16">
        <f>IF(RNAseP!C16="", "", RNAseP!C16)</f>
        <v>22.771555146493199</v>
      </c>
      <c r="E16" s="3" t="str">
        <f>IF(B16=-1, "-1", IF(B16&lt;VLOOKUP("177T", Cutoff!$A$1:$B$4, 2, FALSE), "1", "0"))</f>
        <v>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P</v>
      </c>
      <c r="I16" t="str" cm="1">
        <f t="array" ref="I16">INDEX(Decision!$E$1:$E$28, MATCH(E16&amp;F16&amp;G16, Decision!$A$1:$A$28&amp;Decision!$B$1:$B$28&amp;Decision!$C$1:$C$28, 0))</f>
        <v>DNA case</v>
      </c>
    </row>
    <row r="17" spans="1:9">
      <c r="A17">
        <f>IF(AND('177T'!B17 = '18S2'!B17, '177T'!B17 = RNAseP!B17, '177T'!B17 &lt;&gt; ""), '177T'!B17, IF('177T'!B17 = "", "", "Mismatch"))</f>
        <v>279</v>
      </c>
      <c r="B17">
        <f>IF('177T'!C17="", "", '177T'!C17)</f>
        <v>28.837592699526599</v>
      </c>
      <c r="C17">
        <f>IF('18S2'!C17="", "", '18S2'!C17)</f>
        <v>36.953018154114098</v>
      </c>
      <c r="D17">
        <f>IF(RNAseP!C17="", "", RNAseP!C17)</f>
        <v>22.684606227864698</v>
      </c>
      <c r="E17" s="3" t="str">
        <f>IF(B17=-1, "-1", IF(B17&lt;VLOOKUP("177T", Cutoff!$A$1:$B$4, 2, FALSE), "1", "0"))</f>
        <v>1</v>
      </c>
      <c r="F17" s="3" t="str">
        <f>IF(C17=-1, "-1", IF(C17&lt;VLOOKUP("18S2", Cutoff!$A$1:$B$4, 2, FALSE), "1", "0"))</f>
        <v>0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P</v>
      </c>
      <c r="I17" t="str" cm="1">
        <f t="array" ref="I17">INDEX(Decision!$E$1:$E$28, MATCH(E17&amp;F17&amp;G17, Decision!$A$1:$A$28&amp;Decision!$B$1:$B$28&amp;Decision!$C$1:$C$28, 0))</f>
        <v>DNA case &amp; RNA suspect</v>
      </c>
    </row>
    <row r="18" spans="1:9">
      <c r="A18">
        <f>IF(AND('177T'!B18 = '18S2'!B18, '177T'!B18 = RNAseP!B18, '177T'!B18 &lt;&gt; ""), '177T'!B18, IF('177T'!B18 = "", "", "Mismatch"))</f>
        <v>280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23.685673781836499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280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23.669511745956498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280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23.7425065390822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280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23.767349690961801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281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21.1458667931736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281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21.244436708116599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281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21.1457757508405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281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21.185794958290401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282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24.425854846731902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282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24.277863069657499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282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24.451599760082399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282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24.4147889794184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283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20.724912432144901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283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20.623148145245199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283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20.597894395768101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283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20.5614295039097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284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24.169783196471801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284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24.180335147634199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284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24.169136469291299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284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24.153191918291402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285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22.452812043839099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285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22.4436899447572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285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22.4552247688991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285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21.907739044176701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21.300005979119</v>
      </c>
      <c r="C42">
        <f>IF('18S2'!C42="", "", '18S2'!C42)</f>
        <v>19.311492807412701</v>
      </c>
      <c r="D42">
        <f>IF(RNAseP!C42="", "", RNAseP!C42)</f>
        <v>33.828496533882003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21.098586301859701</v>
      </c>
      <c r="C43">
        <f>IF('18S2'!C43="", "", '18S2'!C43)</f>
        <v>19.138808826945301</v>
      </c>
      <c r="D43">
        <f>IF(RNAseP!C43="", "", RNAseP!C43)</f>
        <v>33.474039481781503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22.7657599325108</v>
      </c>
      <c r="C44">
        <f>IF('18S2'!C44="", "", '18S2'!C44)</f>
        <v>19.773424124725601</v>
      </c>
      <c r="D44">
        <f>IF(RNAseP!C44="", "", RNAseP!C44)</f>
        <v>34.266779329313103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21.521544979062199</v>
      </c>
      <c r="C45">
        <f>IF('18S2'!C45="", "", '18S2'!C45)</f>
        <v>19.811098521342402</v>
      </c>
      <c r="D45">
        <f>IF(RNAseP!C45="", "", RNAseP!C45)</f>
        <v>34.574612258823301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37.939379237211803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37.7793843203183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45947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0">
        <v>45771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1"/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276</v>
      </c>
      <c r="B16" s="11">
        <v>2501177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21,3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277</v>
      </c>
      <c r="B17" s="11">
        <v>2501181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23,6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278</v>
      </c>
      <c r="B18" s="11">
        <v>2501285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P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>31,8 +/- 0,5</v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>37 +/- 1,4</v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25,8 +/- 0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279</v>
      </c>
      <c r="B19" s="11">
        <v>2501228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P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>28,6 +/- 0,3</v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36,5 +/- 0,6</v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22,8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280</v>
      </c>
      <c r="B20" s="11">
        <v>2501917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23,7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281</v>
      </c>
      <c r="B21" s="11">
        <v>2502000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21,2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282</v>
      </c>
      <c r="B22" s="11">
        <v>2501965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24,4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283</v>
      </c>
      <c r="B23" s="11">
        <v>2501945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20,6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284</v>
      </c>
      <c r="B24" s="11">
        <v>2501981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24,2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285</v>
      </c>
      <c r="B25" s="11">
        <v>2501916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22,3 +/- 0,3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21,7 +/- 0,7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19,5 +/- 0,3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 +/- 0,5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37,9 +/- 0,1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276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21,3 +/- 0</v>
      </c>
    </row>
    <row r="3" spans="1:11">
      <c r="A3" s="3">
        <f>Report!A17</f>
        <v>277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23,6 +/- 0,1</v>
      </c>
    </row>
    <row r="4" spans="1:11">
      <c r="A4" s="3">
        <f>Report!A18</f>
        <v>278</v>
      </c>
      <c r="B4" s="3" t="str" cm="1">
        <f t="array" ref="B4">_xlfn.TEXTJOIN(", ", TRUE, IF(Analysis!$A$2:$A$82=A4, Analysis!$H$2:$H$82, ""))</f>
        <v>P, P, P, P</v>
      </c>
      <c r="C4" s="3" t="str" cm="1">
        <f t="array" ref="C4">_xlfn.TEXTJOIN(", ", TRUE, IF(Analysis!$A$2:$A$82=A4, Analysis!$I$2:$I$82, ""))</f>
        <v>DNA case &amp; RNA suspect, DNA case, DNA case &amp; RNA suspect, DNA case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P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>31,8 +/- 0,5</v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>37 +/- 1,4</v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25,8 +/- 0</v>
      </c>
    </row>
    <row r="5" spans="1:11">
      <c r="A5" s="3">
        <f>Report!A19</f>
        <v>279</v>
      </c>
      <c r="B5" s="3" t="str" cm="1">
        <f t="array" ref="B5">_xlfn.TEXTJOIN(", ", TRUE, IF(Analysis!$A$2:$A$82=A5, Analysis!$H$2:$H$82, ""))</f>
        <v>P, P, P, P</v>
      </c>
      <c r="C5" s="3" t="str" cm="1">
        <f t="array" ref="C5">_xlfn.TEXTJOIN(", ", TRUE, IF(Analysis!$A$2:$A$82=A5, Analysis!$I$2:$I$82, ""))</f>
        <v>DNA case &amp; RNA suspect, DNA case, DNA case, DNA case &amp; RNA suspect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P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>28,6 +/- 0,3</v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36,5 +/- 0,6</v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22,8 +/- 0,1</v>
      </c>
    </row>
    <row r="6" spans="1:11">
      <c r="A6" s="3">
        <f>Report!A20</f>
        <v>280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23,7 +/- 0</v>
      </c>
    </row>
    <row r="7" spans="1:11">
      <c r="A7" s="3">
        <f>Report!A21</f>
        <v>281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21,2 +/- 0</v>
      </c>
      <c r="K7" s="4"/>
    </row>
    <row r="8" spans="1:11">
      <c r="A8" s="3">
        <f>Report!A22</f>
        <v>282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24,4 +/- 0,1</v>
      </c>
    </row>
    <row r="9" spans="1:11">
      <c r="A9" s="3">
        <f>Report!A23</f>
        <v>283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20,6 +/- 0,1</v>
      </c>
    </row>
    <row r="10" spans="1:11">
      <c r="A10" s="3">
        <f>Report!A24</f>
        <v>284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24,2 +/- 0</v>
      </c>
    </row>
    <row r="11" spans="1:11">
      <c r="A11" s="3">
        <f>Report!A25</f>
        <v>285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22,3 +/- 0,3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21,7 +/- 0,7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19,5 +/- 0,3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 +/- 0,5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F, OK, OK</v>
      </c>
      <c r="C13" s="3" t="str" cm="1">
        <f t="array" ref="C13">_xlfn.TEXTJOIN(", ", TRUE, IF(Analysis!$A$2:$A$82=A13, Analysis!$I$2:$I$82, ""))</f>
        <v>RNAseP, RNAseP,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37,9 +/- 0,1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2025-10-24T07:37:29+00:00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98A17C-43C8-436B-AB4C-325C442EE73C}"/>
</file>

<file path=customXml/itemProps2.xml><?xml version="1.0" encoding="utf-8"?>
<ds:datastoreItem xmlns:ds="http://schemas.openxmlformats.org/officeDocument/2006/customXml" ds:itemID="{E4DBEF0E-38E4-491F-AF8F-F8C832021C01}"/>
</file>

<file path=customXml/itemProps3.xml><?xml version="1.0" encoding="utf-8"?>
<ds:datastoreItem xmlns:ds="http://schemas.openxmlformats.org/officeDocument/2006/customXml" ds:itemID="{FE068F20-84A9-403E-A009-B5FF74AEB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