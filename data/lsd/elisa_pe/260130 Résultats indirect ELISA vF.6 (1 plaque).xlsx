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7 - Résultats Labo\"/>
    </mc:Choice>
  </mc:AlternateContent>
  <xr:revisionPtr revIDLastSave="0" documentId="13_ncr:1_{7AD74BE7-0892-4057-B421-56D7C50CB996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10" yWindow="-110" windowWidth="19420" windowHeight="1150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<sst xmlns="http://schemas.openxmlformats.org/spreadsheetml/2006/main" count="209" uniqueCount="115">
  <si>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</si>
  <si>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</si>
  <si>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</si>
  <si>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</si>
  <si>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</si>
  <si>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</si>
  <si>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</si>
  <si>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</si>
  <si>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</si>
  <si>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</si>
  <si>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</si>
  <si>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</si>
  <si>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</si>
  <si>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</si>
  <si>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</si>
  <si>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</si>
  <si>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</si>
  <si>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</si>
  <si>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</si>
  <si>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</si>
  <si>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</si>
  <si>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</si>
  <si>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</si>
  <si>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</si>
  <si>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</si>
  <si>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</si>
  <si>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</si>
  <si>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</si>
  <si>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</si>
  <si>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</si>
  <si>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</si>
  <si>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</si>
  <si>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</si>
  <si>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</si>
  <si>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</si>
  <si>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</si>
  <si>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</si>
  <si>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</si>
  <si>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</si>
  <si>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</si>
  <si>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</si>
  <si>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</si>
  <si>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</si>
  <si>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</si>
  <si>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</si>
  <si>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</si>
  <si>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</si>
  <si>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</si>
  <si>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</si>
  <si>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</si>
  <si>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</si>
  <si>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</si>
  <si>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</si>
  <si>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</si>
  <si>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</si>
  <si>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</si>
  <si>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</si>
  <si>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</si>
  <si>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</si>
  <si>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</si>
  <si>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</si>
  <si>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</si>
  <si>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</si>
  <si>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</si>
  <si>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</si>
  <si>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</si>
  <si>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</si>
  <si>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</si>
  <si>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</si>
  <si>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</si>
  <si>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</si>
  <si>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</si>
  <si>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</si>
  <si>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</si>
  <si>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</si>
  <si>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</si>
  <si>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</si>
  <si>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</si>
  <si>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</si>
  <si>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</si>
  <si>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</si>
  <si>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</si>
  <si>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</si>
  <si>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</si>
  <si>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v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</si>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</sst>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4.4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600000000000001">
      <c r="A1" s="2" t="s">
        <v>0</v>
      </c>
      <c r="B1" s="4"/>
      <c r="C1" s="5"/>
      <c r="D1" s="5"/>
      <c r="E1" s="5"/>
      <c r="F1" s="5"/>
    </row>
    <row r="2" spans="1:6" ht="15.6">
      <c r="A2" s="4"/>
      <c r="B2" s="4"/>
      <c r="C2" s="5"/>
      <c r="D2" s="5"/>
      <c r="E2" s="5"/>
      <c r="F2" s="5"/>
    </row>
    <row r="3" spans="1:6" ht="18.600000000000001">
      <c r="A3" s="2" t="s">
        <v>1</v>
      </c>
      <c r="B3" s="4"/>
      <c r="C3" s="5"/>
      <c r="D3" s="5"/>
      <c r="E3" s="5"/>
      <c r="F3" s="5"/>
    </row>
    <row r="4" spans="1:6" ht="18.600000000000001">
      <c r="A4" s="2"/>
      <c r="B4" s="2"/>
    </row>
    <row r="5" spans="1:6" ht="18.600000000000001">
      <c r="A5" s="2"/>
      <c r="B5" s="25" t="s">
        <v>2</v>
      </c>
      <c r="C5" s="26"/>
    </row>
    <row r="6" spans="1:6" ht="18.600000000000001">
      <c r="A6" s="2"/>
      <c r="B6" s="40" t="s">
        <v>3</v>
      </c>
      <c r="C6" s="23"/>
    </row>
    <row r="7" spans="1:6" ht="18.600000000000001">
      <c r="A7" s="2"/>
      <c r="B7" s="40" t="s">
        <v>4</v>
      </c>
      <c r="C7" s="24"/>
    </row>
    <row r="8" spans="1:6" ht="18.600000000000001">
      <c r="A8" s="2"/>
    </row>
    <row r="9" spans="1:6" ht="18.600000000000001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600000000000001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600000000000001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600000000000001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E27" sqref="E27"/>
    </sheetView>
  </sheetViews>
  <sheetFormatPr defaultColWidth="10.85546875" defaultRowHeight="14.45"/>
  <sheetData>
    <row r="1" spans="1:9" ht="18.600000000000001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600000000000001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2502784</v>
      </c>
      <c r="C6" s="65">
        <v>2502724</v>
      </c>
      <c r="D6" s="65">
        <v>2503048</v>
      </c>
      <c r="F6" s="7" t="s">
        <v>23</v>
      </c>
      <c r="G6" s="66">
        <v>757</v>
      </c>
      <c r="H6" s="66">
        <v>765</v>
      </c>
      <c r="I6" s="66">
        <v>773</v>
      </c>
    </row>
    <row r="7" spans="1:9">
      <c r="A7" s="7" t="s">
        <v>24</v>
      </c>
      <c r="B7" s="65">
        <v>2502710</v>
      </c>
      <c r="C7" s="65">
        <v>250272</v>
      </c>
      <c r="D7" s="65">
        <v>2503050</v>
      </c>
      <c r="F7" s="7" t="s">
        <v>24</v>
      </c>
      <c r="G7" s="66">
        <v>758</v>
      </c>
      <c r="H7" s="66">
        <v>766</v>
      </c>
      <c r="I7" s="66">
        <v>774</v>
      </c>
    </row>
    <row r="8" spans="1:9">
      <c r="A8" s="7" t="s">
        <v>25</v>
      </c>
      <c r="B8" s="65">
        <v>2502711</v>
      </c>
      <c r="C8" s="65">
        <v>2502725</v>
      </c>
      <c r="D8" s="65">
        <v>2503058</v>
      </c>
      <c r="F8" s="7" t="s">
        <v>25</v>
      </c>
      <c r="G8" s="66">
        <v>759</v>
      </c>
      <c r="H8" s="66">
        <v>767</v>
      </c>
      <c r="I8" s="66">
        <v>775</v>
      </c>
    </row>
    <row r="9" spans="1:9">
      <c r="A9" s="7" t="s">
        <v>26</v>
      </c>
      <c r="B9" s="65">
        <v>2502738</v>
      </c>
      <c r="C9" s="65">
        <v>2502701</v>
      </c>
      <c r="D9" s="65">
        <v>2503029</v>
      </c>
      <c r="F9" s="7" t="s">
        <v>26</v>
      </c>
      <c r="G9" s="66">
        <v>760</v>
      </c>
      <c r="H9" s="66">
        <v>768</v>
      </c>
      <c r="I9" s="66">
        <v>776</v>
      </c>
    </row>
    <row r="10" spans="1:9">
      <c r="A10" s="7" t="s">
        <v>27</v>
      </c>
      <c r="B10" s="65">
        <v>2502786</v>
      </c>
      <c r="C10" s="65">
        <v>2502751</v>
      </c>
      <c r="D10" s="65">
        <v>2503008</v>
      </c>
      <c r="F10" s="7" t="s">
        <v>27</v>
      </c>
      <c r="G10" s="66">
        <v>761</v>
      </c>
      <c r="H10" s="66">
        <v>769</v>
      </c>
      <c r="I10" s="66">
        <v>777</v>
      </c>
    </row>
    <row r="11" spans="1:9">
      <c r="A11" s="7" t="s">
        <v>28</v>
      </c>
      <c r="B11" s="65">
        <v>2502727</v>
      </c>
      <c r="C11" s="65">
        <v>2502718</v>
      </c>
      <c r="D11" s="46" t="s">
        <v>29</v>
      </c>
      <c r="F11" s="7" t="s">
        <v>28</v>
      </c>
      <c r="G11" s="66">
        <v>762</v>
      </c>
      <c r="H11" s="66">
        <v>770</v>
      </c>
      <c r="I11" s="46" t="s">
        <v>29</v>
      </c>
    </row>
    <row r="12" spans="1:9">
      <c r="A12" s="7" t="s">
        <v>30</v>
      </c>
      <c r="B12" s="65">
        <v>2502722</v>
      </c>
      <c r="C12" s="65">
        <v>2503014</v>
      </c>
      <c r="D12" s="47" t="s">
        <v>31</v>
      </c>
      <c r="F12" s="7" t="s">
        <v>30</v>
      </c>
      <c r="G12" s="66">
        <v>763</v>
      </c>
      <c r="H12" s="66">
        <v>771</v>
      </c>
      <c r="I12" s="47" t="s">
        <v>31</v>
      </c>
    </row>
    <row r="13" spans="1:9">
      <c r="A13" s="7" t="s">
        <v>32</v>
      </c>
      <c r="B13" s="65">
        <v>2502726</v>
      </c>
      <c r="C13" s="65">
        <v>2503036</v>
      </c>
      <c r="D13" s="48" t="s">
        <v>33</v>
      </c>
      <c r="F13" s="7" t="s">
        <v>32</v>
      </c>
      <c r="G13" s="66">
        <v>764</v>
      </c>
      <c r="H13" s="66">
        <v>772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4.45"/>
  <cols>
    <col min="1" max="1" width="15.7109375" customWidth="1"/>
    <col min="2" max="2" width="27.28515625" customWidth="1"/>
    <col min="3" max="3" width="33.140625" customWidth="1"/>
  </cols>
  <sheetData>
    <row r="1" spans="1:3" ht="18.600000000000001">
      <c r="A1" s="14" t="s">
        <v>0</v>
      </c>
      <c r="B1" s="14"/>
      <c r="C1" s="14"/>
    </row>
    <row r="2" spans="1:3" ht="18.600000000000001">
      <c r="A2" s="2"/>
      <c r="B2" s="2"/>
      <c r="C2" s="2"/>
    </row>
    <row r="3" spans="1:3" ht="18.600000000000001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6.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2502784</v>
      </c>
      <c r="C6" s="18"/>
    </row>
    <row r="7" spans="1:3" ht="20.100000000000001" customHeight="1">
      <c r="A7" s="22" t="s">
        <v>38</v>
      </c>
      <c r="B7" s="50">
        <f>IF(Deepwell!B7="","",Deepwell!B7)</f>
        <v>2502710</v>
      </c>
      <c r="C7" s="18"/>
    </row>
    <row r="8" spans="1:3" ht="20.100000000000001" customHeight="1">
      <c r="A8" s="22" t="s">
        <v>39</v>
      </c>
      <c r="B8" s="50">
        <f>IF(Deepwell!B8="","",Deepwell!B8)</f>
        <v>2502711</v>
      </c>
      <c r="C8" s="18"/>
    </row>
    <row r="9" spans="1:3" ht="20.100000000000001" customHeight="1">
      <c r="A9" s="22" t="s">
        <v>40</v>
      </c>
      <c r="B9" s="50">
        <f>IF(Deepwell!B9="","",Deepwell!B9)</f>
        <v>2502738</v>
      </c>
      <c r="C9" s="18"/>
    </row>
    <row r="10" spans="1:3" ht="20.100000000000001" customHeight="1">
      <c r="A10" s="22" t="s">
        <v>41</v>
      </c>
      <c r="B10" s="50">
        <f>IF(Deepwell!B10="","",Deepwell!B10)</f>
        <v>2502786</v>
      </c>
      <c r="C10" s="18"/>
    </row>
    <row r="11" spans="1:3" ht="20.100000000000001" customHeight="1">
      <c r="A11" s="22" t="s">
        <v>42</v>
      </c>
      <c r="B11" s="50">
        <f>IF(Deepwell!B11="","",Deepwell!B11)</f>
        <v>2502727</v>
      </c>
      <c r="C11" s="18"/>
    </row>
    <row r="12" spans="1:3" ht="20.100000000000001" customHeight="1">
      <c r="A12" s="22" t="s">
        <v>43</v>
      </c>
      <c r="B12" s="50">
        <f>IF(Deepwell!B12="","",Deepwell!B12)</f>
        <v>2502722</v>
      </c>
      <c r="C12" s="18"/>
    </row>
    <row r="13" spans="1:3" ht="20.100000000000001" customHeight="1">
      <c r="A13" s="22" t="s">
        <v>44</v>
      </c>
      <c r="B13" s="50">
        <f>IF(Deepwell!B13="","",Deepwell!B13)</f>
        <v>2502726</v>
      </c>
      <c r="C13" s="18"/>
    </row>
    <row r="14" spans="1:3" ht="20.100000000000001" customHeight="1">
      <c r="A14" s="22" t="s">
        <v>45</v>
      </c>
      <c r="B14" s="50">
        <f>IF(Deepwell!C6="","",Deepwell!C6)</f>
        <v>2502724</v>
      </c>
      <c r="C14" s="18"/>
    </row>
    <row r="15" spans="1:3" ht="20.100000000000001" customHeight="1">
      <c r="A15" s="22" t="s">
        <v>46</v>
      </c>
      <c r="B15" s="50">
        <f>IF(Deepwell!C7="","",Deepwell!C7)</f>
        <v>250272</v>
      </c>
      <c r="C15" s="18"/>
    </row>
    <row r="16" spans="1:3" ht="20.100000000000001" customHeight="1">
      <c r="A16" s="22" t="s">
        <v>47</v>
      </c>
      <c r="B16" s="50">
        <f>IF(Deepwell!C8="","",Deepwell!C8)</f>
        <v>2502725</v>
      </c>
      <c r="C16" s="18"/>
    </row>
    <row r="17" spans="1:3" ht="20.100000000000001" customHeight="1">
      <c r="A17" s="22" t="s">
        <v>48</v>
      </c>
      <c r="B17" s="50">
        <f>IF(Deepwell!C9="","",Deepwell!C9)</f>
        <v>2502701</v>
      </c>
      <c r="C17" s="18"/>
    </row>
    <row r="18" spans="1:3" ht="20.100000000000001" customHeight="1">
      <c r="A18" s="22" t="s">
        <v>49</v>
      </c>
      <c r="B18" s="50">
        <f>IF(Deepwell!C10="","",Deepwell!C10)</f>
        <v>2502751</v>
      </c>
      <c r="C18" s="18"/>
    </row>
    <row r="19" spans="1:3" ht="20.100000000000001" customHeight="1">
      <c r="A19" s="22" t="s">
        <v>50</v>
      </c>
      <c r="B19" s="50">
        <f>IF(Deepwell!C11="","",Deepwell!C11)</f>
        <v>2502718</v>
      </c>
      <c r="C19" s="18"/>
    </row>
    <row r="20" spans="1:3" ht="20.100000000000001" customHeight="1">
      <c r="A20" s="22" t="s">
        <v>51</v>
      </c>
      <c r="B20" s="50">
        <f>IF(Deepwell!C12="","",Deepwell!C12)</f>
        <v>2503014</v>
      </c>
      <c r="C20" s="18"/>
    </row>
    <row r="21" spans="1:3" ht="20.100000000000001" customHeight="1">
      <c r="A21" s="22" t="s">
        <v>52</v>
      </c>
      <c r="B21" s="50">
        <f>IF(Deepwell!C13="","",Deepwell!C13)</f>
        <v>2503036</v>
      </c>
      <c r="C21" s="18"/>
    </row>
    <row r="22" spans="1:3" ht="20.100000000000001" customHeight="1">
      <c r="A22" s="22" t="s">
        <v>53</v>
      </c>
      <c r="B22" s="50">
        <f>IF(Deepwell!D6="","",Deepwell!D6)</f>
        <v>2503048</v>
      </c>
      <c r="C22" s="18"/>
    </row>
    <row r="23" spans="1:3" ht="20.100000000000001" customHeight="1">
      <c r="A23" s="22" t="s">
        <v>54</v>
      </c>
      <c r="B23" s="50">
        <f>IF(Deepwell!D7="","",Deepwell!D7)</f>
        <v>2503050</v>
      </c>
      <c r="C23" s="18"/>
    </row>
    <row r="24" spans="1:3" ht="20.100000000000001" customHeight="1">
      <c r="A24" s="22" t="s">
        <v>55</v>
      </c>
      <c r="B24" s="50">
        <f>IF(Deepwell!D8="","",Deepwell!D8)</f>
        <v>2503058</v>
      </c>
      <c r="C24" s="18"/>
    </row>
    <row r="25" spans="1:3" ht="20.100000000000001" customHeight="1">
      <c r="A25" s="22" t="s">
        <v>56</v>
      </c>
      <c r="B25" s="50">
        <f>IF(Deepwell!D9="","",Deepwell!D9)</f>
        <v>2503029</v>
      </c>
      <c r="C25" s="18"/>
    </row>
    <row r="26" spans="1:3" ht="20.100000000000001" customHeight="1">
      <c r="A26" s="22" t="s">
        <v>57</v>
      </c>
      <c r="B26" s="50">
        <f>IF(Deepwell!D10="","",Deepwell!D10)</f>
        <v>2503008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H17" sqref="H17"/>
    </sheetView>
  </sheetViews>
  <sheetFormatPr defaultColWidth="10.85546875" defaultRowHeight="14.45"/>
  <cols>
    <col min="1" max="1" width="5.42578125" customWidth="1"/>
    <col min="2" max="13" width="12.140625" customWidth="1"/>
  </cols>
  <sheetData>
    <row r="1" spans="1:17" ht="18.600000000000001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600000000000001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0.18</v>
      </c>
      <c r="C14" s="28">
        <v>0.216</v>
      </c>
      <c r="D14" s="28">
        <v>6.7000000000000004E-2</v>
      </c>
      <c r="E14" s="28">
        <v>0.159</v>
      </c>
      <c r="F14" s="28">
        <v>0.21099999999999999</v>
      </c>
      <c r="G14" s="28">
        <v>6.0999999999999999E-2</v>
      </c>
      <c r="H14" s="28">
        <v>7.6999999999999999E-2</v>
      </c>
      <c r="I14" s="28">
        <v>0.2</v>
      </c>
      <c r="J14" s="28">
        <v>0.05</v>
      </c>
      <c r="K14" s="28">
        <v>7.0999999999999994E-2</v>
      </c>
      <c r="L14" s="28">
        <v>0.215</v>
      </c>
      <c r="M14" s="29">
        <v>4.2999999999999997E-2</v>
      </c>
      <c r="N14"/>
      <c r="O14" s="13"/>
      <c r="P14" s="13"/>
      <c r="Q14" s="13"/>
    </row>
    <row r="15" spans="1:17" s="8" customFormat="1">
      <c r="A15" s="12" t="s">
        <v>24</v>
      </c>
      <c r="B15" s="30">
        <v>0.17399999999999999</v>
      </c>
      <c r="C15" s="31">
        <v>0.17100000000000001</v>
      </c>
      <c r="D15" s="31">
        <v>0.114</v>
      </c>
      <c r="E15" s="31">
        <v>0.16300000000000001</v>
      </c>
      <c r="F15" s="31">
        <v>0.16900000000000001</v>
      </c>
      <c r="G15" s="31">
        <v>0.108</v>
      </c>
      <c r="H15" s="31">
        <v>0.12</v>
      </c>
      <c r="I15" s="31">
        <v>5.8000000000000003E-2</v>
      </c>
      <c r="J15" s="31">
        <v>8.6999999999999994E-2</v>
      </c>
      <c r="K15" s="31">
        <v>9.9000000000000005E-2</v>
      </c>
      <c r="L15" s="31">
        <v>5.2999999999999999E-2</v>
      </c>
      <c r="M15" s="32">
        <v>8.3000000000000004E-2</v>
      </c>
      <c r="N15"/>
      <c r="O15" s="13"/>
      <c r="P15" s="13"/>
      <c r="Q15" s="13"/>
    </row>
    <row r="16" spans="1:17" s="8" customFormat="1">
      <c r="A16" s="12" t="s">
        <v>25</v>
      </c>
      <c r="B16" s="30">
        <v>0.11799999999999999</v>
      </c>
      <c r="C16" s="31">
        <v>0.114</v>
      </c>
      <c r="D16" s="31">
        <v>8.6999999999999994E-2</v>
      </c>
      <c r="E16" s="31">
        <v>0.10299999999999999</v>
      </c>
      <c r="F16" s="31">
        <v>0.14299999999999999</v>
      </c>
      <c r="G16" s="31">
        <v>8.4000000000000005E-2</v>
      </c>
      <c r="H16" s="31">
        <v>7.3999999999999996E-2</v>
      </c>
      <c r="I16" s="31">
        <v>0.113</v>
      </c>
      <c r="J16" s="31">
        <v>6.2E-2</v>
      </c>
      <c r="K16" s="31">
        <v>6.7000000000000004E-2</v>
      </c>
      <c r="L16" s="31">
        <v>0.104</v>
      </c>
      <c r="M16" s="32">
        <v>6.3E-2</v>
      </c>
      <c r="N16"/>
      <c r="O16" s="13"/>
      <c r="P16" s="13"/>
      <c r="Q16" s="13"/>
    </row>
    <row r="17" spans="1:39" s="8" customFormat="1">
      <c r="A17" s="12" t="s">
        <v>26</v>
      </c>
      <c r="B17" s="30">
        <v>6.3E-2</v>
      </c>
      <c r="C17" s="31">
        <v>0.182</v>
      </c>
      <c r="D17" s="31">
        <v>0.159</v>
      </c>
      <c r="E17" s="31">
        <v>6.0999999999999999E-2</v>
      </c>
      <c r="F17" s="31">
        <v>0.20200000000000001</v>
      </c>
      <c r="G17" s="31">
        <v>0.158</v>
      </c>
      <c r="H17" s="31">
        <v>5.8999999999999997E-2</v>
      </c>
      <c r="I17" s="31">
        <v>0.06</v>
      </c>
      <c r="J17" s="31">
        <v>7.0999999999999994E-2</v>
      </c>
      <c r="K17" s="31">
        <v>0.05</v>
      </c>
      <c r="L17" s="31">
        <v>6.6000000000000003E-2</v>
      </c>
      <c r="M17" s="32">
        <v>6.5000000000000002E-2</v>
      </c>
      <c r="N17"/>
      <c r="O17" s="13"/>
      <c r="P17" s="13"/>
      <c r="Q17" s="13"/>
    </row>
    <row r="18" spans="1:39" s="8" customFormat="1">
      <c r="A18" s="12" t="s">
        <v>27</v>
      </c>
      <c r="B18" s="30">
        <v>9.1999999999999998E-2</v>
      </c>
      <c r="C18" s="31">
        <v>0.34</v>
      </c>
      <c r="D18" s="31">
        <v>0.27200000000000002</v>
      </c>
      <c r="E18" s="31">
        <v>8.5000000000000006E-2</v>
      </c>
      <c r="F18" s="31">
        <v>0.315</v>
      </c>
      <c r="G18" s="31">
        <v>0.255</v>
      </c>
      <c r="H18" s="31">
        <v>6.3E-2</v>
      </c>
      <c r="I18" s="31">
        <v>4.3999999999999997E-2</v>
      </c>
      <c r="J18" s="31">
        <v>6.9000000000000006E-2</v>
      </c>
      <c r="K18" s="31">
        <v>5.5E-2</v>
      </c>
      <c r="L18" s="31">
        <v>4.3999999999999997E-2</v>
      </c>
      <c r="M18" s="32">
        <v>6.0999999999999999E-2</v>
      </c>
      <c r="N18"/>
      <c r="O18" s="13"/>
      <c r="P18" s="13"/>
      <c r="Q18" s="13"/>
    </row>
    <row r="19" spans="1:39" s="8" customFormat="1">
      <c r="A19" s="12" t="s">
        <v>28</v>
      </c>
      <c r="B19" s="30">
        <v>0.125</v>
      </c>
      <c r="C19" s="31">
        <v>0.111</v>
      </c>
      <c r="D19" s="31">
        <v>3.1E-2</v>
      </c>
      <c r="E19" s="31">
        <v>0.10199999999999999</v>
      </c>
      <c r="F19" s="31">
        <v>0.1</v>
      </c>
      <c r="G19" s="31">
        <v>0.03</v>
      </c>
      <c r="H19" s="31">
        <v>9.8000000000000004E-2</v>
      </c>
      <c r="I19" s="31">
        <v>6.2E-2</v>
      </c>
      <c r="J19" s="31">
        <v>2.8000000000000001E-2</v>
      </c>
      <c r="K19" s="31">
        <v>9.4E-2</v>
      </c>
      <c r="L19" s="31">
        <v>6.2E-2</v>
      </c>
      <c r="M19" s="32">
        <v>1.4E-2</v>
      </c>
      <c r="N19"/>
      <c r="O19" s="13"/>
      <c r="P19" s="13"/>
      <c r="Q19" s="13"/>
    </row>
    <row r="20" spans="1:39" s="8" customFormat="1">
      <c r="A20" s="12" t="s">
        <v>30</v>
      </c>
      <c r="B20" s="30">
        <v>0.214</v>
      </c>
      <c r="C20" s="31">
        <v>6.0999999999999999E-2</v>
      </c>
      <c r="D20" s="31">
        <v>1.155</v>
      </c>
      <c r="E20" s="31">
        <v>0.217</v>
      </c>
      <c r="F20" s="31">
        <v>4.8000000000000001E-2</v>
      </c>
      <c r="G20" s="31">
        <v>1.091</v>
      </c>
      <c r="H20" s="31">
        <v>0.13700000000000001</v>
      </c>
      <c r="I20" s="31">
        <v>0.06</v>
      </c>
      <c r="J20" s="31">
        <v>3.1E-2</v>
      </c>
      <c r="K20" s="31">
        <v>0.128</v>
      </c>
      <c r="L20" s="31">
        <v>5.0999999999999997E-2</v>
      </c>
      <c r="M20" s="32">
        <v>2.1000000000000001E-2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9.5000000000000001E-2</v>
      </c>
      <c r="C21" s="34">
        <v>7.3999999999999996E-2</v>
      </c>
      <c r="D21" s="34">
        <v>4.9000000000000002E-2</v>
      </c>
      <c r="E21" s="34">
        <v>8.2000000000000003E-2</v>
      </c>
      <c r="F21" s="34">
        <v>7.1999999999999995E-2</v>
      </c>
      <c r="G21" s="34">
        <v>3.7999999999999999E-2</v>
      </c>
      <c r="H21" s="34">
        <v>8.4000000000000005E-2</v>
      </c>
      <c r="I21" s="34">
        <v>5.2999999999999999E-2</v>
      </c>
      <c r="J21" s="34">
        <v>3.6999999999999998E-2</v>
      </c>
      <c r="K21" s="34">
        <v>8.2000000000000003E-2</v>
      </c>
      <c r="L21" s="34">
        <v>0.05</v>
      </c>
      <c r="M21" s="35">
        <v>2.4E-2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tabSelected="1" topLeftCell="A5" zoomScaleNormal="100" workbookViewId="0">
      <selection activeCell="I11" sqref="I11"/>
    </sheetView>
  </sheetViews>
  <sheetFormatPr defaultColWidth="10.85546875" defaultRowHeight="14.4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757</v>
      </c>
      <c r="D2" s="42">
        <f>IF(ELISA!B6="","",ELISA!B6)</f>
        <v>2502784</v>
      </c>
      <c r="E2" s="43">
        <f>IF('450 nm - 600 nm'!B14="","",(('450 nm - 600 nm'!B14+'450 nm - 600 nm'!E14)/2)-(('450 nm - 600 nm'!H14+'450 nm - 600 nm'!K14)/2))</f>
        <v>9.5499999999999988E-2</v>
      </c>
      <c r="F2" s="44">
        <f>IF(E2="","",(E2-Controls!$D$4)/(Controls!$D$2-Controls!$D$4))</f>
        <v>7.6107011070110683E-2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 t="s">
        <v>84</v>
      </c>
    </row>
    <row r="3" spans="1:11" ht="15" customHeight="1" thickBot="1">
      <c r="A3" s="70" t="s">
        <v>85</v>
      </c>
      <c r="B3" s="70" t="s">
        <v>38</v>
      </c>
      <c r="C3" s="41">
        <f>IF(Deepwell!G7="","",Deepwell!G7)</f>
        <v>758</v>
      </c>
      <c r="D3" s="42">
        <f>IF(ELISA!B7="","",ELISA!B7)</f>
        <v>2502710</v>
      </c>
      <c r="E3" s="43">
        <f>IF('450 nm - 600 nm'!B15="","",(('450 nm - 600 nm'!B15+'450 nm - 600 nm'!E15)/2)-(('450 nm - 600 nm'!H15+'450 nm - 600 nm'!K15)/2))</f>
        <v>5.8999999999999983E-2</v>
      </c>
      <c r="F3" s="44">
        <f>IF(E3="","",(E3-Controls!$D$4)/(Controls!$D$2-Controls!$D$4))</f>
        <v>4.2435424354243523E-2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 t="s">
        <v>84</v>
      </c>
    </row>
    <row r="4" spans="1:11" ht="15" customHeight="1" thickBot="1">
      <c r="A4" s="70" t="s">
        <v>86</v>
      </c>
      <c r="B4" s="70" t="s">
        <v>39</v>
      </c>
      <c r="C4" s="41">
        <f>IF(Deepwell!G8="","",Deepwell!G8)</f>
        <v>759</v>
      </c>
      <c r="D4" s="42">
        <f>IF(ELISA!B8="","",ELISA!B8)</f>
        <v>2502711</v>
      </c>
      <c r="E4" s="43">
        <f>IF('450 nm - 600 nm'!B16="","",(('450 nm - 600 nm'!B16+'450 nm - 600 nm'!E16)/2)-(('450 nm - 600 nm'!H16+'450 nm - 600 nm'!K16)/2))</f>
        <v>3.999999999999998E-2</v>
      </c>
      <c r="F4" s="44">
        <f>IF(E4="","",(E4-Controls!$D$4)/(Controls!$D$2-Controls!$D$4))</f>
        <v>2.4907749077490757E-2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 t="s">
        <v>84</v>
      </c>
    </row>
    <row r="5" spans="1:11" ht="15" customHeight="1" thickBot="1">
      <c r="A5" s="70" t="s">
        <v>87</v>
      </c>
      <c r="B5" s="70" t="s">
        <v>40</v>
      </c>
      <c r="C5" s="41">
        <f>IF(Deepwell!G9="","",Deepwell!G9)</f>
        <v>760</v>
      </c>
      <c r="D5" s="42">
        <f>IF(ELISA!B9="","",ELISA!B9)</f>
        <v>2502738</v>
      </c>
      <c r="E5" s="43">
        <f>IF('450 nm - 600 nm'!B17="","",(('450 nm - 600 nm'!B17+'450 nm - 600 nm'!E17)/2)-(('450 nm - 600 nm'!H17+'450 nm - 600 nm'!K17)/2))</f>
        <v>7.4999999999999997E-3</v>
      </c>
      <c r="F5" s="44">
        <f>IF(E5="","",(E5-Controls!$D$4)/(Controls!$D$2-Controls!$D$4))</f>
        <v>-5.0738007380073781E-3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 t="s">
        <v>84</v>
      </c>
    </row>
    <row r="6" spans="1:11" ht="15" customHeight="1" thickBot="1">
      <c r="A6" s="70" t="s">
        <v>88</v>
      </c>
      <c r="B6" s="70" t="s">
        <v>41</v>
      </c>
      <c r="C6" s="41">
        <f>IF(Deepwell!G10="","",Deepwell!G10)</f>
        <v>761</v>
      </c>
      <c r="D6" s="42">
        <f>IF(ELISA!B10="","",ELISA!B10)</f>
        <v>2502786</v>
      </c>
      <c r="E6" s="43">
        <f>IF('450 nm - 600 nm'!B18="","",(('450 nm - 600 nm'!B18+'450 nm - 600 nm'!E18)/2)-(('450 nm - 600 nm'!H18+'450 nm - 600 nm'!K18)/2))</f>
        <v>2.9499999999999998E-2</v>
      </c>
      <c r="F6" s="44">
        <f>IF(E6="","",(E6-Controls!$D$4)/(Controls!$D$2-Controls!$D$4))</f>
        <v>1.522140221402214E-2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 t="s">
        <v>84</v>
      </c>
    </row>
    <row r="7" spans="1:11" ht="15" customHeight="1" thickBot="1">
      <c r="A7" s="70" t="s">
        <v>89</v>
      </c>
      <c r="B7" s="70" t="s">
        <v>42</v>
      </c>
      <c r="C7" s="41">
        <f>IF(Deepwell!G11="","",Deepwell!G11)</f>
        <v>762</v>
      </c>
      <c r="D7" s="42">
        <f>IF(ELISA!B11="","",ELISA!B11)</f>
        <v>2502727</v>
      </c>
      <c r="E7" s="43">
        <f>IF('450 nm - 600 nm'!B19="","",(('450 nm - 600 nm'!B19+'450 nm - 600 nm'!E19)/2)-(('450 nm - 600 nm'!H19+'450 nm - 600 nm'!K19)/2))</f>
        <v>1.7499999999999988E-2</v>
      </c>
      <c r="F7" s="44">
        <f>IF(E7="","",(E7-Controls!$D$4)/(Controls!$D$2-Controls!$D$4))</f>
        <v>4.1512915129151198E-3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/>
      <c r="K7" s="71" t="s">
        <v>84</v>
      </c>
    </row>
    <row r="8" spans="1:11" ht="15" customHeight="1" thickBot="1">
      <c r="A8" s="70" t="s">
        <v>90</v>
      </c>
      <c r="B8" s="70" t="s">
        <v>43</v>
      </c>
      <c r="C8" s="41">
        <f>IF(Deepwell!G12="","",Deepwell!G12)</f>
        <v>763</v>
      </c>
      <c r="D8" s="42">
        <f>IF(ELISA!B12="","",ELISA!B12)</f>
        <v>2502722</v>
      </c>
      <c r="E8" s="43">
        <f>IF('450 nm - 600 nm'!B20="","",(('450 nm - 600 nm'!B20+'450 nm - 600 nm'!E20)/2)-(('450 nm - 600 nm'!H20+'450 nm - 600 nm'!K20)/2))</f>
        <v>8.299999999999999E-2</v>
      </c>
      <c r="F8" s="44">
        <f>IF(E8="","",(E8-Controls!$D$4)/(Controls!$D$2-Controls!$D$4))</f>
        <v>6.457564575645755E-2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 t="s">
        <v>84</v>
      </c>
    </row>
    <row r="9" spans="1:11" ht="15" customHeight="1" thickBot="1">
      <c r="A9" s="70" t="s">
        <v>91</v>
      </c>
      <c r="B9" s="70" t="s">
        <v>44</v>
      </c>
      <c r="C9" s="41">
        <f>IF(Deepwell!G13="","",Deepwell!G13)</f>
        <v>764</v>
      </c>
      <c r="D9" s="42">
        <f>IF(ELISA!B13="","",ELISA!B13)</f>
        <v>2502726</v>
      </c>
      <c r="E9" s="43">
        <f>IF('450 nm - 600 nm'!B21="","",(('450 nm - 600 nm'!B21+'450 nm - 600 nm'!E21)/2)-(('450 nm - 600 nm'!H21+'450 nm - 600 nm'!K21)/2))</f>
        <v>5.499999999999991E-3</v>
      </c>
      <c r="F9" s="44">
        <f>IF(E9="","",(E9-Controls!$D$4)/(Controls!$D$2-Controls!$D$4))</f>
        <v>-6.918819188191888E-3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 t="s">
        <v>84</v>
      </c>
    </row>
    <row r="10" spans="1:11" ht="15" customHeight="1" thickBot="1">
      <c r="A10" s="70" t="s">
        <v>92</v>
      </c>
      <c r="B10" s="70" t="s">
        <v>45</v>
      </c>
      <c r="C10" s="41">
        <f>IF(Deepwell!H6="","",Deepwell!H6)</f>
        <v>765</v>
      </c>
      <c r="D10" s="42">
        <f>IF(ELISA!B14="","",ELISA!B14)</f>
        <v>2502724</v>
      </c>
      <c r="E10" s="43">
        <f>IF('450 nm - 600 nm'!C14="","",(('450 nm - 600 nm'!C14+'450 nm - 600 nm'!F14)/2)-(('450 nm - 600 nm'!I14+'450 nm - 600 nm'!L14)/2))</f>
        <v>5.9999999999999776E-3</v>
      </c>
      <c r="F10" s="44">
        <f>IF(E10="","",(E10-Controls!$D$4)/(Controls!$D$2-Controls!$D$4))</f>
        <v>-6.4575645756457748E-3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 t="s">
        <v>84</v>
      </c>
    </row>
    <row r="11" spans="1:11" ht="15" customHeight="1" thickBot="1">
      <c r="A11" s="70" t="s">
        <v>93</v>
      </c>
      <c r="B11" s="70" t="s">
        <v>46</v>
      </c>
      <c r="C11" s="41">
        <f>IF(Deepwell!H7="","",Deepwell!H7)</f>
        <v>766</v>
      </c>
      <c r="D11" s="42">
        <f>IF(ELISA!B15="","",ELISA!B15)</f>
        <v>250272</v>
      </c>
      <c r="E11" s="43">
        <f>IF('450 nm - 600 nm'!C15="","",(('450 nm - 600 nm'!C15+'450 nm - 600 nm'!F15)/2)-(('450 nm - 600 nm'!I15+'450 nm - 600 nm'!L15)/2))</f>
        <v>0.11450000000000002</v>
      </c>
      <c r="F11" s="44">
        <f>IF(E11="","",(E11-Controls!$D$4)/(Controls!$D$2-Controls!$D$4))</f>
        <v>9.3634686346863477E-2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 t="s">
        <v>84</v>
      </c>
    </row>
    <row r="12" spans="1:11" ht="15" customHeight="1" thickBot="1">
      <c r="A12" s="70" t="s">
        <v>94</v>
      </c>
      <c r="B12" s="70" t="s">
        <v>47</v>
      </c>
      <c r="C12" s="41">
        <f>IF(Deepwell!H8="","",Deepwell!H8)</f>
        <v>767</v>
      </c>
      <c r="D12" s="42">
        <f>IF(ELISA!B16="","",ELISA!B16)</f>
        <v>2502725</v>
      </c>
      <c r="E12" s="43">
        <f>IF('450 nm - 600 nm'!C16="","",(('450 nm - 600 nm'!C16+'450 nm - 600 nm'!F16)/2)-(('450 nm - 600 nm'!I16+'450 nm - 600 nm'!L16)/2))</f>
        <v>2.0000000000000004E-2</v>
      </c>
      <c r="F12" s="44">
        <f>IF(E12="","",(E12-Controls!$D$4)/(Controls!$D$2-Controls!$D$4))</f>
        <v>6.4575645756457618E-3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71"/>
      <c r="K12" s="71" t="s">
        <v>84</v>
      </c>
    </row>
    <row r="13" spans="1:11" ht="15" customHeight="1" thickBot="1">
      <c r="A13" s="70" t="s">
        <v>95</v>
      </c>
      <c r="B13" s="70" t="s">
        <v>48</v>
      </c>
      <c r="C13" s="41">
        <f>IF(Deepwell!H9="","",Deepwell!H9)</f>
        <v>768</v>
      </c>
      <c r="D13" s="42">
        <f>IF(ELISA!B17="","",ELISA!B17)</f>
        <v>2502701</v>
      </c>
      <c r="E13" s="43">
        <f>IF('450 nm - 600 nm'!C17="","",(('450 nm - 600 nm'!C17+'450 nm - 600 nm'!F17)/2)-(('450 nm - 600 nm'!I17+'450 nm - 600 nm'!L17)/2))</f>
        <v>0.129</v>
      </c>
      <c r="F13" s="44">
        <f>IF(E13="","",(E13-Controls!$D$4)/(Controls!$D$2-Controls!$D$4))</f>
        <v>0.1070110701107011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 t="s">
        <v>84</v>
      </c>
    </row>
    <row r="14" spans="1:11" ht="15" customHeight="1" thickBot="1">
      <c r="A14" s="70" t="s">
        <v>96</v>
      </c>
      <c r="B14" s="70" t="s">
        <v>49</v>
      </c>
      <c r="C14" s="41">
        <f>IF(Deepwell!H10="","",Deepwell!H10)</f>
        <v>769</v>
      </c>
      <c r="D14" s="42">
        <f>IF(ELISA!B18="","",ELISA!B18)</f>
        <v>2502751</v>
      </c>
      <c r="E14" s="43">
        <f>IF('450 nm - 600 nm'!C18="","",(('450 nm - 600 nm'!C18+'450 nm - 600 nm'!F18)/2)-(('450 nm - 600 nm'!I18+'450 nm - 600 nm'!L18)/2))</f>
        <v>0.28350000000000003</v>
      </c>
      <c r="F14" s="44">
        <f>IF(E14="","",(E14-Controls!$D$4)/(Controls!$D$2-Controls!$D$4))</f>
        <v>0.24953874538745388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 t="s">
        <v>84</v>
      </c>
    </row>
    <row r="15" spans="1:11" ht="15" customHeight="1" thickBot="1">
      <c r="A15" s="70" t="s">
        <v>97</v>
      </c>
      <c r="B15" s="70" t="s">
        <v>50</v>
      </c>
      <c r="C15" s="41">
        <f>IF(Deepwell!H11="","",Deepwell!H11)</f>
        <v>770</v>
      </c>
      <c r="D15" s="42">
        <f>IF(ELISA!B19="","",ELISA!B19)</f>
        <v>2502718</v>
      </c>
      <c r="E15" s="43">
        <f>IF('450 nm - 600 nm'!C19="","",(('450 nm - 600 nm'!C19+'450 nm - 600 nm'!F19)/2)-(('450 nm - 600 nm'!I19+'450 nm - 600 nm'!L19)/2))</f>
        <v>4.3500000000000011E-2</v>
      </c>
      <c r="F15" s="44">
        <f>IF(E15="","",(E15-Controls!$D$4)/(Controls!$D$2-Controls!$D$4))</f>
        <v>2.8136531365313664E-2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 t="s">
        <v>84</v>
      </c>
    </row>
    <row r="16" spans="1:11" ht="15" customHeight="1" thickBot="1">
      <c r="A16" s="70" t="s">
        <v>98</v>
      </c>
      <c r="B16" s="70" t="s">
        <v>51</v>
      </c>
      <c r="C16" s="41">
        <f>IF(Deepwell!H12="","",Deepwell!H12)</f>
        <v>771</v>
      </c>
      <c r="D16" s="42">
        <f>IF(ELISA!B20="","",ELISA!B20)</f>
        <v>2503014</v>
      </c>
      <c r="E16" s="43">
        <f>IF('450 nm - 600 nm'!C20="","",(('450 nm - 600 nm'!C20+'450 nm - 600 nm'!F20)/2)-(('450 nm - 600 nm'!I20+'450 nm - 600 nm'!L20)/2))</f>
        <v>-9.9999999999999395E-4</v>
      </c>
      <c r="F16" s="44">
        <f>IF(E16="","",(E16-Controls!$D$4)/(Controls!$D$2-Controls!$D$4))</f>
        <v>-1.2915129151291505E-2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 t="s">
        <v>84</v>
      </c>
    </row>
    <row r="17" spans="1:11" ht="15" customHeight="1" thickBot="1">
      <c r="A17" s="70" t="s">
        <v>99</v>
      </c>
      <c r="B17" s="70" t="s">
        <v>52</v>
      </c>
      <c r="C17" s="41">
        <f>IF(Deepwell!H13="","",Deepwell!H13)</f>
        <v>772</v>
      </c>
      <c r="D17" s="42">
        <f>IF(ELISA!B21="","",ELISA!B21)</f>
        <v>2503036</v>
      </c>
      <c r="E17" s="43">
        <f>IF('450 nm - 600 nm'!C21="","",(('450 nm - 600 nm'!C21+'450 nm - 600 nm'!F21)/2)-(('450 nm - 600 nm'!I21+'450 nm - 600 nm'!L21)/2))</f>
        <v>2.1499999999999991E-2</v>
      </c>
      <c r="F17" s="44">
        <f>IF(E17="","",(E17-Controls!$D$4)/(Controls!$D$2-Controls!$D$4))</f>
        <v>7.8413284132841272E-3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 t="s">
        <v>84</v>
      </c>
    </row>
    <row r="18" spans="1:11" ht="15" customHeight="1" thickBot="1">
      <c r="A18" s="70" t="s">
        <v>100</v>
      </c>
      <c r="B18" s="70" t="s">
        <v>53</v>
      </c>
      <c r="C18" s="41">
        <f>IF(Deepwell!I6="","",Deepwell!I6)</f>
        <v>773</v>
      </c>
      <c r="D18" s="42">
        <f>IF(ELISA!B22="","",ELISA!B22)</f>
        <v>2503048</v>
      </c>
      <c r="E18" s="43">
        <f>IF('450 nm - 600 nm'!D14="","",(('450 nm - 600 nm'!D14+'450 nm - 600 nm'!G14)/2)-(('450 nm - 600 nm'!J14+'450 nm - 600 nm'!M14)/2))</f>
        <v>1.7500000000000002E-2</v>
      </c>
      <c r="F18" s="44">
        <f>IF(E18="","",(E18-Controls!$D$4)/(Controls!$D$2-Controls!$D$4))</f>
        <v>4.1512915129151328E-3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 t="s">
        <v>84</v>
      </c>
    </row>
    <row r="19" spans="1:11" ht="15" customHeight="1" thickBot="1">
      <c r="A19" s="70" t="s">
        <v>101</v>
      </c>
      <c r="B19" s="70" t="s">
        <v>54</v>
      </c>
      <c r="C19" s="41">
        <f>IF(Deepwell!I7="","",Deepwell!I7)</f>
        <v>774</v>
      </c>
      <c r="D19" s="42">
        <f>IF(ELISA!B23="","",ELISA!B23)</f>
        <v>2503050</v>
      </c>
      <c r="E19" s="43">
        <f>IF('450 nm - 600 nm'!D15="","",(('450 nm - 600 nm'!D15+'450 nm - 600 nm'!G15)/2)-(('450 nm - 600 nm'!J15+'450 nm - 600 nm'!M15)/2))</f>
        <v>2.6000000000000009E-2</v>
      </c>
      <c r="F19" s="44">
        <f>IF(E19="","",(E19-Controls!$D$4)/(Controls!$D$2-Controls!$D$4))</f>
        <v>1.1992619926199271E-2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 t="s">
        <v>84</v>
      </c>
    </row>
    <row r="20" spans="1:11" ht="15" customHeight="1" thickBot="1">
      <c r="A20" s="70" t="s">
        <v>102</v>
      </c>
      <c r="B20" s="70" t="s">
        <v>55</v>
      </c>
      <c r="C20" s="41">
        <f>IF(Deepwell!I8="","",Deepwell!I8)</f>
        <v>775</v>
      </c>
      <c r="D20" s="42">
        <f>IF(ELISA!B24="","",ELISA!B24)</f>
        <v>2503058</v>
      </c>
      <c r="E20" s="43">
        <f>IF('450 nm - 600 nm'!D16="","",(('450 nm - 600 nm'!D16+'450 nm - 600 nm'!G16)/2)-(('450 nm - 600 nm'!J16+'450 nm - 600 nm'!M16)/2))</f>
        <v>2.2999999999999993E-2</v>
      </c>
      <c r="F20" s="44">
        <f>IF(E20="","",(E20-Controls!$D$4)/(Controls!$D$2-Controls!$D$4))</f>
        <v>9.225092250922504E-3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 t="s">
        <v>84</v>
      </c>
    </row>
    <row r="21" spans="1:11" ht="15" customHeight="1" thickBot="1">
      <c r="A21" s="70" t="s">
        <v>103</v>
      </c>
      <c r="B21" s="70" t="s">
        <v>56</v>
      </c>
      <c r="C21" s="41">
        <f>IF(Deepwell!I9="","",Deepwell!I9)</f>
        <v>776</v>
      </c>
      <c r="D21" s="42">
        <f>IF(ELISA!B25="","",ELISA!B25)</f>
        <v>2503029</v>
      </c>
      <c r="E21" s="43">
        <f>IF('450 nm - 600 nm'!D17="","",(('450 nm - 600 nm'!D17+'450 nm - 600 nm'!G17)/2)-(('450 nm - 600 nm'!J17+'450 nm - 600 nm'!M17)/2))</f>
        <v>9.0499999999999997E-2</v>
      </c>
      <c r="F21" s="44">
        <f>IF(E21="","",(E21-Controls!$D$4)/(Controls!$D$2-Controls!$D$4))</f>
        <v>7.1494464944649436E-2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71"/>
      <c r="K21" s="71" t="s">
        <v>84</v>
      </c>
    </row>
    <row r="22" spans="1:11" ht="15" customHeight="1" thickBot="1">
      <c r="A22" s="70" t="s">
        <v>104</v>
      </c>
      <c r="B22" s="70" t="s">
        <v>57</v>
      </c>
      <c r="C22" s="41">
        <f>IF(Deepwell!I10="","",Deepwell!I10)</f>
        <v>777</v>
      </c>
      <c r="D22" s="42">
        <f>IF(ELISA!B26="","",ELISA!B26)</f>
        <v>2503008</v>
      </c>
      <c r="E22" s="43">
        <f>IF('450 nm - 600 nm'!D18="","",(('450 nm - 600 nm'!D18+'450 nm - 600 nm'!G18)/2)-(('450 nm - 600 nm'!J18+'450 nm - 600 nm'!M18)/2))</f>
        <v>0.19850000000000001</v>
      </c>
      <c r="F22" s="44">
        <f>IF(E22="","",(E22-Controls!$D$4)/(Controls!$D$2-Controls!$D$4))</f>
        <v>0.17112546125461253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 t="s">
        <v>84</v>
      </c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4.4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105</v>
      </c>
      <c r="D1" s="60" t="s">
        <v>77</v>
      </c>
      <c r="E1" s="59" t="s">
        <v>78</v>
      </c>
      <c r="F1" s="59" t="s">
        <v>106</v>
      </c>
      <c r="G1" s="61" t="s">
        <v>36</v>
      </c>
    </row>
    <row r="2" spans="1:7" ht="15" customHeight="1" thickBot="1">
      <c r="A2" s="41" t="s">
        <v>107</v>
      </c>
      <c r="B2" s="41" t="s">
        <v>108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1.097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109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9.499999999999998E-3</v>
      </c>
      <c r="E3" s="44">
        <f>IF(D3="","",(D3-$D$4)/($D$2-$D$4))</f>
        <v>-3.2287822878228779E-3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110</v>
      </c>
      <c r="B4" s="41" t="s">
        <v>111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1.2999999999999998E-2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4.4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112</v>
      </c>
      <c r="C2" s="53">
        <v>30</v>
      </c>
    </row>
    <row r="3" spans="2:4" ht="15" thickBot="1"/>
    <row r="4" spans="2:4" ht="15" thickBot="1">
      <c r="B4" s="80" t="s">
        <v>74</v>
      </c>
      <c r="C4" s="80" t="s">
        <v>105</v>
      </c>
      <c r="D4" s="58" t="s">
        <v>113</v>
      </c>
    </row>
    <row r="5" spans="2:4" ht="15" thickBot="1">
      <c r="B5" s="80"/>
      <c r="C5" s="80"/>
      <c r="D5" s="57" t="s">
        <v>114</v>
      </c>
    </row>
    <row r="6" spans="2:4" ht="15" thickBot="1">
      <c r="B6" s="54" t="s">
        <v>37</v>
      </c>
      <c r="C6" s="55">
        <f>IF(ELISA!B6="","",ELISA!B6)</f>
        <v>2502784</v>
      </c>
      <c r="D6" s="55" t="str">
        <f>IF('450 nm - 600 nm'!B14="","",IF(ABS(1-('450 nm - 600 nm'!B14/'450 nm - 600 nm'!E14))&lt;($C$2/100),"OK","NOK"))</f>
        <v>OK</v>
      </c>
    </row>
    <row r="7" spans="2:4" ht="15" thickBot="1">
      <c r="B7" s="41" t="s">
        <v>38</v>
      </c>
      <c r="C7" s="42">
        <f>IF(ELISA!B7="","",ELISA!B7)</f>
        <v>2502710</v>
      </c>
      <c r="D7" s="55" t="str">
        <f>IF('450 nm - 600 nm'!B15="","",IF(ABS(1-('450 nm - 600 nm'!B15/'450 nm - 600 nm'!E15))&lt;($C$2/100),"OK","NOK"))</f>
        <v>OK</v>
      </c>
    </row>
    <row r="8" spans="2:4" ht="15" thickBot="1">
      <c r="B8" s="41" t="s">
        <v>39</v>
      </c>
      <c r="C8" s="42">
        <f>IF(ELISA!B8="","",ELISA!B8)</f>
        <v>2502711</v>
      </c>
      <c r="D8" s="55" t="str">
        <f>IF('450 nm - 600 nm'!B16="","",IF(ABS(1-('450 nm - 600 nm'!B16/'450 nm - 600 nm'!E16))&lt;($C$2/100),"OK","NOK"))</f>
        <v>OK</v>
      </c>
    </row>
    <row r="9" spans="2:4" ht="15" thickBot="1">
      <c r="B9" s="41" t="s">
        <v>40</v>
      </c>
      <c r="C9" s="42">
        <f>IF(ELISA!B9="","",ELISA!B9)</f>
        <v>2502738</v>
      </c>
      <c r="D9" s="55" t="str">
        <f>IF('450 nm - 600 nm'!B17="","",IF(ABS(1-('450 nm - 600 nm'!B17/'450 nm - 600 nm'!E17))&lt;($C$2/100),"OK","NOK"))</f>
        <v>OK</v>
      </c>
    </row>
    <row r="10" spans="2:4" ht="15" thickBot="1">
      <c r="B10" s="41" t="s">
        <v>41</v>
      </c>
      <c r="C10" s="42">
        <f>IF(ELISA!B10="","",ELISA!B10)</f>
        <v>2502786</v>
      </c>
      <c r="D10" s="55" t="str">
        <f>IF('450 nm - 600 nm'!B18="","",IF(ABS(1-('450 nm - 600 nm'!B18/'450 nm - 600 nm'!E18))&lt;($C$2/100),"OK","NOK"))</f>
        <v>OK</v>
      </c>
    </row>
    <row r="11" spans="2:4" ht="15" thickBot="1">
      <c r="B11" s="41" t="s">
        <v>42</v>
      </c>
      <c r="C11" s="42">
        <f>IF(ELISA!B11="","",ELISA!B11)</f>
        <v>2502727</v>
      </c>
      <c r="D11" s="55" t="str">
        <f>IF('450 nm - 600 nm'!B19="","",IF(ABS(1-('450 nm - 600 nm'!B19/'450 nm - 600 nm'!E19))&lt;($C$2/100),"OK","NOK"))</f>
        <v>OK</v>
      </c>
    </row>
    <row r="12" spans="2:4" ht="15" thickBot="1">
      <c r="B12" s="41" t="s">
        <v>43</v>
      </c>
      <c r="C12" s="42">
        <f>IF(ELISA!B12="","",ELISA!B12)</f>
        <v>2502722</v>
      </c>
      <c r="D12" s="55" t="str">
        <f>IF('450 nm - 600 nm'!B20="","",IF(ABS(1-('450 nm - 600 nm'!B20/'450 nm - 600 nm'!E20))&lt;($C$2/100),"OK","NOK"))</f>
        <v>OK</v>
      </c>
    </row>
    <row r="13" spans="2:4" ht="15" thickBot="1">
      <c r="B13" s="41" t="s">
        <v>44</v>
      </c>
      <c r="C13" s="42">
        <f>IF(ELISA!B13="","",ELISA!B13)</f>
        <v>2502726</v>
      </c>
      <c r="D13" s="55" t="str">
        <f>IF('450 nm - 600 nm'!B21="","",IF(ABS(1-('450 nm - 600 nm'!B21/'450 nm - 600 nm'!E21))&lt;($C$2/100),"OK","NOK"))</f>
        <v>OK</v>
      </c>
    </row>
    <row r="14" spans="2:4" ht="15" thickBot="1">
      <c r="B14" s="41" t="s">
        <v>45</v>
      </c>
      <c r="C14" s="42">
        <f>IF(ELISA!B14="","",ELISA!B14)</f>
        <v>2502724</v>
      </c>
      <c r="D14" s="55" t="str">
        <f>IF('450 nm - 600 nm'!C14="","",IF(ABS(1-('450 nm - 600 nm'!C14/'450 nm - 600 nm'!F14))&lt;($C$2/100),"OK","NOK"))</f>
        <v>OK</v>
      </c>
    </row>
    <row r="15" spans="2:4" ht="15" thickBot="1">
      <c r="B15" s="41" t="s">
        <v>46</v>
      </c>
      <c r="C15" s="42">
        <f>IF(ELISA!B15="","",ELISA!B15)</f>
        <v>250272</v>
      </c>
      <c r="D15" s="55" t="str">
        <f>IF('450 nm - 600 nm'!C15="","",IF(ABS(1-('450 nm - 600 nm'!C15/'450 nm - 600 nm'!F15))&lt;($C$2/100),"OK","NOK"))</f>
        <v>OK</v>
      </c>
    </row>
    <row r="16" spans="2:4" ht="15" thickBot="1">
      <c r="B16" s="41" t="s">
        <v>47</v>
      </c>
      <c r="C16" s="42">
        <f>IF(ELISA!B16="","",ELISA!B16)</f>
        <v>2502725</v>
      </c>
      <c r="D16" s="55" t="str">
        <f>IF('450 nm - 600 nm'!C16="","",IF(ABS(1-('450 nm - 600 nm'!C16/'450 nm - 600 nm'!F16))&lt;($C$2/100),"OK","NOK"))</f>
        <v>OK</v>
      </c>
    </row>
    <row r="17" spans="2:4" ht="15" thickBot="1">
      <c r="B17" s="41" t="s">
        <v>48</v>
      </c>
      <c r="C17" s="42">
        <f>IF(ELISA!B17="","",ELISA!B17)</f>
        <v>2502701</v>
      </c>
      <c r="D17" s="55" t="str">
        <f>IF('450 nm - 600 nm'!C17="","",IF(ABS(1-('450 nm - 600 nm'!C17/'450 nm - 600 nm'!F17))&lt;($C$2/100),"OK","NOK"))</f>
        <v>OK</v>
      </c>
    </row>
    <row r="18" spans="2:4" ht="15" thickBot="1">
      <c r="B18" s="41" t="s">
        <v>49</v>
      </c>
      <c r="C18" s="42">
        <f>IF(ELISA!B18="","",ELISA!B18)</f>
        <v>2502751</v>
      </c>
      <c r="D18" s="55" t="str">
        <f>IF('450 nm - 600 nm'!C18="","",IF(ABS(1-('450 nm - 600 nm'!C18/'450 nm - 600 nm'!F18))&lt;($C$2/100),"OK","NOK"))</f>
        <v>OK</v>
      </c>
    </row>
    <row r="19" spans="2:4" ht="15" thickBot="1">
      <c r="B19" s="41" t="s">
        <v>50</v>
      </c>
      <c r="C19" s="42">
        <f>IF(ELISA!B19="","",ELISA!B19)</f>
        <v>2502718</v>
      </c>
      <c r="D19" s="55" t="str">
        <f>IF('450 nm - 600 nm'!C19="","",IF(ABS(1-('450 nm - 600 nm'!C19/'450 nm - 600 nm'!F19))&lt;($C$2/100),"OK","NOK"))</f>
        <v>OK</v>
      </c>
    </row>
    <row r="20" spans="2:4" ht="15" thickBot="1">
      <c r="B20" s="41" t="s">
        <v>51</v>
      </c>
      <c r="C20" s="42">
        <f>IF(ELISA!B20="","",ELISA!B20)</f>
        <v>2503014</v>
      </c>
      <c r="D20" s="55" t="str">
        <f>IF('450 nm - 600 nm'!C20="","",IF(ABS(1-('450 nm - 600 nm'!C20/'450 nm - 600 nm'!F20))&lt;($C$2/100),"OK","NOK"))</f>
        <v>OK</v>
      </c>
    </row>
    <row r="21" spans="2:4" ht="15" thickBot="1">
      <c r="B21" s="41" t="s">
        <v>52</v>
      </c>
      <c r="C21" s="42">
        <f>IF(ELISA!B21="","",ELISA!B21)</f>
        <v>2503036</v>
      </c>
      <c r="D21" s="55" t="str">
        <f>IF('450 nm - 600 nm'!C21="","",IF(ABS(1-('450 nm - 600 nm'!C21/'450 nm - 600 nm'!F21))&lt;($C$2/100),"OK","NOK"))</f>
        <v>OK</v>
      </c>
    </row>
    <row r="22" spans="2:4" ht="15" thickBot="1">
      <c r="B22" s="41" t="s">
        <v>53</v>
      </c>
      <c r="C22" s="42">
        <f>IF(ELISA!B22="","",ELISA!B22)</f>
        <v>2503048</v>
      </c>
      <c r="D22" s="55" t="str">
        <f>IF('450 nm - 600 nm'!D14="","",IF(ABS(1-('450 nm - 600 nm'!D14/'450 nm - 600 nm'!G14))&lt;($C$2/100),"OK","NOK"))</f>
        <v>OK</v>
      </c>
    </row>
    <row r="23" spans="2:4" ht="15" thickBot="1">
      <c r="B23" s="41" t="s">
        <v>54</v>
      </c>
      <c r="C23" s="42">
        <f>IF(ELISA!B23="","",ELISA!B23)</f>
        <v>2503050</v>
      </c>
      <c r="D23" s="55" t="str">
        <f>IF('450 nm - 600 nm'!D15="","",IF(ABS(1-('450 nm - 600 nm'!D15/'450 nm - 600 nm'!G15))&lt;($C$2/100),"OK","NOK"))</f>
        <v>OK</v>
      </c>
    </row>
    <row r="24" spans="2:4" ht="15" thickBot="1">
      <c r="B24" s="41" t="s">
        <v>55</v>
      </c>
      <c r="C24" s="42">
        <f>IF(ELISA!B24="","",ELISA!B24)</f>
        <v>2503058</v>
      </c>
      <c r="D24" s="55" t="str">
        <f>IF('450 nm - 600 nm'!D16="","",IF(ABS(1-('450 nm - 600 nm'!D16/'450 nm - 600 nm'!G16))&lt;($C$2/100),"OK","NOK"))</f>
        <v>OK</v>
      </c>
    </row>
    <row r="25" spans="2:4" ht="15" thickBot="1">
      <c r="B25" s="41" t="s">
        <v>56</v>
      </c>
      <c r="C25" s="42">
        <f>IF(ELISA!B25="","",ELISA!B25)</f>
        <v>2503029</v>
      </c>
      <c r="D25" s="55" t="str">
        <f>IF('450 nm - 600 nm'!D17="","",IF(ABS(1-('450 nm - 600 nm'!D17/'450 nm - 600 nm'!G17))&lt;($C$2/100),"OK","NOK"))</f>
        <v>OK</v>
      </c>
    </row>
    <row r="26" spans="2:4" ht="15" thickBot="1">
      <c r="B26" s="41" t="s">
        <v>57</v>
      </c>
      <c r="C26" s="42">
        <f>IF(ELISA!B26="","",ELISA!B26)</f>
        <v>2503008</v>
      </c>
      <c r="D26" s="55" t="str">
        <f>IF('450 nm - 600 nm'!D18="","",IF(ABS(1-('450 nm - 600 nm'!D18/'450 nm - 600 nm'!G18))&lt;($C$2/100),"OK","NOK"))</f>
        <v>OK</v>
      </c>
    </row>
    <row r="27" spans="2:4" ht="1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2026-01-30T13:07:45+00:00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99AD0D-836C-48A5-AF63-866D34806AD7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9464FFFC-AF77-4E8D-9623-96E4D8A8E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2026-02-23T11:30:10Z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