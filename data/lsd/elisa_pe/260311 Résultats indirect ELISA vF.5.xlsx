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17F1906D-4429-4605-8EE0-E367F2E3F7B7}" xr6:coauthVersionLast="47" xr6:coauthVersionMax="47" xr10:uidLastSave="{00000000-0000-0000-0000-000000000000}"/>
  <bookViews>
    <workbookView xWindow="-120" yWindow="-120" windowWidth="29040" windowHeight="1572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<sst xmlns="http://schemas.openxmlformats.org/spreadsheetml/2006/main" count="612" uniqueCount="266">
  <si>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</si>
  <si>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</si>
  <si>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</si>
  <si>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DP/DA</t>
  </si>
  <si>
    <t>Date</t>
  </si>
  <si>
    <t>Operator</t>
  </si>
  <si>
    <t>HENRIETTE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</si>
  <si>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</si>
  <si>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</si>
  <si>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</si>
  <si>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</si>
  <si>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</si>
  <si>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</si>
  <si>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</si>
  <si>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</si>
  <si>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</si>
  <si>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</si>
  <si>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</si>
  <si>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</si>
  <si>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</si>
  <si>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</si>
  <si>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</si>
  <si>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</si>
  <si>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</si>
  <si>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</si>
  <si>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</si>
  <si>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</si>
  <si>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</si>
  <si>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</si>
  <si>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</si>
  <si>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</si>
  <si>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</si>
  <si>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</si>
  <si>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</si>
  <si>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</si>
  <si>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</si>
  <si>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</si>
  <si>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</si>
  <si>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</si>
  <si>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</si>
  <si>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</si>
  <si>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</si>
  <si>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</si>
  <si>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</si>
  <si>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</si>
  <si>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</si>
  <si>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</si>
  <si>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</si>
  <si>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</si>
  <si>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</si>
  <si>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</si>
  <si>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</si>
  <si>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</si>
  <si>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</si>
  <si>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</si>
  <si>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</si>
  <si>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</si>
  <si>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</si>
  <si>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</si>
  <si>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</si>
  <si>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</si>
  <si>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</si>
  <si>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</si>
  <si>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</si>
  <si>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</si>
  <si>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</si>
  <si>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</si>
  <si>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</si>
  <si>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</si>
  <si>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</si>
  <si>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</si>
  <si>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</si>
  <si>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</si>
  <si>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</si>
  <si>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</si>
  <si>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</si>
  <si>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</si>
  <si>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</si>
  <si>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</si>
  <si>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</si>
  <si>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</si>
  <si>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</si>
  <si>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</si>
  <si>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</si>
  <si>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</si>
  <si>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</si>
  <si>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</si>
  <si>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</si>
  <si>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</si>
  <si>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</si>
  <si>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</si>
  <si>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</si>
  <si>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</si>
  <si>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</si>
  <si>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</si>
  <si>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</si>
  <si>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</si>
  <si>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</si>
  <si>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</si>
  <si>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</si>
  <si>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</si>
  <si>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</si>
  <si>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</si>
  <si>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</si>
  <si>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</si>
  <si>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</si>
  <si>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</si>
  <si>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</si>
  <si>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</si>
  <si>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</si>
  <si>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</si>
  <si>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</si>
  <si>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</si>
  <si>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</si>
  <si>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</si>
  <si>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</si>
  <si>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</si>
  <si>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</si>
  <si>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</si>
  <si>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</si>
  <si>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</si>
  <si>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</si>
  <si>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</si>
  <si>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</si>
  <si>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</si>
  <si>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</si>
  <si>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</si>
  <si>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</si>
  <si>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</si>
  <si>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</si>
  <si>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</si>
  <si>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</si>
  <si>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</si>
  <si>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</si>
  <si>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</si>
  <si>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</si>
  <si>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</si>
  <si>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</si>
  <si>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</si>
  <si>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</si>
  <si>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</si>
  <si>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</si>
  <si>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</si>
  <si>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</si>
  <si>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</si>
  <si>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</si>
  <si>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</si>
  <si>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</si>
  <si>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</si>
  <si>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</si>
  <si>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</si>
  <si>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</si>
  <si>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</si>
  <si>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</si>
  <si>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</si>
  <si>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</si>
  <si>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</si>
  <si>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 xml:space="preserve">Numéro labo 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</si>
  <si>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</si>
  <si>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</si>
  <si>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</si>
  <si>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</si>
  <si>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</si>
  <si>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</si>
  <si>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</t>
  </si>
  <si>
    <t>V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</si>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</sst>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17" sqref="C17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46092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46071</v>
      </c>
    </row>
    <row r="12" spans="1:6">
      <c r="B12" s="40" t="s">
        <v>9</v>
      </c>
      <c r="C12" s="23">
        <v>46091</v>
      </c>
    </row>
    <row r="14" spans="1:6" ht="18.75">
      <c r="A14" s="2" t="s">
        <v>10</v>
      </c>
    </row>
    <row r="16" spans="1:6">
      <c r="B16" s="40" t="s">
        <v>11</v>
      </c>
      <c r="C16" s="24"/>
    </row>
    <row r="17" spans="1:3">
      <c r="B17" s="40" t="s">
        <v>12</v>
      </c>
      <c r="C17" s="24">
        <v>251122</v>
      </c>
    </row>
    <row r="18" spans="1:3">
      <c r="B18" s="40" t="s">
        <v>13</v>
      </c>
      <c r="C18" s="24">
        <v>230426</v>
      </c>
    </row>
    <row r="19" spans="1:3">
      <c r="B19" s="40" t="s">
        <v>14</v>
      </c>
      <c r="C19" s="24">
        <v>51124</v>
      </c>
    </row>
    <row r="21" spans="1:3" ht="18.75">
      <c r="A21" s="2" t="s">
        <v>15</v>
      </c>
    </row>
    <row r="23" spans="1:3">
      <c r="B23" s="40" t="s">
        <v>16</v>
      </c>
      <c r="C23" s="24" t="s">
        <v>17</v>
      </c>
    </row>
    <row r="24" spans="1:3">
      <c r="B24" s="40" t="s">
        <v>18</v>
      </c>
      <c r="C24" s="24" t="s">
        <v>19</v>
      </c>
    </row>
    <row r="25" spans="1:3">
      <c r="B25" s="40" t="s">
        <v>20</v>
      </c>
      <c r="C25" s="23"/>
    </row>
    <row r="26" spans="1:3">
      <c r="B26" s="40" t="s">
        <v>21</v>
      </c>
      <c r="C26" s="23"/>
    </row>
    <row r="28" spans="1:3" ht="18.75">
      <c r="A28" s="2" t="s">
        <v>22</v>
      </c>
      <c r="C28" s="24"/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10" sqref="M10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23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24</v>
      </c>
      <c r="B6" s="48">
        <v>2502333</v>
      </c>
      <c r="C6" s="48">
        <v>2500729</v>
      </c>
      <c r="D6" s="48">
        <v>2502373</v>
      </c>
      <c r="E6" s="48">
        <v>2502740</v>
      </c>
      <c r="F6" s="48">
        <v>2500131</v>
      </c>
      <c r="G6" s="48">
        <v>2500684</v>
      </c>
      <c r="H6" s="48">
        <v>2500898</v>
      </c>
      <c r="I6" s="48">
        <v>2501178</v>
      </c>
      <c r="J6" s="48">
        <v>2501117</v>
      </c>
      <c r="K6" s="48">
        <v>2502327</v>
      </c>
      <c r="L6" s="48">
        <v>2501999</v>
      </c>
      <c r="M6" s="48">
        <v>2502076</v>
      </c>
    </row>
    <row r="7" spans="1:13">
      <c r="A7" s="7" t="s">
        <v>25</v>
      </c>
      <c r="B7" s="48">
        <v>2502307</v>
      </c>
      <c r="C7" s="48">
        <v>2500727</v>
      </c>
      <c r="D7" s="48">
        <v>2503088</v>
      </c>
      <c r="E7" s="48">
        <v>2502743</v>
      </c>
      <c r="F7" s="48">
        <v>2502305</v>
      </c>
      <c r="G7" s="48">
        <v>2501900</v>
      </c>
      <c r="H7" s="48">
        <v>2502219</v>
      </c>
      <c r="I7" s="48">
        <v>2501199</v>
      </c>
      <c r="J7" s="48">
        <v>2501906</v>
      </c>
      <c r="K7" s="48">
        <v>2501932</v>
      </c>
      <c r="L7" s="48">
        <v>2400844</v>
      </c>
      <c r="M7" s="48">
        <v>2502094</v>
      </c>
    </row>
    <row r="8" spans="1:13">
      <c r="A8" s="7" t="s">
        <v>26</v>
      </c>
      <c r="B8" s="48">
        <v>2502334</v>
      </c>
      <c r="C8" s="48">
        <v>2500728</v>
      </c>
      <c r="D8" s="49">
        <v>2503083</v>
      </c>
      <c r="E8" s="48">
        <v>250274</v>
      </c>
      <c r="F8" s="48">
        <v>2502081</v>
      </c>
      <c r="G8" s="49">
        <v>2500874</v>
      </c>
      <c r="H8" s="48">
        <v>2502236</v>
      </c>
      <c r="I8" s="48">
        <v>2502883</v>
      </c>
      <c r="J8" s="49">
        <v>2402781</v>
      </c>
      <c r="K8" s="48">
        <v>2500686</v>
      </c>
      <c r="L8" s="48">
        <v>2502768</v>
      </c>
      <c r="M8" s="48">
        <v>2502065</v>
      </c>
    </row>
    <row r="9" spans="1:13">
      <c r="A9" s="7" t="s">
        <v>27</v>
      </c>
      <c r="B9" s="48">
        <v>2502335</v>
      </c>
      <c r="C9" s="48">
        <v>2500720</v>
      </c>
      <c r="D9" s="48">
        <v>250271</v>
      </c>
      <c r="E9" s="48">
        <v>2500725</v>
      </c>
      <c r="F9" s="48">
        <v>2502328</v>
      </c>
      <c r="G9" s="48">
        <v>2500872</v>
      </c>
      <c r="H9" s="48">
        <v>2502233</v>
      </c>
      <c r="I9" s="48">
        <v>2502843</v>
      </c>
      <c r="J9" s="48">
        <v>2402568</v>
      </c>
      <c r="K9" s="48">
        <v>2500608</v>
      </c>
      <c r="L9" s="48">
        <v>2502323</v>
      </c>
      <c r="M9" s="48">
        <v>2502068</v>
      </c>
    </row>
    <row r="10" spans="1:13">
      <c r="A10" s="7" t="s">
        <v>28</v>
      </c>
      <c r="B10" s="48">
        <v>2502352</v>
      </c>
      <c r="C10" s="48">
        <v>2501117</v>
      </c>
      <c r="D10" s="48">
        <v>2502744</v>
      </c>
      <c r="E10" s="48">
        <v>2500730</v>
      </c>
      <c r="F10" s="48">
        <v>2502313</v>
      </c>
      <c r="G10" s="48">
        <v>2501018</v>
      </c>
      <c r="H10" s="48">
        <v>2502235</v>
      </c>
      <c r="I10" s="48">
        <v>2501141</v>
      </c>
      <c r="J10" s="48">
        <v>2502317</v>
      </c>
      <c r="K10" s="48">
        <v>2501973</v>
      </c>
      <c r="L10" s="48">
        <v>2502067</v>
      </c>
      <c r="M10" s="48">
        <v>2502095</v>
      </c>
    </row>
    <row r="11" spans="1:13">
      <c r="A11" s="7" t="s">
        <v>29</v>
      </c>
      <c r="B11" s="48">
        <v>2502337</v>
      </c>
      <c r="C11" s="48">
        <v>2501098</v>
      </c>
      <c r="D11" s="50" t="s">
        <v>30</v>
      </c>
      <c r="E11" s="48">
        <v>2500136</v>
      </c>
      <c r="F11" s="48">
        <v>2501067</v>
      </c>
      <c r="G11" s="50" t="s">
        <v>30</v>
      </c>
      <c r="H11" s="48">
        <v>2502244</v>
      </c>
      <c r="I11" s="48">
        <v>2502851</v>
      </c>
      <c r="J11" s="50" t="s">
        <v>30</v>
      </c>
      <c r="K11" s="48">
        <v>2501534</v>
      </c>
      <c r="L11" s="48">
        <v>2502069</v>
      </c>
      <c r="M11" s="50" t="s">
        <v>30</v>
      </c>
    </row>
    <row r="12" spans="1:13">
      <c r="A12" s="7" t="s">
        <v>31</v>
      </c>
      <c r="B12" s="48">
        <v>2500731</v>
      </c>
      <c r="C12" s="48">
        <v>2501111</v>
      </c>
      <c r="D12" s="51" t="s">
        <v>32</v>
      </c>
      <c r="E12" s="48">
        <v>2500127</v>
      </c>
      <c r="F12" s="48">
        <v>2501068</v>
      </c>
      <c r="G12" s="51" t="s">
        <v>32</v>
      </c>
      <c r="H12" s="48">
        <v>2502214</v>
      </c>
      <c r="I12" s="48">
        <v>2502850</v>
      </c>
      <c r="J12" s="51" t="s">
        <v>32</v>
      </c>
      <c r="K12" s="48">
        <v>2500700</v>
      </c>
      <c r="L12" s="48">
        <v>2502074</v>
      </c>
      <c r="M12" s="51" t="s">
        <v>32</v>
      </c>
    </row>
    <row r="13" spans="1:13">
      <c r="A13" s="7" t="s">
        <v>33</v>
      </c>
      <c r="B13" s="48">
        <v>2502288</v>
      </c>
      <c r="C13" s="48">
        <v>2502366</v>
      </c>
      <c r="D13" s="52" t="s">
        <v>34</v>
      </c>
      <c r="E13" s="48">
        <v>2500133</v>
      </c>
      <c r="F13" s="48">
        <v>2500893</v>
      </c>
      <c r="G13" s="52" t="s">
        <v>34</v>
      </c>
      <c r="H13" s="48">
        <v>2501191</v>
      </c>
      <c r="I13" s="48">
        <v>2500852</v>
      </c>
      <c r="J13" s="52" t="s">
        <v>34</v>
      </c>
      <c r="K13" s="48">
        <v>2500698</v>
      </c>
      <c r="L13" s="48">
        <v>2501097</v>
      </c>
      <c r="M13" s="52" t="s">
        <v>34</v>
      </c>
    </row>
    <row r="14" spans="1:13" ht="18.600000000000001" customHeight="1"/>
    <row r="15" spans="1:13" ht="18.75">
      <c r="A15" s="14" t="s">
        <v>35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24</v>
      </c>
      <c r="B18" s="48">
        <v>967</v>
      </c>
      <c r="C18" s="48">
        <v>975</v>
      </c>
      <c r="D18" s="48">
        <v>983</v>
      </c>
      <c r="E18" s="48">
        <v>988</v>
      </c>
      <c r="F18" s="48">
        <v>996</v>
      </c>
      <c r="G18" s="48">
        <v>1004</v>
      </c>
      <c r="H18" s="48">
        <v>1009</v>
      </c>
      <c r="I18" s="48">
        <v>1017</v>
      </c>
      <c r="J18" s="48">
        <v>1025</v>
      </c>
      <c r="K18" s="48">
        <v>1030</v>
      </c>
      <c r="L18" s="48">
        <v>1038</v>
      </c>
      <c r="M18" s="48">
        <v>1046</v>
      </c>
    </row>
    <row r="19" spans="1:13">
      <c r="A19" s="7" t="s">
        <v>25</v>
      </c>
      <c r="B19" s="48">
        <v>968</v>
      </c>
      <c r="C19" s="48">
        <v>976</v>
      </c>
      <c r="D19" s="48">
        <v>984</v>
      </c>
      <c r="E19" s="48">
        <v>989</v>
      </c>
      <c r="F19" s="48">
        <v>997</v>
      </c>
      <c r="G19" s="48">
        <v>1005</v>
      </c>
      <c r="H19" s="48">
        <v>1010</v>
      </c>
      <c r="I19" s="48">
        <v>1018</v>
      </c>
      <c r="J19" s="48">
        <v>1026</v>
      </c>
      <c r="K19" s="48">
        <v>1031</v>
      </c>
      <c r="L19" s="48">
        <v>1039</v>
      </c>
      <c r="M19" s="48">
        <v>1047</v>
      </c>
    </row>
    <row r="20" spans="1:13">
      <c r="A20" s="7" t="s">
        <v>26</v>
      </c>
      <c r="B20" s="48">
        <v>969</v>
      </c>
      <c r="C20" s="48">
        <v>977</v>
      </c>
      <c r="D20" s="49">
        <v>985</v>
      </c>
      <c r="E20" s="48">
        <v>990</v>
      </c>
      <c r="F20" s="48">
        <v>998</v>
      </c>
      <c r="G20" s="49">
        <v>1006</v>
      </c>
      <c r="H20" s="48">
        <v>1011</v>
      </c>
      <c r="I20" s="48">
        <v>1019</v>
      </c>
      <c r="J20" s="49">
        <v>1027</v>
      </c>
      <c r="K20" s="48">
        <v>1032</v>
      </c>
      <c r="L20" s="48">
        <v>1040</v>
      </c>
      <c r="M20" s="48">
        <v>1048</v>
      </c>
    </row>
    <row r="21" spans="1:13">
      <c r="A21" s="7" t="s">
        <v>27</v>
      </c>
      <c r="B21" s="48">
        <v>970</v>
      </c>
      <c r="C21" s="48">
        <v>978</v>
      </c>
      <c r="D21" s="48">
        <v>986</v>
      </c>
      <c r="E21" s="48">
        <v>991</v>
      </c>
      <c r="F21" s="48">
        <v>999</v>
      </c>
      <c r="G21" s="48">
        <v>1007</v>
      </c>
      <c r="H21" s="48">
        <v>1012</v>
      </c>
      <c r="I21" s="48">
        <v>1020</v>
      </c>
      <c r="J21" s="48">
        <v>1028</v>
      </c>
      <c r="K21" s="48">
        <v>1033</v>
      </c>
      <c r="L21" s="48">
        <v>1041</v>
      </c>
      <c r="M21" s="48">
        <v>1049</v>
      </c>
    </row>
    <row r="22" spans="1:13">
      <c r="A22" s="7" t="s">
        <v>28</v>
      </c>
      <c r="B22" s="48">
        <v>971</v>
      </c>
      <c r="C22" s="48">
        <v>979</v>
      </c>
      <c r="D22" s="48">
        <v>987</v>
      </c>
      <c r="E22" s="48">
        <v>992</v>
      </c>
      <c r="F22" s="48">
        <v>1000</v>
      </c>
      <c r="G22" s="48">
        <v>1008</v>
      </c>
      <c r="H22" s="48">
        <v>1013</v>
      </c>
      <c r="I22" s="48">
        <v>1021</v>
      </c>
      <c r="J22" s="48">
        <v>1029</v>
      </c>
      <c r="K22" s="48">
        <v>1034</v>
      </c>
      <c r="L22" s="48">
        <v>1042</v>
      </c>
      <c r="M22" s="48">
        <v>1050</v>
      </c>
    </row>
    <row r="23" spans="1:13">
      <c r="A23" s="7" t="s">
        <v>29</v>
      </c>
      <c r="B23" s="48">
        <v>972</v>
      </c>
      <c r="C23" s="48">
        <v>980</v>
      </c>
      <c r="D23" s="50" t="s">
        <v>30</v>
      </c>
      <c r="E23" s="48">
        <v>993</v>
      </c>
      <c r="F23" s="48">
        <v>1001</v>
      </c>
      <c r="G23" s="50" t="s">
        <v>30</v>
      </c>
      <c r="H23" s="48">
        <v>1014</v>
      </c>
      <c r="I23" s="48">
        <v>1022</v>
      </c>
      <c r="J23" s="50" t="s">
        <v>30</v>
      </c>
      <c r="K23" s="48">
        <v>1035</v>
      </c>
      <c r="L23" s="48">
        <v>1043</v>
      </c>
      <c r="M23" s="50" t="s">
        <v>30</v>
      </c>
    </row>
    <row r="24" spans="1:13">
      <c r="A24" s="7" t="s">
        <v>31</v>
      </c>
      <c r="B24" s="48">
        <v>973</v>
      </c>
      <c r="C24" s="48">
        <v>981</v>
      </c>
      <c r="D24" s="51" t="s">
        <v>32</v>
      </c>
      <c r="E24" s="48">
        <v>994</v>
      </c>
      <c r="F24" s="48">
        <v>1002</v>
      </c>
      <c r="G24" s="51" t="s">
        <v>32</v>
      </c>
      <c r="H24" s="48">
        <v>1015</v>
      </c>
      <c r="I24" s="48">
        <v>1023</v>
      </c>
      <c r="J24" s="51" t="s">
        <v>32</v>
      </c>
      <c r="K24" s="48">
        <v>1036</v>
      </c>
      <c r="L24" s="48">
        <v>1044</v>
      </c>
      <c r="M24" s="51" t="s">
        <v>32</v>
      </c>
    </row>
    <row r="25" spans="1:13">
      <c r="A25" s="7" t="s">
        <v>33</v>
      </c>
      <c r="B25" s="48">
        <v>974</v>
      </c>
      <c r="C25" s="48">
        <v>982</v>
      </c>
      <c r="D25" s="52" t="s">
        <v>34</v>
      </c>
      <c r="E25" s="48">
        <v>995</v>
      </c>
      <c r="F25" s="48">
        <v>1003</v>
      </c>
      <c r="G25" s="52" t="s">
        <v>34</v>
      </c>
      <c r="H25" s="48">
        <v>1016</v>
      </c>
      <c r="I25" s="48">
        <v>1024</v>
      </c>
      <c r="J25" s="52" t="s">
        <v>34</v>
      </c>
      <c r="K25" s="48">
        <v>1037</v>
      </c>
      <c r="L25" s="48">
        <v>1045</v>
      </c>
      <c r="M25" s="52" t="s">
        <v>34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36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37</v>
      </c>
      <c r="B5" s="74"/>
      <c r="C5" s="15"/>
      <c r="E5" s="74" t="s">
        <v>38</v>
      </c>
      <c r="F5" s="74"/>
      <c r="G5" s="15"/>
      <c r="I5" s="74" t="s">
        <v>39</v>
      </c>
      <c r="J5" s="74"/>
      <c r="K5" s="15"/>
      <c r="M5" s="74" t="s">
        <v>40</v>
      </c>
      <c r="N5" s="74"/>
      <c r="O5" s="15"/>
    </row>
    <row r="6" spans="1:15" ht="17.25" thickTop="1" thickBot="1">
      <c r="A6" s="15"/>
      <c r="B6" s="19" t="s">
        <v>41</v>
      </c>
      <c r="C6" s="20" t="s">
        <v>42</v>
      </c>
      <c r="E6" s="15"/>
      <c r="F6" s="19" t="s">
        <v>41</v>
      </c>
      <c r="G6" s="20" t="s">
        <v>42</v>
      </c>
      <c r="I6" s="15"/>
      <c r="J6" s="19" t="s">
        <v>41</v>
      </c>
      <c r="K6" s="20" t="s">
        <v>42</v>
      </c>
      <c r="M6" s="15"/>
      <c r="N6" s="19" t="s">
        <v>41</v>
      </c>
      <c r="O6" s="20" t="s">
        <v>42</v>
      </c>
    </row>
    <row r="7" spans="1:15" ht="20.100000000000001" customHeight="1" thickTop="1">
      <c r="A7" s="21" t="s">
        <v>43</v>
      </c>
      <c r="B7" s="53">
        <f>IF(Deepwell!B6="","",Deepwell!B6)</f>
        <v>2502333</v>
      </c>
      <c r="C7" s="18"/>
      <c r="E7" s="21" t="s">
        <v>44</v>
      </c>
      <c r="F7" s="53">
        <f>IF(Deepwell!E6="","",Deepwell!E6)</f>
        <v>2502740</v>
      </c>
      <c r="G7" s="18"/>
      <c r="I7" s="21" t="s">
        <v>45</v>
      </c>
      <c r="J7" s="53">
        <f>IF(Deepwell!H6="","",Deepwell!H6)</f>
        <v>2500898</v>
      </c>
      <c r="K7" s="18"/>
      <c r="M7" s="21" t="s">
        <v>46</v>
      </c>
      <c r="N7" s="53">
        <f>IF(Deepwell!K6="","",Deepwell!K6)</f>
        <v>2502327</v>
      </c>
      <c r="O7" s="18"/>
    </row>
    <row r="8" spans="1:15" ht="20.100000000000001" customHeight="1">
      <c r="A8" s="22" t="s">
        <v>47</v>
      </c>
      <c r="B8" s="54">
        <f>IF(Deepwell!B7="","",Deepwell!B7)</f>
        <v>2502307</v>
      </c>
      <c r="C8" s="18"/>
      <c r="E8" s="22" t="s">
        <v>48</v>
      </c>
      <c r="F8" s="54">
        <f>IF(Deepwell!E7="","",Deepwell!E7)</f>
        <v>2502743</v>
      </c>
      <c r="G8" s="18"/>
      <c r="I8" s="22" t="s">
        <v>49</v>
      </c>
      <c r="J8" s="54">
        <f>IF(Deepwell!H7="","",Deepwell!H7)</f>
        <v>2502219</v>
      </c>
      <c r="K8" s="18"/>
      <c r="M8" s="22" t="s">
        <v>50</v>
      </c>
      <c r="N8" s="54">
        <f>IF(Deepwell!K7="","",Deepwell!K7)</f>
        <v>2501932</v>
      </c>
      <c r="O8" s="18"/>
    </row>
    <row r="9" spans="1:15" ht="20.100000000000001" customHeight="1">
      <c r="A9" s="22" t="s">
        <v>51</v>
      </c>
      <c r="B9" s="54">
        <f>IF(Deepwell!B8="","",Deepwell!B8)</f>
        <v>2502334</v>
      </c>
      <c r="C9" s="18"/>
      <c r="E9" s="22" t="s">
        <v>52</v>
      </c>
      <c r="F9" s="54">
        <f>IF(Deepwell!E8="","",Deepwell!E8)</f>
        <v>250274</v>
      </c>
      <c r="G9" s="18"/>
      <c r="I9" s="22" t="s">
        <v>53</v>
      </c>
      <c r="J9" s="54">
        <f>IF(Deepwell!H8="","",Deepwell!H8)</f>
        <v>2502236</v>
      </c>
      <c r="K9" s="18"/>
      <c r="M9" s="22" t="s">
        <v>54</v>
      </c>
      <c r="N9" s="54">
        <f>IF(Deepwell!K8="","",Deepwell!K8)</f>
        <v>2500686</v>
      </c>
      <c r="O9" s="18"/>
    </row>
    <row r="10" spans="1:15" ht="20.100000000000001" customHeight="1">
      <c r="A10" s="22" t="s">
        <v>55</v>
      </c>
      <c r="B10" s="54">
        <f>IF(Deepwell!B9="","",Deepwell!B9)</f>
        <v>2502335</v>
      </c>
      <c r="C10" s="18"/>
      <c r="E10" s="22" t="s">
        <v>56</v>
      </c>
      <c r="F10" s="54">
        <f>IF(Deepwell!E9="","",Deepwell!E9)</f>
        <v>2500725</v>
      </c>
      <c r="G10" s="18"/>
      <c r="I10" s="22" t="s">
        <v>57</v>
      </c>
      <c r="J10" s="54">
        <f>IF(Deepwell!H9="","",Deepwell!H9)</f>
        <v>2502233</v>
      </c>
      <c r="K10" s="18"/>
      <c r="M10" s="22" t="s">
        <v>58</v>
      </c>
      <c r="N10" s="54">
        <f>IF(Deepwell!K9="","",Deepwell!K9)</f>
        <v>2500608</v>
      </c>
      <c r="O10" s="18"/>
    </row>
    <row r="11" spans="1:15" ht="20.100000000000001" customHeight="1">
      <c r="A11" s="22" t="s">
        <v>59</v>
      </c>
      <c r="B11" s="54">
        <f>IF(Deepwell!B10="","",Deepwell!B10)</f>
        <v>2502352</v>
      </c>
      <c r="C11" s="18"/>
      <c r="E11" s="22" t="s">
        <v>60</v>
      </c>
      <c r="F11" s="54">
        <f>IF(Deepwell!E10="","",Deepwell!E10)</f>
        <v>2500730</v>
      </c>
      <c r="G11" s="18"/>
      <c r="I11" s="22" t="s">
        <v>61</v>
      </c>
      <c r="J11" s="54">
        <f>IF(Deepwell!H10="","",Deepwell!H10)</f>
        <v>2502235</v>
      </c>
      <c r="K11" s="18"/>
      <c r="M11" s="22" t="s">
        <v>62</v>
      </c>
      <c r="N11" s="54">
        <f>IF(Deepwell!K10="","",Deepwell!K10)</f>
        <v>2501973</v>
      </c>
      <c r="O11" s="18"/>
    </row>
    <row r="12" spans="1:15" ht="20.100000000000001" customHeight="1">
      <c r="A12" s="22" t="s">
        <v>63</v>
      </c>
      <c r="B12" s="54">
        <f>IF(Deepwell!B11="","",Deepwell!B11)</f>
        <v>2502337</v>
      </c>
      <c r="C12" s="18"/>
      <c r="E12" s="22" t="s">
        <v>64</v>
      </c>
      <c r="F12" s="54">
        <f>IF(Deepwell!E11="","",Deepwell!E11)</f>
        <v>2500136</v>
      </c>
      <c r="G12" s="18"/>
      <c r="I12" s="22" t="s">
        <v>65</v>
      </c>
      <c r="J12" s="54">
        <f>IF(Deepwell!H11="","",Deepwell!H11)</f>
        <v>2502244</v>
      </c>
      <c r="K12" s="18"/>
      <c r="M12" s="22" t="s">
        <v>66</v>
      </c>
      <c r="N12" s="54">
        <f>IF(Deepwell!K11="","",Deepwell!K11)</f>
        <v>2501534</v>
      </c>
      <c r="O12" s="18"/>
    </row>
    <row r="13" spans="1:15" ht="20.100000000000001" customHeight="1">
      <c r="A13" s="22" t="s">
        <v>67</v>
      </c>
      <c r="B13" s="54">
        <f>IF(Deepwell!B12="","",Deepwell!B12)</f>
        <v>2500731</v>
      </c>
      <c r="C13" s="18"/>
      <c r="E13" s="22" t="s">
        <v>68</v>
      </c>
      <c r="F13" s="54">
        <f>IF(Deepwell!E12="","",Deepwell!E12)</f>
        <v>2500127</v>
      </c>
      <c r="G13" s="18"/>
      <c r="I13" s="22" t="s">
        <v>69</v>
      </c>
      <c r="J13" s="54">
        <f>IF(Deepwell!H12="","",Deepwell!H12)</f>
        <v>2502214</v>
      </c>
      <c r="K13" s="18"/>
      <c r="M13" s="22" t="s">
        <v>70</v>
      </c>
      <c r="N13" s="54">
        <f>IF(Deepwell!K12="","",Deepwell!K12)</f>
        <v>2500700</v>
      </c>
      <c r="O13" s="18"/>
    </row>
    <row r="14" spans="1:15" ht="20.100000000000001" customHeight="1">
      <c r="A14" s="22" t="s">
        <v>71</v>
      </c>
      <c r="B14" s="54">
        <f>IF(Deepwell!B13="","",Deepwell!B13)</f>
        <v>2502288</v>
      </c>
      <c r="C14" s="18"/>
      <c r="E14" s="22" t="s">
        <v>72</v>
      </c>
      <c r="F14" s="54">
        <f>IF(Deepwell!E13="","",Deepwell!E13)</f>
        <v>2500133</v>
      </c>
      <c r="G14" s="18"/>
      <c r="I14" s="22" t="s">
        <v>73</v>
      </c>
      <c r="J14" s="54">
        <f>IF(Deepwell!H13="","",Deepwell!H13)</f>
        <v>2501191</v>
      </c>
      <c r="K14" s="18"/>
      <c r="M14" s="22" t="s">
        <v>74</v>
      </c>
      <c r="N14" s="54">
        <f>IF(Deepwell!K13="","",Deepwell!K13)</f>
        <v>2500698</v>
      </c>
      <c r="O14" s="18"/>
    </row>
    <row r="15" spans="1:15" ht="20.100000000000001" customHeight="1">
      <c r="A15" s="22" t="s">
        <v>75</v>
      </c>
      <c r="B15" s="54">
        <f>IF(Deepwell!C6="","",Deepwell!C6)</f>
        <v>2500729</v>
      </c>
      <c r="C15" s="18"/>
      <c r="E15" s="22" t="s">
        <v>76</v>
      </c>
      <c r="F15" s="54">
        <f>IF(Deepwell!F6="","",Deepwell!F6)</f>
        <v>2500131</v>
      </c>
      <c r="G15" s="18"/>
      <c r="I15" s="22" t="s">
        <v>77</v>
      </c>
      <c r="J15" s="54">
        <f>IF(Deepwell!I6="","",Deepwell!I6)</f>
        <v>2501178</v>
      </c>
      <c r="K15" s="18"/>
      <c r="M15" s="22" t="s">
        <v>78</v>
      </c>
      <c r="N15" s="54">
        <f>IF(Deepwell!L6="","",Deepwell!L6)</f>
        <v>2501999</v>
      </c>
      <c r="O15" s="18"/>
    </row>
    <row r="16" spans="1:15" ht="20.100000000000001" customHeight="1">
      <c r="A16" s="22" t="s">
        <v>79</v>
      </c>
      <c r="B16" s="54">
        <f>IF(Deepwell!C7="","",Deepwell!C7)</f>
        <v>2500727</v>
      </c>
      <c r="C16" s="18"/>
      <c r="E16" s="22" t="s">
        <v>80</v>
      </c>
      <c r="F16" s="54">
        <f>IF(Deepwell!F7="","",Deepwell!F7)</f>
        <v>2502305</v>
      </c>
      <c r="G16" s="18"/>
      <c r="I16" s="22" t="s">
        <v>81</v>
      </c>
      <c r="J16" s="54">
        <f>IF(Deepwell!I7="","",Deepwell!I7)</f>
        <v>2501199</v>
      </c>
      <c r="K16" s="18"/>
      <c r="M16" s="22" t="s">
        <v>82</v>
      </c>
      <c r="N16" s="54">
        <f>IF(Deepwell!L7="","",Deepwell!L7)</f>
        <v>2400844</v>
      </c>
      <c r="O16" s="18"/>
    </row>
    <row r="17" spans="1:15" ht="20.100000000000001" customHeight="1">
      <c r="A17" s="22" t="s">
        <v>83</v>
      </c>
      <c r="B17" s="54">
        <f>IF(Deepwell!C8="","",Deepwell!C8)</f>
        <v>2500728</v>
      </c>
      <c r="C17" s="18"/>
      <c r="E17" s="22" t="s">
        <v>84</v>
      </c>
      <c r="F17" s="54">
        <f>IF(Deepwell!F8="","",Deepwell!F8)</f>
        <v>2502081</v>
      </c>
      <c r="G17" s="18"/>
      <c r="I17" s="22" t="s">
        <v>85</v>
      </c>
      <c r="J17" s="54">
        <f>IF(Deepwell!I8="","",Deepwell!I8)</f>
        <v>2502883</v>
      </c>
      <c r="K17" s="18"/>
      <c r="M17" s="22" t="s">
        <v>86</v>
      </c>
      <c r="N17" s="54">
        <f>IF(Deepwell!L8="","",Deepwell!L8)</f>
        <v>2502768</v>
      </c>
      <c r="O17" s="18"/>
    </row>
    <row r="18" spans="1:15" ht="20.100000000000001" customHeight="1">
      <c r="A18" s="22" t="s">
        <v>87</v>
      </c>
      <c r="B18" s="54">
        <f>IF(Deepwell!C9="","",Deepwell!C9)</f>
        <v>2500720</v>
      </c>
      <c r="C18" s="18"/>
      <c r="E18" s="22" t="s">
        <v>88</v>
      </c>
      <c r="F18" s="54">
        <f>IF(Deepwell!F9="","",Deepwell!F9)</f>
        <v>2502328</v>
      </c>
      <c r="G18" s="18"/>
      <c r="I18" s="22" t="s">
        <v>89</v>
      </c>
      <c r="J18" s="54">
        <f>IF(Deepwell!I9="","",Deepwell!I9)</f>
        <v>2502843</v>
      </c>
      <c r="K18" s="18"/>
      <c r="M18" s="22" t="s">
        <v>90</v>
      </c>
      <c r="N18" s="54">
        <f>IF(Deepwell!L9="","",Deepwell!L9)</f>
        <v>2502323</v>
      </c>
      <c r="O18" s="18"/>
    </row>
    <row r="19" spans="1:15" ht="20.100000000000001" customHeight="1">
      <c r="A19" s="22" t="s">
        <v>91</v>
      </c>
      <c r="B19" s="54">
        <f>IF(Deepwell!C10="","",Deepwell!C10)</f>
        <v>2501117</v>
      </c>
      <c r="C19" s="18"/>
      <c r="E19" s="22" t="s">
        <v>92</v>
      </c>
      <c r="F19" s="54">
        <f>IF(Deepwell!F10="","",Deepwell!F10)</f>
        <v>2502313</v>
      </c>
      <c r="G19" s="18"/>
      <c r="I19" s="22" t="s">
        <v>93</v>
      </c>
      <c r="J19" s="54">
        <f>IF(Deepwell!I10="","",Deepwell!I10)</f>
        <v>2501141</v>
      </c>
      <c r="K19" s="18"/>
      <c r="M19" s="22" t="s">
        <v>94</v>
      </c>
      <c r="N19" s="54">
        <f>IF(Deepwell!L10="","",Deepwell!L10)</f>
        <v>2502067</v>
      </c>
      <c r="O19" s="18"/>
    </row>
    <row r="20" spans="1:15" ht="20.100000000000001" customHeight="1">
      <c r="A20" s="22" t="s">
        <v>95</v>
      </c>
      <c r="B20" s="54">
        <f>IF(Deepwell!C11="","",Deepwell!C11)</f>
        <v>2501098</v>
      </c>
      <c r="C20" s="18"/>
      <c r="E20" s="22" t="s">
        <v>96</v>
      </c>
      <c r="F20" s="54">
        <f>IF(Deepwell!F11="","",Deepwell!F11)</f>
        <v>2501067</v>
      </c>
      <c r="G20" s="18"/>
      <c r="I20" s="22" t="s">
        <v>97</v>
      </c>
      <c r="J20" s="54">
        <f>IF(Deepwell!I11="","",Deepwell!I11)</f>
        <v>2502851</v>
      </c>
      <c r="K20" s="18"/>
      <c r="M20" s="22" t="s">
        <v>98</v>
      </c>
      <c r="N20" s="54">
        <f>IF(Deepwell!L11="","",Deepwell!L11)</f>
        <v>2502069</v>
      </c>
      <c r="O20" s="18"/>
    </row>
    <row r="21" spans="1:15" ht="20.100000000000001" customHeight="1">
      <c r="A21" s="22" t="s">
        <v>99</v>
      </c>
      <c r="B21" s="54">
        <f>IF(Deepwell!C12="","",Deepwell!C12)</f>
        <v>2501111</v>
      </c>
      <c r="C21" s="18"/>
      <c r="E21" s="22" t="s">
        <v>100</v>
      </c>
      <c r="F21" s="54">
        <f>IF(Deepwell!F12="","",Deepwell!F12)</f>
        <v>2501068</v>
      </c>
      <c r="G21" s="18"/>
      <c r="I21" s="22" t="s">
        <v>101</v>
      </c>
      <c r="J21" s="54">
        <f>IF(Deepwell!I12="","",Deepwell!I12)</f>
        <v>2502850</v>
      </c>
      <c r="K21" s="18"/>
      <c r="M21" s="22" t="s">
        <v>102</v>
      </c>
      <c r="N21" s="54">
        <f>IF(Deepwell!L12="","",Deepwell!L12)</f>
        <v>2502074</v>
      </c>
      <c r="O21" s="18"/>
    </row>
    <row r="22" spans="1:15" ht="20.100000000000001" customHeight="1">
      <c r="A22" s="22" t="s">
        <v>103</v>
      </c>
      <c r="B22" s="54">
        <f>IF(Deepwell!C13="","",Deepwell!C13)</f>
        <v>2502366</v>
      </c>
      <c r="C22" s="18"/>
      <c r="E22" s="22" t="s">
        <v>104</v>
      </c>
      <c r="F22" s="54">
        <f>IF(Deepwell!F13="","",Deepwell!F13)</f>
        <v>2500893</v>
      </c>
      <c r="G22" s="18"/>
      <c r="I22" s="22" t="s">
        <v>105</v>
      </c>
      <c r="J22" s="54">
        <f>IF(Deepwell!I13="","",Deepwell!I13)</f>
        <v>2500852</v>
      </c>
      <c r="K22" s="18"/>
      <c r="M22" s="22" t="s">
        <v>106</v>
      </c>
      <c r="N22" s="54">
        <f>IF(Deepwell!L13="","",Deepwell!L13)</f>
        <v>2501097</v>
      </c>
      <c r="O22" s="18"/>
    </row>
    <row r="23" spans="1:15" ht="20.100000000000001" customHeight="1">
      <c r="A23" s="22" t="s">
        <v>107</v>
      </c>
      <c r="B23" s="54">
        <f>IF(Deepwell!D6="","",Deepwell!D6)</f>
        <v>2502373</v>
      </c>
      <c r="C23" s="18"/>
      <c r="E23" s="22" t="s">
        <v>108</v>
      </c>
      <c r="F23" s="54">
        <f>IF(Deepwell!G6="","",Deepwell!G6)</f>
        <v>2500684</v>
      </c>
      <c r="G23" s="18"/>
      <c r="I23" s="22" t="s">
        <v>109</v>
      </c>
      <c r="J23" s="54">
        <f>IF(Deepwell!J6="","",Deepwell!J6)</f>
        <v>2501117</v>
      </c>
      <c r="K23" s="18"/>
      <c r="M23" s="22" t="s">
        <v>110</v>
      </c>
      <c r="N23" s="54">
        <f>IF(Deepwell!M6="","",Deepwell!M6)</f>
        <v>2502076</v>
      </c>
      <c r="O23" s="18"/>
    </row>
    <row r="24" spans="1:15" ht="20.100000000000001" customHeight="1">
      <c r="A24" s="22" t="s">
        <v>111</v>
      </c>
      <c r="B24" s="54">
        <f>IF(Deepwell!D7="","",Deepwell!D7)</f>
        <v>2503088</v>
      </c>
      <c r="C24" s="18"/>
      <c r="E24" s="22" t="s">
        <v>112</v>
      </c>
      <c r="F24" s="54">
        <f>IF(Deepwell!G7="","",Deepwell!G7)</f>
        <v>2501900</v>
      </c>
      <c r="G24" s="18"/>
      <c r="I24" s="22" t="s">
        <v>113</v>
      </c>
      <c r="J24" s="54">
        <f>IF(Deepwell!J7="","",Deepwell!J7)</f>
        <v>2501906</v>
      </c>
      <c r="K24" s="18"/>
      <c r="M24" s="22" t="s">
        <v>114</v>
      </c>
      <c r="N24" s="54">
        <f>IF(Deepwell!M7="","",Deepwell!M7)</f>
        <v>2502094</v>
      </c>
      <c r="O24" s="18"/>
    </row>
    <row r="25" spans="1:15" ht="20.100000000000001" customHeight="1">
      <c r="A25" s="22" t="s">
        <v>115</v>
      </c>
      <c r="B25" s="54">
        <f>IF(Deepwell!D8="","",Deepwell!D8)</f>
        <v>2503083</v>
      </c>
      <c r="C25" s="18"/>
      <c r="E25" s="22" t="s">
        <v>116</v>
      </c>
      <c r="F25" s="54">
        <f>IF(Deepwell!G8="","",Deepwell!G8)</f>
        <v>2500874</v>
      </c>
      <c r="G25" s="18"/>
      <c r="I25" s="22" t="s">
        <v>117</v>
      </c>
      <c r="J25" s="54">
        <f>IF(Deepwell!J8="","",Deepwell!J8)</f>
        <v>2402781</v>
      </c>
      <c r="K25" s="18"/>
      <c r="M25" s="22" t="s">
        <v>118</v>
      </c>
      <c r="N25" s="54">
        <f>IF(Deepwell!M8="","",Deepwell!M8)</f>
        <v>2502065</v>
      </c>
      <c r="O25" s="18"/>
    </row>
    <row r="26" spans="1:15" ht="20.100000000000001" customHeight="1">
      <c r="A26" s="22" t="s">
        <v>119</v>
      </c>
      <c r="B26" s="54">
        <f>IF(Deepwell!D9="","",Deepwell!D9)</f>
        <v>250271</v>
      </c>
      <c r="C26" s="18"/>
      <c r="E26" s="22" t="s">
        <v>120</v>
      </c>
      <c r="F26" s="54">
        <f>IF(Deepwell!G9="","",Deepwell!G9)</f>
        <v>2500872</v>
      </c>
      <c r="G26" s="18"/>
      <c r="I26" s="22" t="s">
        <v>121</v>
      </c>
      <c r="J26" s="54">
        <f>IF(Deepwell!J9="","",Deepwell!J9)</f>
        <v>2402568</v>
      </c>
      <c r="K26" s="18"/>
      <c r="M26" s="22" t="s">
        <v>122</v>
      </c>
      <c r="N26" s="54">
        <f>IF(Deepwell!M9="","",Deepwell!M9)</f>
        <v>2502068</v>
      </c>
      <c r="O26" s="18"/>
    </row>
    <row r="27" spans="1:15" ht="20.100000000000001" customHeight="1">
      <c r="A27" s="22" t="s">
        <v>123</v>
      </c>
      <c r="B27" s="54">
        <f>IF(Deepwell!D10="","",Deepwell!D10)</f>
        <v>2502744</v>
      </c>
      <c r="C27" s="18"/>
      <c r="E27" s="22" t="s">
        <v>124</v>
      </c>
      <c r="F27" s="54">
        <f>IF(Deepwell!G10="","",Deepwell!G10)</f>
        <v>2501018</v>
      </c>
      <c r="G27" s="18"/>
      <c r="I27" s="22" t="s">
        <v>125</v>
      </c>
      <c r="J27" s="54">
        <f>IF(Deepwell!J10="","",Deepwell!J10)</f>
        <v>2502317</v>
      </c>
      <c r="K27" s="18"/>
      <c r="M27" s="22" t="s">
        <v>126</v>
      </c>
      <c r="N27" s="54">
        <f>IF(Deepwell!M10="","",Deepwell!M10)</f>
        <v>2502095</v>
      </c>
      <c r="O27" s="18"/>
    </row>
    <row r="28" spans="1:15" ht="20.100000000000001" customHeight="1">
      <c r="A28" s="22" t="s">
        <v>127</v>
      </c>
      <c r="B28" s="54" t="str">
        <f>IF(Deepwell!D11="","",Deepwell!D11)</f>
        <v>CC</v>
      </c>
      <c r="C28" s="16"/>
      <c r="E28" s="22" t="s">
        <v>128</v>
      </c>
      <c r="F28" s="54" t="str">
        <f>IF(Deepwell!G11="","",Deepwell!G11)</f>
        <v>CC</v>
      </c>
      <c r="G28" s="16"/>
      <c r="I28" s="22" t="s">
        <v>129</v>
      </c>
      <c r="J28" s="54" t="str">
        <f>IF(Deepwell!J11="","",Deepwell!J11)</f>
        <v>CC</v>
      </c>
      <c r="K28" s="16"/>
      <c r="M28" s="22" t="s">
        <v>130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131</v>
      </c>
      <c r="B29" s="54" t="str">
        <f>IF(Deepwell!D12="","",Deepwell!D12)</f>
        <v>CP</v>
      </c>
      <c r="C29" s="16"/>
      <c r="E29" s="38" t="s">
        <v>132</v>
      </c>
      <c r="F29" s="54" t="str">
        <f>IF(Deepwell!G12="","",Deepwell!G12)</f>
        <v>CP</v>
      </c>
      <c r="G29" s="16"/>
      <c r="I29" s="38" t="s">
        <v>133</v>
      </c>
      <c r="J29" s="54" t="str">
        <f>IF(Deepwell!J12="","",Deepwell!J12)</f>
        <v>CP</v>
      </c>
      <c r="K29" s="16"/>
      <c r="M29" s="38" t="s">
        <v>134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135</v>
      </c>
      <c r="B30" s="55" t="str">
        <f>IF(Deepwell!D13="","",Deepwell!D13)</f>
        <v>CN</v>
      </c>
      <c r="C30" s="17"/>
      <c r="E30" s="39" t="s">
        <v>136</v>
      </c>
      <c r="F30" s="55" t="str">
        <f>IF(Deepwell!G13="","",Deepwell!G13)</f>
        <v>CN</v>
      </c>
      <c r="G30" s="17"/>
      <c r="I30" s="39" t="s">
        <v>137</v>
      </c>
      <c r="J30" s="55" t="str">
        <f>IF(Deepwell!J13="","",Deepwell!J13)</f>
        <v>CN</v>
      </c>
      <c r="K30" s="17"/>
      <c r="M30" s="39" t="s">
        <v>138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139</v>
      </c>
    </row>
    <row r="33" spans="1:1">
      <c r="A33" t="s">
        <v>140</v>
      </c>
    </row>
    <row r="34" spans="1:1">
      <c r="A34" t="s">
        <v>141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8" zoomScaleNormal="100" workbookViewId="0">
      <selection activeCell="F53" sqref="F53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142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143</v>
      </c>
      <c r="B5" s="76"/>
      <c r="C5" s="65">
        <f>IF(Batch!C6="","",Batch!C6)</f>
        <v>46092</v>
      </c>
      <c r="E5" s="25" t="s">
        <v>144</v>
      </c>
      <c r="F5" s="78" t="str">
        <f>IF(Batch!C5="","",Batch!C5)</f>
        <v>DP/DA</v>
      </c>
      <c r="G5" s="79"/>
      <c r="H5" s="80"/>
    </row>
    <row r="6" spans="1:17" ht="20.100000000000001" customHeight="1">
      <c r="A6" s="75" t="s">
        <v>145</v>
      </c>
      <c r="B6" s="76"/>
      <c r="C6" s="66" t="str">
        <f>IF(Batch!C7="","",Batch!C7)</f>
        <v>HENRIETTE</v>
      </c>
    </row>
    <row r="7" spans="1:17" ht="20.100000000000001" customHeight="1">
      <c r="A7" s="75" t="s">
        <v>146</v>
      </c>
      <c r="B7" s="76"/>
      <c r="C7" s="67">
        <f>IF(Batch!C18="","",Batch!C18)</f>
        <v>230426</v>
      </c>
    </row>
    <row r="8" spans="1:17" ht="20.100000000000001" customHeight="1">
      <c r="A8" s="75" t="s">
        <v>147</v>
      </c>
      <c r="B8" s="76"/>
      <c r="C8" s="67" t="str">
        <f>IF(Batch!C28="","",Batch!C28)</f>
        <v/>
      </c>
    </row>
    <row r="9" spans="1:17" ht="17.100000000000001" customHeight="1">
      <c r="A9" s="77" t="s">
        <v>148</v>
      </c>
      <c r="B9" s="77"/>
      <c r="C9" s="68" t="s">
        <v>149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150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24</v>
      </c>
      <c r="B14" s="27">
        <v>0.13100000000000001</v>
      </c>
      <c r="C14" s="28">
        <v>9.6000000000000002E-2</v>
      </c>
      <c r="D14" s="28">
        <v>9.1999999999999998E-2</v>
      </c>
      <c r="E14" s="28">
        <v>0.11700000000000001</v>
      </c>
      <c r="F14" s="28">
        <v>8.2000000000000003E-2</v>
      </c>
      <c r="G14" s="28">
        <v>9.0999999999999998E-2</v>
      </c>
      <c r="H14" s="28">
        <v>0.14499999999999999</v>
      </c>
      <c r="I14" s="28">
        <v>8.1000000000000003E-2</v>
      </c>
      <c r="J14" s="28">
        <v>9.2999999999999999E-2</v>
      </c>
      <c r="K14" s="28">
        <v>0.11700000000000001</v>
      </c>
      <c r="L14" s="28">
        <v>6.8000000000000005E-2</v>
      </c>
      <c r="M14" s="29">
        <v>9.7000000000000003E-2</v>
      </c>
      <c r="N14"/>
      <c r="O14" s="13"/>
      <c r="P14" s="13"/>
      <c r="Q14" s="13"/>
    </row>
    <row r="15" spans="1:17" s="8" customFormat="1">
      <c r="A15" s="12" t="s">
        <v>25</v>
      </c>
      <c r="B15" s="30">
        <v>9.0999999999999998E-2</v>
      </c>
      <c r="C15" s="31">
        <v>7.8E-2</v>
      </c>
      <c r="D15" s="31">
        <v>8.5999999999999993E-2</v>
      </c>
      <c r="E15" s="31">
        <v>8.8999999999999996E-2</v>
      </c>
      <c r="F15" s="31">
        <v>8.4000000000000005E-2</v>
      </c>
      <c r="G15" s="31">
        <v>6.9000000000000006E-2</v>
      </c>
      <c r="H15" s="31">
        <v>8.8999999999999996E-2</v>
      </c>
      <c r="I15" s="31">
        <v>6.0999999999999999E-2</v>
      </c>
      <c r="J15" s="31">
        <v>7.1999999999999995E-2</v>
      </c>
      <c r="K15" s="31">
        <v>8.3000000000000004E-2</v>
      </c>
      <c r="L15" s="31">
        <v>7.5999999999999998E-2</v>
      </c>
      <c r="M15" s="32">
        <v>6.7000000000000004E-2</v>
      </c>
      <c r="N15"/>
      <c r="O15" s="13"/>
      <c r="P15" s="13"/>
      <c r="Q15" s="13"/>
    </row>
    <row r="16" spans="1:17" s="8" customFormat="1">
      <c r="A16" s="12" t="s">
        <v>26</v>
      </c>
      <c r="B16" s="30">
        <v>0.15</v>
      </c>
      <c r="C16" s="31">
        <v>7.8E-2</v>
      </c>
      <c r="D16" s="31">
        <v>9.8000000000000004E-2</v>
      </c>
      <c r="E16" s="31">
        <v>0.153</v>
      </c>
      <c r="F16" s="31">
        <v>8.4000000000000005E-2</v>
      </c>
      <c r="G16" s="31">
        <v>9.2999999999999999E-2</v>
      </c>
      <c r="H16" s="31">
        <v>0.13</v>
      </c>
      <c r="I16" s="31">
        <v>6.4000000000000001E-2</v>
      </c>
      <c r="J16" s="31">
        <v>6.2E-2</v>
      </c>
      <c r="K16" s="31">
        <v>0.11700000000000001</v>
      </c>
      <c r="L16" s="31">
        <v>6.3E-2</v>
      </c>
      <c r="M16" s="32">
        <v>6.2E-2</v>
      </c>
      <c r="N16"/>
      <c r="O16" s="13"/>
      <c r="P16" s="13"/>
      <c r="Q16" s="13"/>
    </row>
    <row r="17" spans="1:39" s="8" customFormat="1">
      <c r="A17" s="12" t="s">
        <v>27</v>
      </c>
      <c r="B17" s="30">
        <v>0.109</v>
      </c>
      <c r="C17" s="31">
        <v>0.16</v>
      </c>
      <c r="D17" s="31">
        <v>9.9000000000000005E-2</v>
      </c>
      <c r="E17" s="31">
        <v>0.104</v>
      </c>
      <c r="F17" s="31">
        <v>0.13300000000000001</v>
      </c>
      <c r="G17" s="31">
        <v>9.1999999999999998E-2</v>
      </c>
      <c r="H17" s="31">
        <v>7.4999999999999997E-2</v>
      </c>
      <c r="I17" s="31">
        <v>7.0000000000000007E-2</v>
      </c>
      <c r="J17" s="31">
        <v>7.3999999999999996E-2</v>
      </c>
      <c r="K17" s="31">
        <v>0.10100000000000001</v>
      </c>
      <c r="L17" s="31">
        <v>8.7999999999999995E-2</v>
      </c>
      <c r="M17" s="32">
        <v>7.5999999999999998E-2</v>
      </c>
      <c r="N17"/>
      <c r="O17" s="13"/>
      <c r="P17" s="13"/>
      <c r="Q17" s="13"/>
    </row>
    <row r="18" spans="1:39" s="8" customFormat="1">
      <c r="A18" s="12" t="s">
        <v>28</v>
      </c>
      <c r="B18" s="30">
        <v>0.11</v>
      </c>
      <c r="C18" s="31">
        <v>7.8E-2</v>
      </c>
      <c r="D18" s="31">
        <v>0.16400000000000001</v>
      </c>
      <c r="E18" s="31">
        <v>9.6000000000000002E-2</v>
      </c>
      <c r="F18" s="31">
        <v>7.9000000000000001E-2</v>
      </c>
      <c r="G18" s="31">
        <v>0.17100000000000001</v>
      </c>
      <c r="H18" s="31">
        <v>7.8E-2</v>
      </c>
      <c r="I18" s="31">
        <v>0.11</v>
      </c>
      <c r="J18" s="31">
        <v>7.0000000000000007E-2</v>
      </c>
      <c r="K18" s="31">
        <v>5.3999999999999999E-2</v>
      </c>
      <c r="L18" s="31">
        <v>9.8000000000000004E-2</v>
      </c>
      <c r="M18" s="32">
        <v>6.5000000000000002E-2</v>
      </c>
      <c r="N18"/>
      <c r="O18" s="13"/>
      <c r="P18" s="13"/>
      <c r="Q18" s="13"/>
    </row>
    <row r="19" spans="1:39" s="8" customFormat="1">
      <c r="A19" s="12" t="s">
        <v>29</v>
      </c>
      <c r="B19" s="30">
        <v>0.11</v>
      </c>
      <c r="C19" s="31">
        <v>0.14499999999999999</v>
      </c>
      <c r="D19" s="31">
        <v>3.3000000000000002E-2</v>
      </c>
      <c r="E19" s="31">
        <v>9.6000000000000002E-2</v>
      </c>
      <c r="F19" s="31">
        <v>0.123</v>
      </c>
      <c r="G19" s="31">
        <v>3.5000000000000003E-2</v>
      </c>
      <c r="H19" s="31">
        <v>8.4000000000000005E-2</v>
      </c>
      <c r="I19" s="31">
        <v>7.4999999999999997E-2</v>
      </c>
      <c r="J19" s="31">
        <v>3.5000000000000003E-2</v>
      </c>
      <c r="K19" s="31">
        <v>8.5000000000000006E-2</v>
      </c>
      <c r="L19" s="31">
        <v>6.9000000000000006E-2</v>
      </c>
      <c r="M19" s="32">
        <v>1.7999999999999999E-2</v>
      </c>
      <c r="N19"/>
      <c r="O19" s="13"/>
      <c r="P19" s="13"/>
      <c r="Q19" s="13"/>
    </row>
    <row r="20" spans="1:39" s="8" customFormat="1">
      <c r="A20" s="12" t="s">
        <v>31</v>
      </c>
      <c r="B20" s="30">
        <v>8.4000000000000005E-2</v>
      </c>
      <c r="C20" s="31">
        <v>9.4E-2</v>
      </c>
      <c r="D20" s="31">
        <v>0.51500000000000001</v>
      </c>
      <c r="E20" s="31">
        <v>0.09</v>
      </c>
      <c r="F20" s="31">
        <v>7.1999999999999995E-2</v>
      </c>
      <c r="G20" s="31">
        <v>0.70399999999999996</v>
      </c>
      <c r="H20" s="31">
        <v>8.5000000000000006E-2</v>
      </c>
      <c r="I20" s="31">
        <v>4.9000000000000002E-2</v>
      </c>
      <c r="J20" s="31">
        <v>3.5000000000000003E-2</v>
      </c>
      <c r="K20" s="31">
        <v>8.7999999999999995E-2</v>
      </c>
      <c r="L20" s="31">
        <v>0.05</v>
      </c>
      <c r="M20" s="32">
        <v>2.5999999999999999E-2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33</v>
      </c>
      <c r="B21" s="33">
        <v>9.6000000000000002E-2</v>
      </c>
      <c r="C21" s="34">
        <v>0.125</v>
      </c>
      <c r="D21" s="34">
        <v>5.0999999999999997E-2</v>
      </c>
      <c r="E21" s="34">
        <v>7.3999999999999996E-2</v>
      </c>
      <c r="F21" s="34">
        <v>9.2999999999999999E-2</v>
      </c>
      <c r="G21" s="34">
        <v>4.3999999999999997E-2</v>
      </c>
      <c r="H21" s="34">
        <v>6.7000000000000004E-2</v>
      </c>
      <c r="I21" s="34">
        <v>8.6999999999999994E-2</v>
      </c>
      <c r="J21" s="34">
        <v>4.5999999999999999E-2</v>
      </c>
      <c r="K21" s="34">
        <v>5.7000000000000002E-2</v>
      </c>
      <c r="L21" s="34">
        <v>7.9000000000000001E-2</v>
      </c>
      <c r="M21" s="35">
        <v>3.5999999999999997E-2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151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24</v>
      </c>
      <c r="B26" s="27">
        <v>9.8000000000000004E-2</v>
      </c>
      <c r="C26" s="28">
        <v>7.6999999999999999E-2</v>
      </c>
      <c r="D26" s="28">
        <v>0.11700000000000001</v>
      </c>
      <c r="E26" s="28">
        <v>8.8999999999999996E-2</v>
      </c>
      <c r="F26" s="28">
        <v>6.9000000000000006E-2</v>
      </c>
      <c r="G26" s="28">
        <v>0.113</v>
      </c>
      <c r="H26" s="28">
        <v>8.6999999999999994E-2</v>
      </c>
      <c r="I26" s="28">
        <v>8.1000000000000003E-2</v>
      </c>
      <c r="J26" s="28">
        <v>0.1</v>
      </c>
      <c r="K26" s="28">
        <v>7.9000000000000001E-2</v>
      </c>
      <c r="L26" s="28">
        <v>6.2E-2</v>
      </c>
      <c r="M26" s="29">
        <v>8.5999999999999993E-2</v>
      </c>
    </row>
    <row r="27" spans="1:39">
      <c r="A27" s="12" t="s">
        <v>25</v>
      </c>
      <c r="B27" s="30">
        <v>9.6000000000000002E-2</v>
      </c>
      <c r="C27" s="31">
        <v>0.11700000000000001</v>
      </c>
      <c r="D27" s="31">
        <v>0.158</v>
      </c>
      <c r="E27" s="31">
        <v>9.4E-2</v>
      </c>
      <c r="F27" s="31">
        <v>0.13300000000000001</v>
      </c>
      <c r="G27" s="31">
        <v>0.151</v>
      </c>
      <c r="H27" s="31">
        <v>0.105</v>
      </c>
      <c r="I27" s="31">
        <v>0.112</v>
      </c>
      <c r="J27" s="31">
        <v>0.14899999999999999</v>
      </c>
      <c r="K27" s="31">
        <v>7.5999999999999998E-2</v>
      </c>
      <c r="L27" s="31">
        <v>0.107</v>
      </c>
      <c r="M27" s="32">
        <v>0.13800000000000001</v>
      </c>
    </row>
    <row r="28" spans="1:39">
      <c r="A28" s="12" t="s">
        <v>26</v>
      </c>
      <c r="B28" s="30">
        <v>0.09</v>
      </c>
      <c r="C28" s="31">
        <v>9.1999999999999998E-2</v>
      </c>
      <c r="D28" s="31">
        <v>0.14799999999999999</v>
      </c>
      <c r="E28" s="31">
        <v>8.1000000000000003E-2</v>
      </c>
      <c r="F28" s="31">
        <v>9.5000000000000001E-2</v>
      </c>
      <c r="G28" s="31">
        <v>0.14599999999999999</v>
      </c>
      <c r="H28" s="31">
        <v>6.0999999999999999E-2</v>
      </c>
      <c r="I28" s="31">
        <v>7.2999999999999995E-2</v>
      </c>
      <c r="J28" s="31">
        <v>0.105</v>
      </c>
      <c r="K28" s="31">
        <v>5.5E-2</v>
      </c>
      <c r="L28" s="31">
        <v>7.0999999999999994E-2</v>
      </c>
      <c r="M28" s="32">
        <v>0.11</v>
      </c>
    </row>
    <row r="29" spans="1:39">
      <c r="A29" s="12" t="s">
        <v>27</v>
      </c>
      <c r="B29" s="30">
        <v>0.24</v>
      </c>
      <c r="C29" s="31">
        <v>8.3000000000000004E-2</v>
      </c>
      <c r="D29" s="31">
        <v>0.11700000000000001</v>
      </c>
      <c r="E29" s="31">
        <v>0.218</v>
      </c>
      <c r="F29" s="31">
        <v>9.7000000000000003E-2</v>
      </c>
      <c r="G29" s="31">
        <v>0.11600000000000001</v>
      </c>
      <c r="H29" s="31">
        <v>6.9000000000000006E-2</v>
      </c>
      <c r="I29" s="31">
        <v>0.12</v>
      </c>
      <c r="J29" s="31">
        <v>7.4999999999999997E-2</v>
      </c>
      <c r="K29" s="31">
        <v>8.4000000000000005E-2</v>
      </c>
      <c r="L29" s="31">
        <v>9.5000000000000001E-2</v>
      </c>
      <c r="M29" s="32">
        <v>0.11799999999999999</v>
      </c>
    </row>
    <row r="30" spans="1:39">
      <c r="A30" s="12" t="s">
        <v>28</v>
      </c>
      <c r="B30" s="30">
        <v>0.11700000000000001</v>
      </c>
      <c r="C30" s="31">
        <v>0.13100000000000001</v>
      </c>
      <c r="D30" s="31">
        <v>0.125</v>
      </c>
      <c r="E30" s="31">
        <v>0.121</v>
      </c>
      <c r="F30" s="31">
        <v>0.104</v>
      </c>
      <c r="G30" s="31">
        <v>0.111</v>
      </c>
      <c r="H30" s="31">
        <v>0.10199999999999999</v>
      </c>
      <c r="I30" s="31">
        <v>6.8000000000000005E-2</v>
      </c>
      <c r="J30" s="31">
        <v>6.3E-2</v>
      </c>
      <c r="K30" s="31">
        <v>6.9000000000000006E-2</v>
      </c>
      <c r="L30" s="31">
        <v>9.2999999999999999E-2</v>
      </c>
      <c r="M30" s="32">
        <v>6.9000000000000006E-2</v>
      </c>
    </row>
    <row r="31" spans="1:39">
      <c r="A31" s="12" t="s">
        <v>29</v>
      </c>
      <c r="B31" s="30">
        <v>0.13300000000000001</v>
      </c>
      <c r="C31" s="31">
        <v>0.19500000000000001</v>
      </c>
      <c r="D31" s="31">
        <v>3.5999999999999997E-2</v>
      </c>
      <c r="E31" s="31">
        <v>0.13100000000000001</v>
      </c>
      <c r="F31" s="31">
        <v>0.16700000000000001</v>
      </c>
      <c r="G31" s="31">
        <v>3.5000000000000003E-2</v>
      </c>
      <c r="H31" s="31">
        <v>9.0999999999999998E-2</v>
      </c>
      <c r="I31" s="31">
        <v>7.8E-2</v>
      </c>
      <c r="J31" s="31">
        <v>3.4000000000000002E-2</v>
      </c>
      <c r="K31" s="31">
        <v>0.06</v>
      </c>
      <c r="L31" s="31">
        <v>7.5999999999999998E-2</v>
      </c>
      <c r="M31" s="32">
        <v>2.9000000000000001E-2</v>
      </c>
    </row>
    <row r="32" spans="1:39">
      <c r="A32" s="12" t="s">
        <v>31</v>
      </c>
      <c r="B32" s="30">
        <v>0.13200000000000001</v>
      </c>
      <c r="C32" s="31">
        <v>8.6999999999999994E-2</v>
      </c>
      <c r="D32" s="31">
        <v>0.505</v>
      </c>
      <c r="E32" s="31">
        <v>0.126</v>
      </c>
      <c r="F32" s="31">
        <v>7.1999999999999995E-2</v>
      </c>
      <c r="G32" s="31">
        <v>0.60099999999999998</v>
      </c>
      <c r="H32" s="31">
        <v>6.3E-2</v>
      </c>
      <c r="I32" s="31">
        <v>5.3999999999999999E-2</v>
      </c>
      <c r="J32" s="31">
        <v>3.5000000000000003E-2</v>
      </c>
      <c r="K32" s="31">
        <v>5.0999999999999997E-2</v>
      </c>
      <c r="L32" s="31">
        <v>5.0999999999999997E-2</v>
      </c>
      <c r="M32" s="32">
        <v>3.5000000000000003E-2</v>
      </c>
    </row>
    <row r="33" spans="1:13">
      <c r="A33" s="11" t="s">
        <v>33</v>
      </c>
      <c r="B33" s="33">
        <v>0.50900000000000001</v>
      </c>
      <c r="C33" s="34">
        <v>0.13600000000000001</v>
      </c>
      <c r="D33" s="34">
        <v>0.05</v>
      </c>
      <c r="E33" s="34">
        <v>0.34499999999999997</v>
      </c>
      <c r="F33" s="34">
        <v>0.13700000000000001</v>
      </c>
      <c r="G33" s="34">
        <v>3.6999999999999998E-2</v>
      </c>
      <c r="H33" s="34">
        <v>5.5E-2</v>
      </c>
      <c r="I33" s="34">
        <v>7.4999999999999997E-2</v>
      </c>
      <c r="J33" s="34">
        <v>4.2000000000000003E-2</v>
      </c>
      <c r="K33" s="34">
        <v>0.05</v>
      </c>
      <c r="L33" s="34">
        <v>9.1999999999999998E-2</v>
      </c>
      <c r="M33" s="35">
        <v>5.8999999999999997E-2</v>
      </c>
    </row>
    <row r="35" spans="1:13">
      <c r="A35" s="9" t="s">
        <v>152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24</v>
      </c>
      <c r="B38" s="27">
        <v>0.16500000000000001</v>
      </c>
      <c r="C38" s="28">
        <v>9.4E-2</v>
      </c>
      <c r="D38" s="28">
        <v>0.14499999999999999</v>
      </c>
      <c r="E38" s="28">
        <v>0.157</v>
      </c>
      <c r="F38" s="28">
        <v>8.1000000000000003E-2</v>
      </c>
      <c r="G38" s="28">
        <v>0.14299999999999999</v>
      </c>
      <c r="H38" s="28">
        <v>0.17</v>
      </c>
      <c r="I38" s="28">
        <v>8.1000000000000003E-2</v>
      </c>
      <c r="J38" s="28">
        <v>8.5000000000000006E-2</v>
      </c>
      <c r="K38" s="28">
        <v>0.159</v>
      </c>
      <c r="L38" s="28">
        <v>7.8E-2</v>
      </c>
      <c r="M38" s="29">
        <v>0.10299999999999999</v>
      </c>
    </row>
    <row r="39" spans="1:13">
      <c r="A39" s="12" t="s">
        <v>25</v>
      </c>
      <c r="B39" s="30">
        <v>0.16700000000000001</v>
      </c>
      <c r="C39" s="31">
        <v>9.9000000000000005E-2</v>
      </c>
      <c r="D39" s="31">
        <v>0.113</v>
      </c>
      <c r="E39" s="31">
        <v>0.17100000000000001</v>
      </c>
      <c r="F39" s="31">
        <v>9.4E-2</v>
      </c>
      <c r="G39" s="31">
        <v>0.1</v>
      </c>
      <c r="H39" s="31">
        <v>0.125</v>
      </c>
      <c r="I39" s="31">
        <v>6.3E-2</v>
      </c>
      <c r="J39" s="31">
        <v>8.8999999999999996E-2</v>
      </c>
      <c r="K39" s="31">
        <v>0.11799999999999999</v>
      </c>
      <c r="L39" s="31">
        <v>9.9000000000000005E-2</v>
      </c>
      <c r="M39" s="32">
        <v>0.108</v>
      </c>
    </row>
    <row r="40" spans="1:13">
      <c r="A40" s="12" t="s">
        <v>26</v>
      </c>
      <c r="B40" s="30">
        <v>9.2999999999999999E-2</v>
      </c>
      <c r="C40" s="31">
        <v>0.124</v>
      </c>
      <c r="D40" s="31">
        <v>0.15</v>
      </c>
      <c r="E40" s="31">
        <v>8.6999999999999994E-2</v>
      </c>
      <c r="F40" s="31">
        <v>0.122</v>
      </c>
      <c r="G40" s="31">
        <v>0.16900000000000001</v>
      </c>
      <c r="H40" s="31">
        <v>0.108</v>
      </c>
      <c r="I40" s="31">
        <v>0.10100000000000001</v>
      </c>
      <c r="J40" s="31">
        <v>0.17599999999999999</v>
      </c>
      <c r="K40" s="31">
        <v>0.121</v>
      </c>
      <c r="L40" s="31">
        <v>0.121</v>
      </c>
      <c r="M40" s="32">
        <v>0.188</v>
      </c>
    </row>
    <row r="41" spans="1:13">
      <c r="A41" s="12" t="s">
        <v>27</v>
      </c>
      <c r="B41" s="30">
        <v>0.109</v>
      </c>
      <c r="C41" s="31">
        <v>0.128</v>
      </c>
      <c r="D41" s="31">
        <v>0.20100000000000001</v>
      </c>
      <c r="E41" s="31">
        <v>0.113</v>
      </c>
      <c r="F41" s="31">
        <v>0.13</v>
      </c>
      <c r="G41" s="31">
        <v>0.21299999999999999</v>
      </c>
      <c r="H41" s="31">
        <v>0.14099999999999999</v>
      </c>
      <c r="I41" s="31">
        <v>6.6000000000000003E-2</v>
      </c>
      <c r="J41" s="31">
        <v>9.0999999999999998E-2</v>
      </c>
      <c r="K41" s="31">
        <v>0.14899999999999999</v>
      </c>
      <c r="L41" s="31">
        <v>8.7999999999999995E-2</v>
      </c>
      <c r="M41" s="32">
        <v>0.10199999999999999</v>
      </c>
    </row>
    <row r="42" spans="1:13">
      <c r="A42" s="12" t="s">
        <v>28</v>
      </c>
      <c r="B42" s="30">
        <v>0.122</v>
      </c>
      <c r="C42" s="31">
        <v>0.111</v>
      </c>
      <c r="D42" s="31">
        <v>0.111</v>
      </c>
      <c r="E42" s="31">
        <v>0.112</v>
      </c>
      <c r="F42" s="31">
        <v>9.6000000000000002E-2</v>
      </c>
      <c r="G42" s="31">
        <v>0.109</v>
      </c>
      <c r="H42" s="31">
        <v>0.06</v>
      </c>
      <c r="I42" s="31">
        <v>6.5000000000000002E-2</v>
      </c>
      <c r="J42" s="31">
        <v>0.08</v>
      </c>
      <c r="K42" s="31">
        <v>6.4000000000000001E-2</v>
      </c>
      <c r="L42" s="31">
        <v>6.3E-2</v>
      </c>
      <c r="M42" s="32">
        <v>0.11</v>
      </c>
    </row>
    <row r="43" spans="1:13">
      <c r="A43" s="12" t="s">
        <v>29</v>
      </c>
      <c r="B43" s="30">
        <v>0.13700000000000001</v>
      </c>
      <c r="C43" s="31">
        <v>0.13300000000000001</v>
      </c>
      <c r="D43" s="31">
        <v>3.5999999999999997E-2</v>
      </c>
      <c r="E43" s="31">
        <v>0.112</v>
      </c>
      <c r="F43" s="31">
        <v>0.114</v>
      </c>
      <c r="G43" s="31">
        <v>3.7999999999999999E-2</v>
      </c>
      <c r="H43" s="31">
        <v>0.158</v>
      </c>
      <c r="I43" s="31">
        <v>0.129</v>
      </c>
      <c r="J43" s="31">
        <v>4.2000000000000003E-2</v>
      </c>
      <c r="K43" s="31">
        <v>0.13900000000000001</v>
      </c>
      <c r="L43" s="31">
        <v>0.13200000000000001</v>
      </c>
      <c r="M43" s="32">
        <v>1.6E-2</v>
      </c>
    </row>
    <row r="44" spans="1:13">
      <c r="A44" s="12" t="s">
        <v>31</v>
      </c>
      <c r="B44" s="30">
        <v>0.128</v>
      </c>
      <c r="C44" s="31">
        <v>0.14499999999999999</v>
      </c>
      <c r="D44" s="31">
        <v>0.96799999999999997</v>
      </c>
      <c r="E44" s="31">
        <v>0.13500000000000001</v>
      </c>
      <c r="F44" s="31">
        <v>0.125</v>
      </c>
      <c r="G44" s="31">
        <v>0.95799999999999996</v>
      </c>
      <c r="H44" s="31">
        <v>7.8E-2</v>
      </c>
      <c r="I44" s="31">
        <v>5.6000000000000001E-2</v>
      </c>
      <c r="J44" s="31">
        <v>3.4000000000000002E-2</v>
      </c>
      <c r="K44" s="31">
        <v>0.10199999999999999</v>
      </c>
      <c r="L44" s="31">
        <v>7.1999999999999995E-2</v>
      </c>
      <c r="M44" s="32">
        <v>3.5000000000000003E-2</v>
      </c>
    </row>
    <row r="45" spans="1:13">
      <c r="A45" s="11" t="s">
        <v>33</v>
      </c>
      <c r="B45" s="33">
        <v>0.104</v>
      </c>
      <c r="C45" s="34">
        <v>9.2999999999999999E-2</v>
      </c>
      <c r="D45" s="34">
        <v>4.5999999999999999E-2</v>
      </c>
      <c r="E45" s="34">
        <v>9.7000000000000003E-2</v>
      </c>
      <c r="F45" s="34">
        <v>8.7999999999999995E-2</v>
      </c>
      <c r="G45" s="34">
        <v>4.8000000000000001E-2</v>
      </c>
      <c r="H45" s="34">
        <v>9.4E-2</v>
      </c>
      <c r="I45" s="34">
        <v>7.1999999999999995E-2</v>
      </c>
      <c r="J45" s="34">
        <v>4.5999999999999999E-2</v>
      </c>
      <c r="K45" s="34">
        <v>9.2999999999999999E-2</v>
      </c>
      <c r="L45" s="34">
        <v>9.0999999999999998E-2</v>
      </c>
      <c r="M45" s="35">
        <v>4.5999999999999999E-2</v>
      </c>
    </row>
    <row r="47" spans="1:13">
      <c r="A47" s="9" t="s">
        <v>153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24</v>
      </c>
      <c r="B50" s="27">
        <v>0.105</v>
      </c>
      <c r="C50" s="28">
        <v>0.19400000000000001</v>
      </c>
      <c r="D50" s="28">
        <v>0.13400000000000001</v>
      </c>
      <c r="E50" s="28">
        <v>9.5000000000000001E-2</v>
      </c>
      <c r="F50" s="28">
        <v>0.18099999999999999</v>
      </c>
      <c r="G50" s="28">
        <v>0.127</v>
      </c>
      <c r="H50" s="28">
        <v>9.7000000000000003E-2</v>
      </c>
      <c r="I50" s="28">
        <v>0.13800000000000001</v>
      </c>
      <c r="J50" s="28">
        <v>0.107</v>
      </c>
      <c r="K50" s="28">
        <v>0.1</v>
      </c>
      <c r="L50" s="28">
        <v>0.129</v>
      </c>
      <c r="M50" s="29">
        <v>8.8999999999999996E-2</v>
      </c>
    </row>
    <row r="51" spans="1:13">
      <c r="A51" s="12" t="s">
        <v>25</v>
      </c>
      <c r="B51" s="30">
        <v>9.6000000000000002E-2</v>
      </c>
      <c r="C51" s="31">
        <v>8.3000000000000004E-2</v>
      </c>
      <c r="D51" s="31">
        <v>8.4000000000000005E-2</v>
      </c>
      <c r="E51" s="31">
        <v>9.8000000000000004E-2</v>
      </c>
      <c r="F51" s="31">
        <v>8.7999999999999995E-2</v>
      </c>
      <c r="G51" s="31">
        <v>7.0999999999999994E-2</v>
      </c>
      <c r="H51" s="31">
        <v>0.1</v>
      </c>
      <c r="I51" s="31">
        <v>6.4000000000000001E-2</v>
      </c>
      <c r="J51" s="31">
        <v>0.1</v>
      </c>
      <c r="K51" s="31">
        <v>0.108</v>
      </c>
      <c r="L51" s="31">
        <v>6.4000000000000001E-2</v>
      </c>
      <c r="M51" s="32">
        <v>0.09</v>
      </c>
    </row>
    <row r="52" spans="1:13">
      <c r="A52" s="12" t="s">
        <v>26</v>
      </c>
      <c r="B52" s="30">
        <v>0.54300000000000004</v>
      </c>
      <c r="C52" s="31">
        <v>0.20799999999999999</v>
      </c>
      <c r="D52" s="31">
        <v>0.11899999999999999</v>
      </c>
      <c r="E52" s="31">
        <v>0.56799999999999995</v>
      </c>
      <c r="F52" s="31">
        <v>0.216</v>
      </c>
      <c r="G52" s="31">
        <v>0.121</v>
      </c>
      <c r="H52" s="31">
        <v>0.14899999999999999</v>
      </c>
      <c r="I52" s="31">
        <v>9.4E-2</v>
      </c>
      <c r="J52" s="31">
        <v>0.13300000000000001</v>
      </c>
      <c r="K52" s="31">
        <v>0.18099999999999999</v>
      </c>
      <c r="L52" s="31">
        <v>0.09</v>
      </c>
      <c r="M52" s="32">
        <v>0.1</v>
      </c>
    </row>
    <row r="53" spans="1:13">
      <c r="A53" s="12" t="s">
        <v>27</v>
      </c>
      <c r="B53" s="30">
        <v>0.433</v>
      </c>
      <c r="C53" s="31">
        <v>0.40699999999999997</v>
      </c>
      <c r="D53" s="31">
        <v>0.13400000000000001</v>
      </c>
      <c r="E53" s="31">
        <v>0.38300000000000001</v>
      </c>
      <c r="F53" s="31">
        <v>0.30199999999999999</v>
      </c>
      <c r="G53" s="31">
        <v>0.13600000000000001</v>
      </c>
      <c r="H53" s="31">
        <v>0.105</v>
      </c>
      <c r="I53" s="31">
        <v>0.108</v>
      </c>
      <c r="J53" s="31">
        <v>0.123</v>
      </c>
      <c r="K53" s="31">
        <v>0.121</v>
      </c>
      <c r="L53" s="31">
        <v>9.0999999999999998E-2</v>
      </c>
      <c r="M53" s="32">
        <v>7.6999999999999999E-2</v>
      </c>
    </row>
    <row r="54" spans="1:13">
      <c r="A54" s="12" t="s">
        <v>28</v>
      </c>
      <c r="B54" s="30">
        <v>0.112</v>
      </c>
      <c r="C54" s="31">
        <v>0.23699999999999999</v>
      </c>
      <c r="D54" s="31">
        <v>0.13600000000000001</v>
      </c>
      <c r="E54" s="31">
        <v>0.10100000000000001</v>
      </c>
      <c r="F54" s="31">
        <v>0.246</v>
      </c>
      <c r="G54" s="31">
        <v>0.122</v>
      </c>
      <c r="H54" s="31">
        <v>0.122</v>
      </c>
      <c r="I54" s="31">
        <v>0.12</v>
      </c>
      <c r="J54" s="31">
        <v>0.14000000000000001</v>
      </c>
      <c r="K54" s="31">
        <v>0.11799999999999999</v>
      </c>
      <c r="L54" s="31">
        <v>0.128</v>
      </c>
      <c r="M54" s="32">
        <v>0.108</v>
      </c>
    </row>
    <row r="55" spans="1:13">
      <c r="A55" s="12" t="s">
        <v>29</v>
      </c>
      <c r="B55" s="30">
        <v>0.108</v>
      </c>
      <c r="C55" s="31">
        <v>0.13100000000000001</v>
      </c>
      <c r="D55" s="31">
        <v>3.5000000000000003E-2</v>
      </c>
      <c r="E55" s="31">
        <v>8.3000000000000004E-2</v>
      </c>
      <c r="F55" s="31">
        <v>0.112</v>
      </c>
      <c r="G55" s="31">
        <v>3.6999999999999998E-2</v>
      </c>
      <c r="H55" s="31">
        <v>9.4E-2</v>
      </c>
      <c r="I55" s="31">
        <v>8.5000000000000006E-2</v>
      </c>
      <c r="J55" s="31">
        <v>3.9E-2</v>
      </c>
      <c r="K55" s="31">
        <v>9.9000000000000005E-2</v>
      </c>
      <c r="L55" s="31">
        <v>7.4999999999999997E-2</v>
      </c>
      <c r="M55" s="32">
        <v>0.03</v>
      </c>
    </row>
    <row r="56" spans="1:13">
      <c r="A56" s="12" t="s">
        <v>31</v>
      </c>
      <c r="B56" s="30">
        <v>0.11700000000000001</v>
      </c>
      <c r="C56" s="31">
        <v>0.114</v>
      </c>
      <c r="D56" s="31">
        <v>0.86799999999999999</v>
      </c>
      <c r="E56" s="31">
        <v>0.11899999999999999</v>
      </c>
      <c r="F56" s="31">
        <v>0.105</v>
      </c>
      <c r="G56" s="31">
        <v>0.89</v>
      </c>
      <c r="H56" s="31">
        <v>0.08</v>
      </c>
      <c r="I56" s="31">
        <v>6.2E-2</v>
      </c>
      <c r="J56" s="31">
        <v>3.6999999999999998E-2</v>
      </c>
      <c r="K56" s="31">
        <v>0.09</v>
      </c>
      <c r="L56" s="31">
        <v>5.5E-2</v>
      </c>
      <c r="M56" s="32">
        <v>3.5999999999999997E-2</v>
      </c>
    </row>
    <row r="57" spans="1:13">
      <c r="A57" s="11" t="s">
        <v>33</v>
      </c>
      <c r="B57" s="33">
        <v>0.39600000000000002</v>
      </c>
      <c r="C57" s="34">
        <v>8.5999999999999993E-2</v>
      </c>
      <c r="D57" s="34">
        <v>5.3999999999999999E-2</v>
      </c>
      <c r="E57" s="34">
        <v>0.35699999999999998</v>
      </c>
      <c r="F57" s="34">
        <v>7.6999999999999999E-2</v>
      </c>
      <c r="G57" s="34">
        <v>4.9000000000000002E-2</v>
      </c>
      <c r="H57" s="34">
        <v>0.12</v>
      </c>
      <c r="I57" s="34">
        <v>4.9000000000000002E-2</v>
      </c>
      <c r="J57" s="34">
        <v>4.2000000000000003E-2</v>
      </c>
      <c r="K57" s="34">
        <v>0.11700000000000001</v>
      </c>
      <c r="L57" s="34">
        <v>5.7000000000000002E-2</v>
      </c>
      <c r="M57" s="35">
        <v>4.2000000000000003E-2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tabSelected="1" zoomScaleNormal="100" workbookViewId="0">
      <selection activeCell="K1" sqref="K1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154</v>
      </c>
      <c r="B1" s="69" t="s">
        <v>155</v>
      </c>
      <c r="C1" s="69" t="s">
        <v>156</v>
      </c>
      <c r="D1" s="70" t="s">
        <v>157</v>
      </c>
      <c r="E1" s="69" t="s">
        <v>158</v>
      </c>
      <c r="F1" s="71" t="s">
        <v>159</v>
      </c>
      <c r="G1" s="69" t="s">
        <v>160</v>
      </c>
      <c r="H1" s="69" t="s">
        <v>161</v>
      </c>
      <c r="I1" s="69" t="s">
        <v>162</v>
      </c>
      <c r="J1" s="70" t="s">
        <v>163</v>
      </c>
      <c r="K1" s="70" t="s">
        <v>42</v>
      </c>
    </row>
    <row r="2" spans="1:11" ht="15" customHeight="1" thickBot="1">
      <c r="A2" s="72" t="s">
        <v>164</v>
      </c>
      <c r="B2" s="72">
        <v>1</v>
      </c>
      <c r="C2" s="72" t="s">
        <v>43</v>
      </c>
      <c r="D2" s="43">
        <f>IF(Deepwell!B18="","",Deepwell!B18)</f>
        <v>967</v>
      </c>
      <c r="E2" s="44">
        <f>IF(ELISA!B7="","",ELISA!B7)</f>
        <v>2502333</v>
      </c>
      <c r="F2" s="45">
        <f>IF('450 nm - 600 nm'!B14="","",(('450 nm - 600 nm'!B14+'450 nm - 600 nm'!E14)/2)-(('450 nm - 600 nm'!H14+'450 nm - 600 nm'!K14)/2))</f>
        <v>-7.0000000000000062E-3</v>
      </c>
      <c r="G2" s="46">
        <f>IF(F2="","",(F2-Controls!$E$10)/(Controls!$E$2-Controls!$E$10))</f>
        <v>-2.3580786026200895E-2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 t="s">
        <v>165</v>
      </c>
    </row>
    <row r="3" spans="1:11" ht="15" customHeight="1" thickBot="1">
      <c r="A3" s="72" t="s">
        <v>166</v>
      </c>
      <c r="B3" s="72">
        <v>1</v>
      </c>
      <c r="C3" s="72" t="s">
        <v>47</v>
      </c>
      <c r="D3" s="43">
        <f>IF(Deepwell!B19="","",Deepwell!B19)</f>
        <v>968</v>
      </c>
      <c r="E3" s="44">
        <f>IF(ELISA!B8="","",ELISA!B8)</f>
        <v>2502307</v>
      </c>
      <c r="F3" s="45">
        <f>IF('450 nm - 600 nm'!B15="","",(('450 nm - 600 nm'!B15+'450 nm - 600 nm'!E15)/2)-(('450 nm - 600 nm'!H15+'450 nm - 600 nm'!K15)/2))</f>
        <v>4.0000000000000036E-3</v>
      </c>
      <c r="G3" s="46">
        <f>IF(F3="","",(F3-Controls!$E$10)/(Controls!$E$2-Controls!$E$10))</f>
        <v>-4.3668122270742399E-3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 t="s">
        <v>165</v>
      </c>
    </row>
    <row r="4" spans="1:11" ht="15" customHeight="1" thickBot="1">
      <c r="A4" s="72" t="s">
        <v>167</v>
      </c>
      <c r="B4" s="72">
        <v>1</v>
      </c>
      <c r="C4" s="72" t="s">
        <v>51</v>
      </c>
      <c r="D4" s="43">
        <f>IF(Deepwell!B20="","",Deepwell!B20)</f>
        <v>969</v>
      </c>
      <c r="E4" s="44">
        <f>IF(ELISA!B9="","",ELISA!B9)</f>
        <v>2502334</v>
      </c>
      <c r="F4" s="45">
        <f>IF('450 nm - 600 nm'!B16="","",(('450 nm - 600 nm'!B16+'450 nm - 600 nm'!E16)/2)-(('450 nm - 600 nm'!H16+'450 nm - 600 nm'!K16)/2))</f>
        <v>2.7999999999999997E-2</v>
      </c>
      <c r="G4" s="46">
        <f>IF(F4="","",(F4-Controls!$E$10)/(Controls!$E$2-Controls!$E$10))</f>
        <v>3.755458515283841E-2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 t="s">
        <v>165</v>
      </c>
    </row>
    <row r="5" spans="1:11" ht="15" customHeight="1" thickBot="1">
      <c r="A5" s="72" t="s">
        <v>168</v>
      </c>
      <c r="B5" s="72">
        <v>1</v>
      </c>
      <c r="C5" s="72" t="s">
        <v>55</v>
      </c>
      <c r="D5" s="43">
        <f>IF(Deepwell!B21="","",Deepwell!B21)</f>
        <v>970</v>
      </c>
      <c r="E5" s="44">
        <f>IF(ELISA!B10="","",ELISA!B10)</f>
        <v>2502335</v>
      </c>
      <c r="F5" s="45">
        <f>IF('450 nm - 600 nm'!B17="","",(('450 nm - 600 nm'!B17+'450 nm - 600 nm'!E17)/2)-(('450 nm - 600 nm'!H17+'450 nm - 600 nm'!K17)/2))</f>
        <v>1.8500000000000003E-2</v>
      </c>
      <c r="G5" s="46">
        <f>IF(F5="","",(F5-Controls!$E$10)/(Controls!$E$2-Controls!$E$10))</f>
        <v>2.0960698689956325E-2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 t="s">
        <v>165</v>
      </c>
    </row>
    <row r="6" spans="1:11" ht="15" customHeight="1" thickBot="1">
      <c r="A6" s="72" t="s">
        <v>169</v>
      </c>
      <c r="B6" s="72">
        <v>1</v>
      </c>
      <c r="C6" s="72" t="s">
        <v>59</v>
      </c>
      <c r="D6" s="43">
        <f>IF(Deepwell!B22="","",Deepwell!B22)</f>
        <v>971</v>
      </c>
      <c r="E6" s="44">
        <f>IF(ELISA!B11="","",ELISA!B11)</f>
        <v>2502352</v>
      </c>
      <c r="F6" s="45">
        <f>IF('450 nm - 600 nm'!B18="","",(('450 nm - 600 nm'!B18+'450 nm - 600 nm'!E18)/2)-(('450 nm - 600 nm'!H18+'450 nm - 600 nm'!K18)/2))</f>
        <v>3.7000000000000005E-2</v>
      </c>
      <c r="G6" s="46">
        <f>IF(F6="","",(F6-Controls!$E$10)/(Controls!$E$2-Controls!$E$10))</f>
        <v>5.3275109170305673E-2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 t="s">
        <v>165</v>
      </c>
    </row>
    <row r="7" spans="1:11" ht="15" customHeight="1" thickBot="1">
      <c r="A7" s="72" t="s">
        <v>170</v>
      </c>
      <c r="B7" s="72">
        <v>1</v>
      </c>
      <c r="C7" s="72" t="s">
        <v>63</v>
      </c>
      <c r="D7" s="43">
        <f>IF(Deepwell!B23="","",Deepwell!B23)</f>
        <v>972</v>
      </c>
      <c r="E7" s="44">
        <f>IF(ELISA!B12="","",ELISA!B12)</f>
        <v>2502337</v>
      </c>
      <c r="F7" s="45">
        <f>IF('450 nm - 600 nm'!B19="","",(('450 nm - 600 nm'!B19+'450 nm - 600 nm'!E19)/2)-(('450 nm - 600 nm'!H19+'450 nm - 600 nm'!K19)/2))</f>
        <v>1.8500000000000003E-2</v>
      </c>
      <c r="G7" s="46">
        <f>IF(F7="","",(F7-Controls!$E$10)/(Controls!$E$2-Controls!$E$10))</f>
        <v>2.0960698689956325E-2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 t="s">
        <v>165</v>
      </c>
    </row>
    <row r="8" spans="1:11" ht="15" customHeight="1" thickBot="1">
      <c r="A8" s="72" t="s">
        <v>171</v>
      </c>
      <c r="B8" s="72">
        <v>1</v>
      </c>
      <c r="C8" s="72" t="s">
        <v>67</v>
      </c>
      <c r="D8" s="43">
        <f>IF(Deepwell!B24="","",Deepwell!B24)</f>
        <v>973</v>
      </c>
      <c r="E8" s="44">
        <f>IF(ELISA!B13="","",ELISA!B13)</f>
        <v>2500731</v>
      </c>
      <c r="F8" s="45">
        <f>IF('450 nm - 600 nm'!B20="","",(('450 nm - 600 nm'!B20+'450 nm - 600 nm'!E20)/2)-(('450 nm - 600 nm'!H20+'450 nm - 600 nm'!K20)/2))</f>
        <v>5.0000000000000044E-4</v>
      </c>
      <c r="G8" s="46">
        <f>IF(F8="","",(F8-Controls!$E$10)/(Controls!$E$2-Controls!$E$10))</f>
        <v>-1.0480349344978174E-2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 t="s">
        <v>165</v>
      </c>
    </row>
    <row r="9" spans="1:11" ht="15" customHeight="1" thickBot="1">
      <c r="A9" s="72" t="s">
        <v>172</v>
      </c>
      <c r="B9" s="72">
        <v>1</v>
      </c>
      <c r="C9" s="72" t="s">
        <v>71</v>
      </c>
      <c r="D9" s="43">
        <f>IF(Deepwell!B25="","",Deepwell!B25)</f>
        <v>974</v>
      </c>
      <c r="E9" s="44">
        <f>IF(ELISA!B14="","",ELISA!B14)</f>
        <v>2502288</v>
      </c>
      <c r="F9" s="45">
        <f>IF('450 nm - 600 nm'!B21="","",(('450 nm - 600 nm'!B21+'450 nm - 600 nm'!E21)/2)-(('450 nm - 600 nm'!H21+'450 nm - 600 nm'!K21)/2))</f>
        <v>2.2999999999999993E-2</v>
      </c>
      <c r="G9" s="46">
        <f>IF(F9="","",(F9-Controls!$E$10)/(Controls!$E$2-Controls!$E$10))</f>
        <v>2.8820960698689932E-2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 t="s">
        <v>165</v>
      </c>
    </row>
    <row r="10" spans="1:11" ht="15" customHeight="1" thickBot="1">
      <c r="A10" s="72" t="s">
        <v>173</v>
      </c>
      <c r="B10" s="72">
        <v>1</v>
      </c>
      <c r="C10" s="72" t="s">
        <v>75</v>
      </c>
      <c r="D10" s="43">
        <f>IF(Deepwell!C18="","",Deepwell!C18)</f>
        <v>975</v>
      </c>
      <c r="E10" s="44">
        <f>IF(ELISA!B15="","",ELISA!B15)</f>
        <v>2500729</v>
      </c>
      <c r="F10" s="45">
        <f>IF('450 nm - 600 nm'!C14="","",(('450 nm - 600 nm'!C14+'450 nm - 600 nm'!F14)/2)-(('450 nm - 600 nm'!I14+'450 nm - 600 nm'!L14)/2))</f>
        <v>1.4499999999999985E-2</v>
      </c>
      <c r="G10" s="46">
        <f>IF(F10="","",(F10-Controls!$E$10)/(Controls!$E$2-Controls!$E$10))</f>
        <v>1.3973799126637518E-2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 t="s">
        <v>165</v>
      </c>
    </row>
    <row r="11" spans="1:11" ht="15" customHeight="1" thickBot="1">
      <c r="A11" s="72" t="s">
        <v>174</v>
      </c>
      <c r="B11" s="72">
        <v>1</v>
      </c>
      <c r="C11" s="72" t="s">
        <v>79</v>
      </c>
      <c r="D11" s="43">
        <f>IF(Deepwell!C19="","",Deepwell!C19)</f>
        <v>976</v>
      </c>
      <c r="E11" s="44">
        <f>IF(ELISA!B16="","",ELISA!B16)</f>
        <v>2500727</v>
      </c>
      <c r="F11" s="45">
        <f>IF('450 nm - 600 nm'!C15="","",(('450 nm - 600 nm'!C15+'450 nm - 600 nm'!F15)/2)-(('450 nm - 600 nm'!I15+'450 nm - 600 nm'!L15)/2))</f>
        <v>1.2499999999999997E-2</v>
      </c>
      <c r="G11" s="46">
        <f>IF(F11="","",(F11-Controls!$E$10)/(Controls!$E$2-Controls!$E$10))</f>
        <v>1.048034934497815E-2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 t="s">
        <v>165</v>
      </c>
    </row>
    <row r="12" spans="1:11" ht="15" customHeight="1" thickBot="1">
      <c r="A12" s="72" t="s">
        <v>175</v>
      </c>
      <c r="B12" s="72">
        <v>1</v>
      </c>
      <c r="C12" s="72" t="s">
        <v>83</v>
      </c>
      <c r="D12" s="43">
        <f>IF(Deepwell!C20="","",Deepwell!C20)</f>
        <v>977</v>
      </c>
      <c r="E12" s="44">
        <f>IF(ELISA!B17="","",ELISA!B17)</f>
        <v>2500728</v>
      </c>
      <c r="F12" s="45">
        <f>IF('450 nm - 600 nm'!C16="","",(('450 nm - 600 nm'!C16+'450 nm - 600 nm'!F16)/2)-(('450 nm - 600 nm'!I16+'450 nm - 600 nm'!L16)/2))</f>
        <v>1.7500000000000002E-2</v>
      </c>
      <c r="G12" s="46">
        <f>IF(F12="","",(F12-Controls!$E$10)/(Controls!$E$2-Controls!$E$10))</f>
        <v>1.9213973799126632E-2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 t="s">
        <v>165</v>
      </c>
    </row>
    <row r="13" spans="1:11" ht="15" customHeight="1" thickBot="1">
      <c r="A13" s="72" t="s">
        <v>176</v>
      </c>
      <c r="B13" s="72">
        <v>1</v>
      </c>
      <c r="C13" s="72" t="s">
        <v>87</v>
      </c>
      <c r="D13" s="43">
        <f>IF(Deepwell!C21="","",Deepwell!C21)</f>
        <v>978</v>
      </c>
      <c r="E13" s="44">
        <f>IF(ELISA!B18="","",ELISA!B18)</f>
        <v>2500720</v>
      </c>
      <c r="F13" s="45">
        <f>IF('450 nm - 600 nm'!C17="","",(('450 nm - 600 nm'!C17+'450 nm - 600 nm'!F17)/2)-(('450 nm - 600 nm'!I17+'450 nm - 600 nm'!L17)/2))</f>
        <v>6.7500000000000018E-2</v>
      </c>
      <c r="G13" s="46">
        <f>IF(F13="","",(F13-Controls!$E$10)/(Controls!$E$2-Controls!$E$10))</f>
        <v>0.10655021834061137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 t="s">
        <v>165</v>
      </c>
    </row>
    <row r="14" spans="1:11" ht="15" customHeight="1" thickBot="1">
      <c r="A14" s="72" t="s">
        <v>177</v>
      </c>
      <c r="B14" s="72">
        <v>1</v>
      </c>
      <c r="C14" s="72" t="s">
        <v>91</v>
      </c>
      <c r="D14" s="43">
        <f>IF(Deepwell!C22="","",Deepwell!C22)</f>
        <v>979</v>
      </c>
      <c r="E14" s="44">
        <f>IF(ELISA!B19="","",ELISA!B19)</f>
        <v>2501117</v>
      </c>
      <c r="F14" s="45">
        <f>IF('450 nm - 600 nm'!C18="","",(('450 nm - 600 nm'!C18+'450 nm - 600 nm'!F18)/2)-(('450 nm - 600 nm'!I18+'450 nm - 600 nm'!L18)/2))</f>
        <v>-2.5500000000000009E-2</v>
      </c>
      <c r="G14" s="46">
        <f>IF(F14="","",(F14-Controls!$E$10)/(Controls!$E$2-Controls!$E$10))</f>
        <v>-5.589519650655024E-2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 t="s">
        <v>165</v>
      </c>
    </row>
    <row r="15" spans="1:11" ht="15" customHeight="1" thickBot="1">
      <c r="A15" s="72" t="s">
        <v>178</v>
      </c>
      <c r="B15" s="72">
        <v>1</v>
      </c>
      <c r="C15" s="72" t="s">
        <v>95</v>
      </c>
      <c r="D15" s="43">
        <f>IF(Deepwell!C23="","",Deepwell!C23)</f>
        <v>980</v>
      </c>
      <c r="E15" s="44">
        <f>IF(ELISA!B20="","",ELISA!B20)</f>
        <v>2501098</v>
      </c>
      <c r="F15" s="45">
        <f>IF('450 nm - 600 nm'!C19="","",(('450 nm - 600 nm'!C19+'450 nm - 600 nm'!F19)/2)-(('450 nm - 600 nm'!I19+'450 nm - 600 nm'!L19)/2))</f>
        <v>6.2E-2</v>
      </c>
      <c r="G15" s="46">
        <f>IF(F15="","",(F15-Controls!$E$10)/(Controls!$E$2-Controls!$E$10))</f>
        <v>9.6943231441048022E-2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 t="s">
        <v>165</v>
      </c>
    </row>
    <row r="16" spans="1:11" ht="15" customHeight="1" thickBot="1">
      <c r="A16" s="72" t="s">
        <v>179</v>
      </c>
      <c r="B16" s="72">
        <v>1</v>
      </c>
      <c r="C16" s="72" t="s">
        <v>99</v>
      </c>
      <c r="D16" s="43">
        <f>IF(Deepwell!C24="","",Deepwell!C24)</f>
        <v>981</v>
      </c>
      <c r="E16" s="44">
        <f>IF(ELISA!B21="","",ELISA!B21)</f>
        <v>2501111</v>
      </c>
      <c r="F16" s="45">
        <f>IF('450 nm - 600 nm'!C20="","",(('450 nm - 600 nm'!C20+'450 nm - 600 nm'!F20)/2)-(('450 nm - 600 nm'!I20+'450 nm - 600 nm'!L20)/2))</f>
        <v>3.3499999999999988E-2</v>
      </c>
      <c r="G16" s="46">
        <f>IF(F16="","",(F16-Controls!$E$10)/(Controls!$E$2-Controls!$E$10))</f>
        <v>4.7161572052401714E-2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 t="s">
        <v>165</v>
      </c>
    </row>
    <row r="17" spans="1:11" ht="15" customHeight="1" thickBot="1">
      <c r="A17" s="72" t="s">
        <v>180</v>
      </c>
      <c r="B17" s="72">
        <v>1</v>
      </c>
      <c r="C17" s="72" t="s">
        <v>103</v>
      </c>
      <c r="D17" s="43">
        <f>IF(Deepwell!C25="","",Deepwell!C25)</f>
        <v>982</v>
      </c>
      <c r="E17" s="44">
        <f>IF(ELISA!B22="","",ELISA!B22)</f>
        <v>2502366</v>
      </c>
      <c r="F17" s="45">
        <f>IF('450 nm - 600 nm'!C21="","",(('450 nm - 600 nm'!C21+'450 nm - 600 nm'!F21)/2)-(('450 nm - 600 nm'!I21+'450 nm - 600 nm'!L21)/2))</f>
        <v>2.6000000000000009E-2</v>
      </c>
      <c r="G17" s="46">
        <f>IF(F17="","",(F17-Controls!$E$10)/(Controls!$E$2-Controls!$E$10))</f>
        <v>3.4061135371179045E-2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 t="s">
        <v>165</v>
      </c>
    </row>
    <row r="18" spans="1:11" ht="15" customHeight="1" thickBot="1">
      <c r="A18" s="72" t="s">
        <v>181</v>
      </c>
      <c r="B18" s="72">
        <v>1</v>
      </c>
      <c r="C18" s="72" t="s">
        <v>107</v>
      </c>
      <c r="D18" s="43">
        <f>IF(Deepwell!D18="","",Deepwell!D18)</f>
        <v>983</v>
      </c>
      <c r="E18" s="44">
        <f>IF(ELISA!B23="","",ELISA!B23)</f>
        <v>2502373</v>
      </c>
      <c r="F18" s="45">
        <f>IF('450 nm - 600 nm'!D14="","",(('450 nm - 600 nm'!D14+'450 nm - 600 nm'!G14)/2)-(('450 nm - 600 nm'!J14+'450 nm - 600 nm'!M14)/2))</f>
        <v>-3.5000000000000031E-3</v>
      </c>
      <c r="G18" s="46">
        <f>IF(F18="","",(F18-Controls!$E$10)/(Controls!$E$2-Controls!$E$10))</f>
        <v>-1.746724890829696E-2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 t="s">
        <v>165</v>
      </c>
    </row>
    <row r="19" spans="1:11" ht="15" customHeight="1" thickBot="1">
      <c r="A19" s="72" t="s">
        <v>182</v>
      </c>
      <c r="B19" s="72">
        <v>1</v>
      </c>
      <c r="C19" s="72" t="s">
        <v>111</v>
      </c>
      <c r="D19" s="43">
        <f>IF(Deepwell!D19="","",Deepwell!D19)</f>
        <v>984</v>
      </c>
      <c r="E19" s="44">
        <f>IF(ELISA!B24="","",ELISA!B24)</f>
        <v>2503088</v>
      </c>
      <c r="F19" s="45">
        <f>IF('450 nm - 600 nm'!D15="","",(('450 nm - 600 nm'!D15+'450 nm - 600 nm'!G15)/2)-(('450 nm - 600 nm'!J15+'450 nm - 600 nm'!M15)/2))</f>
        <v>7.9999999999999932E-3</v>
      </c>
      <c r="G19" s="46">
        <f>IF(F19="","",(F19-Controls!$E$10)/(Controls!$E$2-Controls!$E$10))</f>
        <v>2.6200873362445193E-3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 t="s">
        <v>165</v>
      </c>
    </row>
    <row r="20" spans="1:11" ht="15" customHeight="1" thickBot="1">
      <c r="A20" s="72" t="s">
        <v>183</v>
      </c>
      <c r="B20" s="72">
        <v>1</v>
      </c>
      <c r="C20" s="72" t="s">
        <v>115</v>
      </c>
      <c r="D20" s="43">
        <f>IF(Deepwell!D20="","",Deepwell!D20)</f>
        <v>985</v>
      </c>
      <c r="E20" s="44">
        <f>IF(ELISA!B25="","",ELISA!B25)</f>
        <v>2503083</v>
      </c>
      <c r="F20" s="45">
        <f>IF('450 nm - 600 nm'!D16="","",(('450 nm - 600 nm'!D16+'450 nm - 600 nm'!G16)/2)-(('450 nm - 600 nm'!J16+'450 nm - 600 nm'!M16)/2))</f>
        <v>3.3500000000000002E-2</v>
      </c>
      <c r="G20" s="46">
        <f>IF(F20="","",(F20-Controls!$E$10)/(Controls!$E$2-Controls!$E$10))</f>
        <v>4.7161572052401741E-2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 t="s">
        <v>165</v>
      </c>
    </row>
    <row r="21" spans="1:11" ht="15" customHeight="1" thickBot="1">
      <c r="A21" s="72" t="s">
        <v>184</v>
      </c>
      <c r="B21" s="72">
        <v>1</v>
      </c>
      <c r="C21" s="72" t="s">
        <v>119</v>
      </c>
      <c r="D21" s="43">
        <f>IF(Deepwell!D21="","",Deepwell!D21)</f>
        <v>986</v>
      </c>
      <c r="E21" s="44">
        <f>IF(ELISA!B26="","",ELISA!B26)</f>
        <v>250271</v>
      </c>
      <c r="F21" s="45">
        <f>IF('450 nm - 600 nm'!D17="","",(('450 nm - 600 nm'!D17+'450 nm - 600 nm'!G17)/2)-(('450 nm - 600 nm'!J17+'450 nm - 600 nm'!M17)/2))</f>
        <v>2.0500000000000004E-2</v>
      </c>
      <c r="G21" s="46">
        <f>IF(F21="","",(F21-Controls!$E$10)/(Controls!$E$2-Controls!$E$10))</f>
        <v>2.4454148471615717E-2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 t="s">
        <v>165</v>
      </c>
    </row>
    <row r="22" spans="1:11" ht="15" customHeight="1" thickBot="1">
      <c r="A22" s="72" t="s">
        <v>185</v>
      </c>
      <c r="B22" s="72">
        <v>1</v>
      </c>
      <c r="C22" s="72" t="s">
        <v>123</v>
      </c>
      <c r="D22" s="43">
        <f>IF(Deepwell!D22="","",Deepwell!D22)</f>
        <v>987</v>
      </c>
      <c r="E22" s="44">
        <f>IF(ELISA!B27="","",ELISA!B27)</f>
        <v>2502744</v>
      </c>
      <c r="F22" s="45">
        <f>IF('450 nm - 600 nm'!D18="","",(('450 nm - 600 nm'!D18+'450 nm - 600 nm'!G18)/2)-(('450 nm - 600 nm'!J18+'450 nm - 600 nm'!M18)/2))</f>
        <v>0.1</v>
      </c>
      <c r="G22" s="46">
        <f>IF(F22="","",(F22-Controls!$E$10)/(Controls!$E$2-Controls!$E$10))</f>
        <v>0.16331877729257641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 t="s">
        <v>165</v>
      </c>
    </row>
    <row r="23" spans="1:11" ht="15" customHeight="1" thickBot="1">
      <c r="A23" s="72" t="s">
        <v>186</v>
      </c>
      <c r="B23" s="72">
        <v>2</v>
      </c>
      <c r="C23" s="72" t="s">
        <v>44</v>
      </c>
      <c r="D23" s="43">
        <f>IF(Deepwell!E18="","",Deepwell!E18)</f>
        <v>988</v>
      </c>
      <c r="E23" s="44">
        <f>IF(ELISA!F7="","",ELISA!F7)</f>
        <v>2502740</v>
      </c>
      <c r="F23" s="45">
        <f>IF('450 nm - 600 nm'!B26="","",(('450 nm - 600 nm'!B26+'450 nm - 600 nm'!E26)/2)-(('450 nm - 600 nm'!H26+'450 nm - 600 nm'!K26)/2))</f>
        <v>1.0500000000000009E-2</v>
      </c>
      <c r="G23" s="46">
        <f>IF(F23="","",(F23-Controls!$E$11)/(Controls!$E$3-Controls!$E$11))</f>
        <v>3.3333333333333368E-2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 t="s">
        <v>165</v>
      </c>
    </row>
    <row r="24" spans="1:11" ht="15" customHeight="1" thickBot="1">
      <c r="A24" s="72" t="s">
        <v>187</v>
      </c>
      <c r="B24" s="72">
        <v>2</v>
      </c>
      <c r="C24" s="72" t="s">
        <v>48</v>
      </c>
      <c r="D24" s="43">
        <f>IF(Deepwell!E19="","",Deepwell!E19)</f>
        <v>989</v>
      </c>
      <c r="E24" s="44">
        <f>IF(ELISA!F8="","",ELISA!F8)</f>
        <v>2502743</v>
      </c>
      <c r="F24" s="45">
        <f>IF('450 nm - 600 nm'!B27="","",(('450 nm - 600 nm'!B27+'450 nm - 600 nm'!E27)/2)-(('450 nm - 600 nm'!H27+'450 nm - 600 nm'!K27)/2))</f>
        <v>4.500000000000004E-3</v>
      </c>
      <c r="G24" s="46">
        <f>IF(F24="","",(F24-Controls!$E$11)/(Controls!$E$3-Controls!$E$11))</f>
        <v>2.1904761904761927E-2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 t="s">
        <v>165</v>
      </c>
    </row>
    <row r="25" spans="1:11" ht="15" customHeight="1" thickBot="1">
      <c r="A25" s="72" t="s">
        <v>188</v>
      </c>
      <c r="B25" s="72">
        <v>2</v>
      </c>
      <c r="C25" s="72" t="s">
        <v>52</v>
      </c>
      <c r="D25" s="43">
        <f>IF(Deepwell!E20="","",Deepwell!E20)</f>
        <v>990</v>
      </c>
      <c r="E25" s="44">
        <f>IF(ELISA!F9="","",ELISA!F9)</f>
        <v>250274</v>
      </c>
      <c r="F25" s="45">
        <f>IF('450 nm - 600 nm'!B28="","",(('450 nm - 600 nm'!B28+'450 nm - 600 nm'!E28)/2)-(('450 nm - 600 nm'!H28+'450 nm - 600 nm'!K28)/2))</f>
        <v>2.7499999999999997E-2</v>
      </c>
      <c r="G25" s="46">
        <f>IF(F25="","",(F25-Controls!$E$11)/(Controls!$E$3-Controls!$E$11))</f>
        <v>6.5714285714285725E-2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 t="s">
        <v>165</v>
      </c>
    </row>
    <row r="26" spans="1:11" ht="15" customHeight="1" thickBot="1">
      <c r="A26" s="72" t="s">
        <v>189</v>
      </c>
      <c r="B26" s="72">
        <v>2</v>
      </c>
      <c r="C26" s="72" t="s">
        <v>56</v>
      </c>
      <c r="D26" s="43">
        <f>IF(Deepwell!E21="","",Deepwell!E21)</f>
        <v>991</v>
      </c>
      <c r="E26" s="44">
        <f>IF(ELISA!F10="","",ELISA!F10)</f>
        <v>2500725</v>
      </c>
      <c r="F26" s="45">
        <f>IF('450 nm - 600 nm'!B29="","",(('450 nm - 600 nm'!B29+'450 nm - 600 nm'!E29)/2)-(('450 nm - 600 nm'!H29+'450 nm - 600 nm'!K29)/2))</f>
        <v>0.15249999999999997</v>
      </c>
      <c r="G26" s="46">
        <f>IF(F26="","",(F26-Controls!$E$11)/(Controls!$E$3-Controls!$E$11))</f>
        <v>0.30380952380952381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 t="s">
        <v>165</v>
      </c>
    </row>
    <row r="27" spans="1:11" ht="15" customHeight="1" thickBot="1">
      <c r="A27" s="72" t="s">
        <v>190</v>
      </c>
      <c r="B27" s="72">
        <v>2</v>
      </c>
      <c r="C27" s="72" t="s">
        <v>60</v>
      </c>
      <c r="D27" s="43">
        <f>IF(Deepwell!E22="","",Deepwell!E22)</f>
        <v>992</v>
      </c>
      <c r="E27" s="44">
        <f>IF(ELISA!F11="","",ELISA!F11)</f>
        <v>2500730</v>
      </c>
      <c r="F27" s="45">
        <f>IF('450 nm - 600 nm'!B30="","",(('450 nm - 600 nm'!B30+'450 nm - 600 nm'!E30)/2)-(('450 nm - 600 nm'!H30+'450 nm - 600 nm'!K30)/2))</f>
        <v>3.3500000000000002E-2</v>
      </c>
      <c r="G27" s="46">
        <f>IF(F27="","",(F27-Controls!$E$11)/(Controls!$E$3-Controls!$E$11))</f>
        <v>7.7142857142857166E-2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 t="s">
        <v>165</v>
      </c>
    </row>
    <row r="28" spans="1:11" ht="15" customHeight="1" thickBot="1">
      <c r="A28" s="72" t="s">
        <v>191</v>
      </c>
      <c r="B28" s="72">
        <v>2</v>
      </c>
      <c r="C28" s="72" t="s">
        <v>64</v>
      </c>
      <c r="D28" s="43">
        <f>IF(Deepwell!E23="","",Deepwell!E23)</f>
        <v>993</v>
      </c>
      <c r="E28" s="44">
        <f>IF(ELISA!F12="","",ELISA!F12)</f>
        <v>2500136</v>
      </c>
      <c r="F28" s="45">
        <f>IF('450 nm - 600 nm'!B31="","",(('450 nm - 600 nm'!B31+'450 nm - 600 nm'!E31)/2)-(('450 nm - 600 nm'!H31+'450 nm - 600 nm'!K31)/2))</f>
        <v>5.6500000000000009E-2</v>
      </c>
      <c r="G28" s="46">
        <f>IF(F28="","",(F28-Controls!$E$11)/(Controls!$E$3-Controls!$E$11))</f>
        <v>0.12095238095238101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 t="s">
        <v>165</v>
      </c>
    </row>
    <row r="29" spans="1:11" ht="15" customHeight="1" thickBot="1">
      <c r="A29" s="72" t="s">
        <v>192</v>
      </c>
      <c r="B29" s="72">
        <v>2</v>
      </c>
      <c r="C29" s="72" t="s">
        <v>68</v>
      </c>
      <c r="D29" s="43">
        <f>IF(Deepwell!E24="","",Deepwell!E24)</f>
        <v>994</v>
      </c>
      <c r="E29" s="44">
        <f>IF(ELISA!F13="","",ELISA!F13)</f>
        <v>2500127</v>
      </c>
      <c r="F29" s="45">
        <f>IF('450 nm - 600 nm'!B32="","",(('450 nm - 600 nm'!B32+'450 nm - 600 nm'!E32)/2)-(('450 nm - 600 nm'!H32+'450 nm - 600 nm'!K32)/2))</f>
        <v>7.2000000000000008E-2</v>
      </c>
      <c r="G29" s="46">
        <f>IF(F29="","",(F29-Controls!$E$11)/(Controls!$E$3-Controls!$E$11))</f>
        <v>0.15047619047619054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 t="s">
        <v>165</v>
      </c>
    </row>
    <row r="30" spans="1:11" ht="15" customHeight="1" thickBot="1">
      <c r="A30" s="72" t="s">
        <v>193</v>
      </c>
      <c r="B30" s="72">
        <v>2</v>
      </c>
      <c r="C30" s="72" t="s">
        <v>72</v>
      </c>
      <c r="D30" s="43">
        <f>IF(Deepwell!E25="","",Deepwell!E25)</f>
        <v>995</v>
      </c>
      <c r="E30" s="44">
        <f>IF(ELISA!F14="","",ELISA!F14)</f>
        <v>2500133</v>
      </c>
      <c r="F30" s="45">
        <f>IF('450 nm - 600 nm'!B33="","",(('450 nm - 600 nm'!B33+'450 nm - 600 nm'!E33)/2)-(('450 nm - 600 nm'!H33+'450 nm - 600 nm'!K33)/2))</f>
        <v>0.3745</v>
      </c>
      <c r="G30" s="46">
        <f>IF(F30="","",(F30-Controls!$E$11)/(Controls!$E$3-Controls!$E$11))</f>
        <v>0.72666666666666679</v>
      </c>
      <c r="H30" s="43" t="str">
        <f t="shared" si="1"/>
        <v>POS</v>
      </c>
      <c r="I30" s="43" t="str">
        <f t="shared" si="2"/>
        <v>POS</v>
      </c>
      <c r="J30" s="43" t="str">
        <f t="shared" si="3"/>
        <v>P</v>
      </c>
      <c r="K30" s="73" t="s">
        <v>165</v>
      </c>
    </row>
    <row r="31" spans="1:11" ht="15" customHeight="1" thickBot="1">
      <c r="A31" s="72" t="s">
        <v>194</v>
      </c>
      <c r="B31" s="72">
        <v>2</v>
      </c>
      <c r="C31" s="72" t="s">
        <v>76</v>
      </c>
      <c r="D31" s="43">
        <f>IF(Deepwell!F18="","",Deepwell!F18)</f>
        <v>996</v>
      </c>
      <c r="E31" s="44">
        <f>IF(ELISA!F15="","",ELISA!F15)</f>
        <v>2500131</v>
      </c>
      <c r="F31" s="45">
        <f>IF('450 nm - 600 nm'!C26="","",(('450 nm - 600 nm'!C26+'450 nm - 600 nm'!F26)/2)-(('450 nm - 600 nm'!I26+'450 nm - 600 nm'!L26)/2))</f>
        <v>1.5000000000000013E-3</v>
      </c>
      <c r="G31" s="46">
        <f>IF(F31="","",(F31-Controls!$E$11)/(Controls!$E$3-Controls!$E$11))</f>
        <v>1.6190476190476207E-2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 t="s">
        <v>165</v>
      </c>
    </row>
    <row r="32" spans="1:11" ht="15" customHeight="1" thickBot="1">
      <c r="A32" s="72" t="s">
        <v>195</v>
      </c>
      <c r="B32" s="72">
        <v>2</v>
      </c>
      <c r="C32" s="72" t="s">
        <v>80</v>
      </c>
      <c r="D32" s="43">
        <f>IF(Deepwell!F19="","",Deepwell!F19)</f>
        <v>997</v>
      </c>
      <c r="E32" s="44">
        <f>IF(ELISA!F16="","",ELISA!F16)</f>
        <v>2502305</v>
      </c>
      <c r="F32" s="45">
        <f>IF('450 nm - 600 nm'!C27="","",(('450 nm - 600 nm'!C27+'450 nm - 600 nm'!F27)/2)-(('450 nm - 600 nm'!I27+'450 nm - 600 nm'!L27)/2))</f>
        <v>1.55E-2</v>
      </c>
      <c r="G32" s="46">
        <f>IF(F32="","",(F32-Controls!$E$11)/(Controls!$E$3-Controls!$E$11))</f>
        <v>4.2857142857142878E-2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 t="s">
        <v>165</v>
      </c>
    </row>
    <row r="33" spans="1:11" ht="15" customHeight="1" thickBot="1">
      <c r="A33" s="72" t="s">
        <v>196</v>
      </c>
      <c r="B33" s="72">
        <v>2</v>
      </c>
      <c r="C33" s="72" t="s">
        <v>84</v>
      </c>
      <c r="D33" s="43">
        <f>IF(Deepwell!F20="","",Deepwell!F20)</f>
        <v>998</v>
      </c>
      <c r="E33" s="44">
        <f>IF(ELISA!F17="","",ELISA!F17)</f>
        <v>2502081</v>
      </c>
      <c r="F33" s="45">
        <f>IF('450 nm - 600 nm'!C28="","",(('450 nm - 600 nm'!C28+'450 nm - 600 nm'!F28)/2)-(('450 nm - 600 nm'!I28+'450 nm - 600 nm'!L28)/2))</f>
        <v>2.1500000000000005E-2</v>
      </c>
      <c r="G33" s="46">
        <f>IF(F33="","",(F33-Controls!$E$11)/(Controls!$E$3-Controls!$E$11))</f>
        <v>5.4285714285714319E-2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 t="s">
        <v>165</v>
      </c>
    </row>
    <row r="34" spans="1:11" ht="15" customHeight="1" thickBot="1">
      <c r="A34" s="72" t="s">
        <v>197</v>
      </c>
      <c r="B34" s="72">
        <v>2</v>
      </c>
      <c r="C34" s="72" t="s">
        <v>88</v>
      </c>
      <c r="D34" s="43">
        <f>IF(Deepwell!F21="","",Deepwell!F21)</f>
        <v>999</v>
      </c>
      <c r="E34" s="44">
        <f>IF(ELISA!F18="","",ELISA!F18)</f>
        <v>2502328</v>
      </c>
      <c r="F34" s="45">
        <f>IF('450 nm - 600 nm'!C29="","",(('450 nm - 600 nm'!C29+'450 nm - 600 nm'!F29)/2)-(('450 nm - 600 nm'!I29+'450 nm - 600 nm'!L29)/2))</f>
        <v>-1.7500000000000002E-2</v>
      </c>
      <c r="G34" s="46">
        <f>IF(F34="","",(F34-Controls!$E$11)/(Controls!$E$3-Controls!$E$11))</f>
        <v>-1.9999999999999993E-2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 t="s">
        <v>165</v>
      </c>
    </row>
    <row r="35" spans="1:11" ht="15" customHeight="1" thickBot="1">
      <c r="A35" s="72" t="s">
        <v>198</v>
      </c>
      <c r="B35" s="72">
        <v>2</v>
      </c>
      <c r="C35" s="72" t="s">
        <v>92</v>
      </c>
      <c r="D35" s="43">
        <f>IF(Deepwell!F22="","",Deepwell!F22)</f>
        <v>1000</v>
      </c>
      <c r="E35" s="44">
        <f>IF(ELISA!F19="","",ELISA!F19)</f>
        <v>2502313</v>
      </c>
      <c r="F35" s="45">
        <f>IF('450 nm - 600 nm'!C30="","",(('450 nm - 600 nm'!C30+'450 nm - 600 nm'!F30)/2)-(('450 nm - 600 nm'!I30+'450 nm - 600 nm'!L30)/2))</f>
        <v>3.6999999999999991E-2</v>
      </c>
      <c r="G35" s="46">
        <f>IF(F35="","",(F35-Controls!$E$11)/(Controls!$E$3-Controls!$E$11))</f>
        <v>8.380952380952382E-2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 t="s">
        <v>165</v>
      </c>
    </row>
    <row r="36" spans="1:11" ht="15" customHeight="1" thickBot="1">
      <c r="A36" s="72" t="s">
        <v>199</v>
      </c>
      <c r="B36" s="72">
        <v>2</v>
      </c>
      <c r="C36" s="72" t="s">
        <v>96</v>
      </c>
      <c r="D36" s="43">
        <f>IF(Deepwell!F23="","",Deepwell!F23)</f>
        <v>1001</v>
      </c>
      <c r="E36" s="44">
        <f>IF(ELISA!F20="","",ELISA!F20)</f>
        <v>2501067</v>
      </c>
      <c r="F36" s="45">
        <f>IF('450 nm - 600 nm'!C31="","",(('450 nm - 600 nm'!C31+'450 nm - 600 nm'!F31)/2)-(('450 nm - 600 nm'!I31+'450 nm - 600 nm'!L31)/2))</f>
        <v>0.104</v>
      </c>
      <c r="G36" s="46">
        <f>IF(F36="","",(F36-Controls!$E$11)/(Controls!$E$3-Controls!$E$11))</f>
        <v>0.21142857142857147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 t="s">
        <v>165</v>
      </c>
    </row>
    <row r="37" spans="1:11" ht="15" customHeight="1" thickBot="1">
      <c r="A37" s="72" t="s">
        <v>200</v>
      </c>
      <c r="B37" s="72">
        <v>2</v>
      </c>
      <c r="C37" s="72" t="s">
        <v>100</v>
      </c>
      <c r="D37" s="43">
        <f>IF(Deepwell!F24="","",Deepwell!F24)</f>
        <v>1002</v>
      </c>
      <c r="E37" s="44">
        <f>IF(ELISA!F21="","",ELISA!F21)</f>
        <v>2501068</v>
      </c>
      <c r="F37" s="45">
        <f>IF('450 nm - 600 nm'!C32="","",(('450 nm - 600 nm'!C32+'450 nm - 600 nm'!F32)/2)-(('450 nm - 600 nm'!I32+'450 nm - 600 nm'!L32)/2))</f>
        <v>2.6999999999999989E-2</v>
      </c>
      <c r="G37" s="46">
        <f>IF(F37="","",(F37-Controls!$E$11)/(Controls!$E$3-Controls!$E$11))</f>
        <v>6.4761904761904771E-2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 t="s">
        <v>165</v>
      </c>
    </row>
    <row r="38" spans="1:11" ht="15" customHeight="1" thickBot="1">
      <c r="A38" s="72" t="s">
        <v>201</v>
      </c>
      <c r="B38" s="72">
        <v>2</v>
      </c>
      <c r="C38" s="72" t="s">
        <v>104</v>
      </c>
      <c r="D38" s="43">
        <f>IF(Deepwell!F25="","",Deepwell!F25)</f>
        <v>1003</v>
      </c>
      <c r="E38" s="44">
        <f>IF(ELISA!F22="","",ELISA!F22)</f>
        <v>2500893</v>
      </c>
      <c r="F38" s="45">
        <f>IF('450 nm - 600 nm'!C33="","",(('450 nm - 600 nm'!C33+'450 nm - 600 nm'!F33)/2)-(('450 nm - 600 nm'!I33+'450 nm - 600 nm'!L33)/2))</f>
        <v>5.3000000000000019E-2</v>
      </c>
      <c r="G38" s="46">
        <f>IF(F38="","",(F38-Controls!$E$11)/(Controls!$E$3-Controls!$E$11))</f>
        <v>0.11428571428571435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 t="s">
        <v>165</v>
      </c>
    </row>
    <row r="39" spans="1:11" ht="15" customHeight="1" thickBot="1">
      <c r="A39" s="72" t="s">
        <v>202</v>
      </c>
      <c r="B39" s="72">
        <v>2</v>
      </c>
      <c r="C39" s="72" t="s">
        <v>108</v>
      </c>
      <c r="D39" s="43">
        <f>IF(Deepwell!G18="","",Deepwell!G18)</f>
        <v>1004</v>
      </c>
      <c r="E39" s="44">
        <f>IF(ELISA!F23="","",ELISA!F23)</f>
        <v>2500684</v>
      </c>
      <c r="F39" s="45">
        <f>IF('450 nm - 600 nm'!D26="","",(('450 nm - 600 nm'!D26+'450 nm - 600 nm'!G26)/2)-(('450 nm - 600 nm'!J26+'450 nm - 600 nm'!M26)/2))</f>
        <v>2.2000000000000006E-2</v>
      </c>
      <c r="G39" s="46">
        <f>IF(F39="","",(F39-Controls!$E$11)/(Controls!$E$3-Controls!$E$11))</f>
        <v>5.5238095238095267E-2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 t="s">
        <v>165</v>
      </c>
    </row>
    <row r="40" spans="1:11" ht="15" customHeight="1" thickBot="1">
      <c r="A40" s="72" t="s">
        <v>203</v>
      </c>
      <c r="B40" s="72">
        <v>2</v>
      </c>
      <c r="C40" s="72" t="s">
        <v>112</v>
      </c>
      <c r="D40" s="43">
        <f>IF(Deepwell!G19="","",Deepwell!G19)</f>
        <v>1005</v>
      </c>
      <c r="E40" s="44">
        <f>IF(ELISA!F24="","",ELISA!F24)</f>
        <v>2501900</v>
      </c>
      <c r="F40" s="45">
        <f>IF('450 nm - 600 nm'!D27="","",(('450 nm - 600 nm'!D27+'450 nm - 600 nm'!G27)/2)-(('450 nm - 600 nm'!J27+'450 nm - 600 nm'!M27)/2))</f>
        <v>1.0999999999999982E-2</v>
      </c>
      <c r="G40" s="46">
        <f>IF(F40="","",(F40-Controls!$E$11)/(Controls!$E$3-Controls!$E$11))</f>
        <v>3.4285714285714267E-2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 t="s">
        <v>165</v>
      </c>
    </row>
    <row r="41" spans="1:11" ht="15" customHeight="1" thickBot="1">
      <c r="A41" s="72" t="s">
        <v>204</v>
      </c>
      <c r="B41" s="72">
        <v>2</v>
      </c>
      <c r="C41" s="72" t="s">
        <v>116</v>
      </c>
      <c r="D41" s="43">
        <f>IF(Deepwell!G20="","",Deepwell!G20)</f>
        <v>1006</v>
      </c>
      <c r="E41" s="44">
        <f>IF(ELISA!F25="","",ELISA!F25)</f>
        <v>2500874</v>
      </c>
      <c r="F41" s="45">
        <f>IF('450 nm - 600 nm'!D28="","",(('450 nm - 600 nm'!D28+'450 nm - 600 nm'!G28)/2)-(('450 nm - 600 nm'!J28+'450 nm - 600 nm'!M28)/2))</f>
        <v>3.9499999999999993E-2</v>
      </c>
      <c r="G41" s="46">
        <f>IF(F41="","",(F41-Controls!$E$11)/(Controls!$E$3-Controls!$E$11))</f>
        <v>8.8571428571428593E-2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 t="s">
        <v>165</v>
      </c>
    </row>
    <row r="42" spans="1:11" ht="15" customHeight="1" thickBot="1">
      <c r="A42" s="72" t="s">
        <v>205</v>
      </c>
      <c r="B42" s="72">
        <v>2</v>
      </c>
      <c r="C42" s="72" t="s">
        <v>120</v>
      </c>
      <c r="D42" s="43">
        <f>IF(Deepwell!G21="","",Deepwell!G21)</f>
        <v>1007</v>
      </c>
      <c r="E42" s="44">
        <f>IF(ELISA!F26="","",ELISA!F26)</f>
        <v>2500872</v>
      </c>
      <c r="F42" s="45">
        <f>IF('450 nm - 600 nm'!D29="","",(('450 nm - 600 nm'!D29+'450 nm - 600 nm'!G29)/2)-(('450 nm - 600 nm'!J29+'450 nm - 600 nm'!M29)/2))</f>
        <v>2.0000000000000004E-2</v>
      </c>
      <c r="G42" s="46">
        <f>IF(F42="","",(F42-Controls!$E$11)/(Controls!$E$3-Controls!$E$11))</f>
        <v>5.1428571428571455E-2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 t="s">
        <v>165</v>
      </c>
    </row>
    <row r="43" spans="1:11" ht="15" customHeight="1" thickBot="1">
      <c r="A43" s="72" t="s">
        <v>206</v>
      </c>
      <c r="B43" s="72">
        <v>2</v>
      </c>
      <c r="C43" s="72" t="s">
        <v>124</v>
      </c>
      <c r="D43" s="43">
        <f>IF(Deepwell!G22="","",Deepwell!G22)</f>
        <v>1008</v>
      </c>
      <c r="E43" s="44">
        <f>IF(ELISA!F27="","",ELISA!F27)</f>
        <v>2501018</v>
      </c>
      <c r="F43" s="45">
        <f>IF('450 nm - 600 nm'!D30="","",(('450 nm - 600 nm'!D30+'450 nm - 600 nm'!G30)/2)-(('450 nm - 600 nm'!J30+'450 nm - 600 nm'!M30)/2))</f>
        <v>5.1999999999999991E-2</v>
      </c>
      <c r="G43" s="46">
        <f>IF(F43="","",(F43-Controls!$E$11)/(Controls!$E$3-Controls!$E$11))</f>
        <v>0.1123809523809524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 t="s">
        <v>165</v>
      </c>
    </row>
    <row r="44" spans="1:11" ht="15" customHeight="1" thickBot="1">
      <c r="A44" s="72" t="s">
        <v>207</v>
      </c>
      <c r="B44" s="72">
        <v>3</v>
      </c>
      <c r="C44" s="72" t="s">
        <v>45</v>
      </c>
      <c r="D44" s="43">
        <f>IF(Deepwell!H18="","",Deepwell!H18)</f>
        <v>1009</v>
      </c>
      <c r="E44" s="44">
        <f>IF(ELISA!J7="","",ELISA!J7)</f>
        <v>2500898</v>
      </c>
      <c r="F44" s="45">
        <f>IF('450 nm - 600 nm'!B38="","",(('450 nm - 600 nm'!B38+'450 nm - 600 nm'!E38)/2)-(('450 nm - 600 nm'!H38+'450 nm - 600 nm'!K38)/2))</f>
        <v>-3.5000000000000031E-3</v>
      </c>
      <c r="G44" s="46">
        <f>IF(F44="","",(F44-Controls!$E$12)/(Controls!E$4-Controls!$E$12))</f>
        <v>-4.8517520215633466E-3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 t="s">
        <v>165</v>
      </c>
    </row>
    <row r="45" spans="1:11" ht="15" customHeight="1" thickBot="1">
      <c r="A45" s="72" t="s">
        <v>208</v>
      </c>
      <c r="B45" s="72">
        <v>3</v>
      </c>
      <c r="C45" s="72" t="s">
        <v>49</v>
      </c>
      <c r="D45" s="43">
        <f>IF(Deepwell!H19="","",Deepwell!H19)</f>
        <v>1010</v>
      </c>
      <c r="E45" s="44">
        <f>IF(ELISA!J8="","",ELISA!J8)</f>
        <v>2502219</v>
      </c>
      <c r="F45" s="45">
        <f>IF('450 nm - 600 nm'!B39="","",(('450 nm - 600 nm'!B39+'450 nm - 600 nm'!E39)/2)-(('450 nm - 600 nm'!H39+'450 nm - 600 nm'!K39)/2))</f>
        <v>4.7500000000000014E-2</v>
      </c>
      <c r="G45" s="46">
        <f>IF(F45="","",(F45-Controls!$E$12)/(Controls!E$4-Controls!$E$12))</f>
        <v>5.0134770889487888E-2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 t="s">
        <v>165</v>
      </c>
    </row>
    <row r="46" spans="1:11" ht="15" customHeight="1" thickBot="1">
      <c r="A46" s="72" t="s">
        <v>209</v>
      </c>
      <c r="B46" s="72">
        <v>3</v>
      </c>
      <c r="C46" s="72" t="s">
        <v>53</v>
      </c>
      <c r="D46" s="43">
        <f>IF(Deepwell!H20="","",Deepwell!H20)</f>
        <v>1011</v>
      </c>
      <c r="E46" s="44">
        <f>IF(ELISA!J9="","",ELISA!J9)</f>
        <v>2502236</v>
      </c>
      <c r="F46" s="45">
        <f>IF('450 nm - 600 nm'!B40="","",(('450 nm - 600 nm'!B40+'450 nm - 600 nm'!E40)/2)-(('450 nm - 600 nm'!H40+'450 nm - 600 nm'!K40)/2))</f>
        <v>-2.4499999999999994E-2</v>
      </c>
      <c r="G46" s="46">
        <f>IF(F46="","",(F46-Controls!$E$12)/(Controls!E$4-Controls!$E$12))</f>
        <v>-2.7493261455525601E-2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 t="s">
        <v>165</v>
      </c>
    </row>
    <row r="47" spans="1:11" ht="15" customHeight="1" thickBot="1">
      <c r="A47" s="72" t="s">
        <v>210</v>
      </c>
      <c r="B47" s="72">
        <v>3</v>
      </c>
      <c r="C47" s="72" t="s">
        <v>57</v>
      </c>
      <c r="D47" s="43">
        <f>IF(Deepwell!H21="","",Deepwell!H21)</f>
        <v>1012</v>
      </c>
      <c r="E47" s="44">
        <f>IF(ELISA!J10="","",ELISA!J10)</f>
        <v>2502233</v>
      </c>
      <c r="F47" s="45">
        <f>IF('450 nm - 600 nm'!B41="","",(('450 nm - 600 nm'!B41+'450 nm - 600 nm'!E41)/2)-(('450 nm - 600 nm'!H41+'450 nm - 600 nm'!K41)/2))</f>
        <v>-3.3999999999999989E-2</v>
      </c>
      <c r="G47" s="46">
        <f>IF(F47="","",(F47-Controls!$E$12)/(Controls!E$4-Controls!$E$12))</f>
        <v>-3.7735849056603765E-2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 t="s">
        <v>165</v>
      </c>
    </row>
    <row r="48" spans="1:11" ht="15" customHeight="1" thickBot="1">
      <c r="A48" s="72" t="s">
        <v>211</v>
      </c>
      <c r="B48" s="72">
        <v>3</v>
      </c>
      <c r="C48" s="72" t="s">
        <v>61</v>
      </c>
      <c r="D48" s="43">
        <f>IF(Deepwell!H22="","",Deepwell!H22)</f>
        <v>1013</v>
      </c>
      <c r="E48" s="44">
        <f>IF(ELISA!J11="","",ELISA!J11)</f>
        <v>2502235</v>
      </c>
      <c r="F48" s="45">
        <f>IF('450 nm - 600 nm'!B42="","",(('450 nm - 600 nm'!B42+'450 nm - 600 nm'!E42)/2)-(('450 nm - 600 nm'!H42+'450 nm - 600 nm'!K42)/2))</f>
        <v>5.4999999999999993E-2</v>
      </c>
      <c r="G48" s="46">
        <f>IF(F48="","",(F48-Controls!$E$12)/(Controls!E$4-Controls!$E$12))</f>
        <v>5.82210242587601E-2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 t="s">
        <v>165</v>
      </c>
    </row>
    <row r="49" spans="1:11" ht="15" customHeight="1" thickBot="1">
      <c r="A49" s="72" t="s">
        <v>212</v>
      </c>
      <c r="B49" s="72">
        <v>3</v>
      </c>
      <c r="C49" s="72" t="s">
        <v>65</v>
      </c>
      <c r="D49" s="43">
        <f>IF(Deepwell!H23="","",Deepwell!H23)</f>
        <v>1014</v>
      </c>
      <c r="E49" s="44">
        <f>IF(ELISA!J12="","",ELISA!J12)</f>
        <v>2502244</v>
      </c>
      <c r="F49" s="45">
        <f>IF('450 nm - 600 nm'!B43="","",(('450 nm - 600 nm'!B43+'450 nm - 600 nm'!E43)/2)-(('450 nm - 600 nm'!H43+'450 nm - 600 nm'!K43)/2))</f>
        <v>-2.4000000000000021E-2</v>
      </c>
      <c r="G49" s="46">
        <f>IF(F49="","",(F49-Controls!$E$12)/(Controls!E$4-Controls!$E$12))</f>
        <v>-2.695417789757415E-2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 t="s">
        <v>165</v>
      </c>
    </row>
    <row r="50" spans="1:11" ht="15" customHeight="1" thickBot="1">
      <c r="A50" s="72" t="s">
        <v>213</v>
      </c>
      <c r="B50" s="72">
        <v>3</v>
      </c>
      <c r="C50" s="72" t="s">
        <v>69</v>
      </c>
      <c r="D50" s="43">
        <f>IF(Deepwell!H24="","",Deepwell!H24)</f>
        <v>1015</v>
      </c>
      <c r="E50" s="44">
        <f>IF(ELISA!J13="","",ELISA!J13)</f>
        <v>2502214</v>
      </c>
      <c r="F50" s="45">
        <f>IF('450 nm - 600 nm'!B44="","",(('450 nm - 600 nm'!B44+'450 nm - 600 nm'!E44)/2)-(('450 nm - 600 nm'!H44+'450 nm - 600 nm'!K44)/2))</f>
        <v>4.1500000000000009E-2</v>
      </c>
      <c r="G50" s="46">
        <f>IF(F50="","",(F50-Controls!$E$12)/(Controls!E$4-Controls!$E$12))</f>
        <v>4.3665768194070087E-2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 t="s">
        <v>165</v>
      </c>
    </row>
    <row r="51" spans="1:11" ht="15" customHeight="1" thickBot="1">
      <c r="A51" s="72" t="s">
        <v>214</v>
      </c>
      <c r="B51" s="72">
        <v>3</v>
      </c>
      <c r="C51" s="72" t="s">
        <v>73</v>
      </c>
      <c r="D51" s="43">
        <f>IF(Deepwell!H25="","",Deepwell!H25)</f>
        <v>1016</v>
      </c>
      <c r="E51" s="44">
        <f>IF(ELISA!J14="","",ELISA!J14)</f>
        <v>2501191</v>
      </c>
      <c r="F51" s="45">
        <f>IF('450 nm - 600 nm'!B45="","",(('450 nm - 600 nm'!B45+'450 nm - 600 nm'!E45)/2)-(('450 nm - 600 nm'!H45+'450 nm - 600 nm'!K45)/2))</f>
        <v>7.0000000000000062E-3</v>
      </c>
      <c r="G51" s="46">
        <f>IF(F51="","",(F51-Controls!$E$12)/(Controls!E$4-Controls!$E$12))</f>
        <v>6.4690026954177951E-3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 t="s">
        <v>165</v>
      </c>
    </row>
    <row r="52" spans="1:11" ht="15" customHeight="1" thickBot="1">
      <c r="A52" s="72" t="s">
        <v>215</v>
      </c>
      <c r="B52" s="72">
        <v>3</v>
      </c>
      <c r="C52" s="72" t="s">
        <v>77</v>
      </c>
      <c r="D52" s="43">
        <f>IF(Deepwell!I18="","",Deepwell!I18)</f>
        <v>1017</v>
      </c>
      <c r="E52" s="44">
        <f>IF(ELISA!J15="","",ELISA!J15)</f>
        <v>2501178</v>
      </c>
      <c r="F52" s="45">
        <f>IF('450 nm - 600 nm'!C38="","",(('450 nm - 600 nm'!C38+'450 nm - 600 nm'!F38)/2)-(('450 nm - 600 nm'!I38+'450 nm - 600 nm'!L38)/2))</f>
        <v>7.9999999999999932E-3</v>
      </c>
      <c r="G52" s="46">
        <f>IF(F52="","",(F52-Controls!$E$12)/(Controls!E$4-Controls!$E$12))</f>
        <v>7.5471698113207461E-3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 t="s">
        <v>165</v>
      </c>
    </row>
    <row r="53" spans="1:11" ht="15" customHeight="1" thickBot="1">
      <c r="A53" s="72" t="s">
        <v>216</v>
      </c>
      <c r="B53" s="72">
        <v>3</v>
      </c>
      <c r="C53" s="72" t="s">
        <v>81</v>
      </c>
      <c r="D53" s="43">
        <f>IF(Deepwell!I19="","",Deepwell!I19)</f>
        <v>1018</v>
      </c>
      <c r="E53" s="44">
        <f>IF(ELISA!J16="","",ELISA!J16)</f>
        <v>2501199</v>
      </c>
      <c r="F53" s="45">
        <f>IF('450 nm - 600 nm'!C39="","",(('450 nm - 600 nm'!C39+'450 nm - 600 nm'!F39)/2)-(('450 nm - 600 nm'!I39+'450 nm - 600 nm'!L39)/2))</f>
        <v>1.55E-2</v>
      </c>
      <c r="G53" s="46">
        <f>IF(F53="","",(F53-Controls!$E$12)/(Controls!E$4-Controls!$E$12))</f>
        <v>1.5633423180592992E-2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 t="s">
        <v>165</v>
      </c>
    </row>
    <row r="54" spans="1:11" ht="15" customHeight="1" thickBot="1">
      <c r="A54" s="72" t="s">
        <v>217</v>
      </c>
      <c r="B54" s="72">
        <v>3</v>
      </c>
      <c r="C54" s="72" t="s">
        <v>85</v>
      </c>
      <c r="D54" s="43">
        <f>IF(Deepwell!I20="","",Deepwell!I20)</f>
        <v>1019</v>
      </c>
      <c r="E54" s="44">
        <f>IF(ELISA!J17="","",ELISA!J17)</f>
        <v>2502883</v>
      </c>
      <c r="F54" s="45">
        <f>IF('450 nm - 600 nm'!C40="","",(('450 nm - 600 nm'!C40+'450 nm - 600 nm'!F40)/2)-(('450 nm - 600 nm'!I40+'450 nm - 600 nm'!L40)/2))</f>
        <v>1.1999999999999997E-2</v>
      </c>
      <c r="G54" s="46">
        <f>IF(F54="","",(F54-Controls!$E$12)/(Controls!E$4-Controls!$E$12))</f>
        <v>1.1859838274932611E-2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 t="s">
        <v>165</v>
      </c>
    </row>
    <row r="55" spans="1:11" ht="15" customHeight="1" thickBot="1">
      <c r="A55" s="72" t="s">
        <v>218</v>
      </c>
      <c r="B55" s="72">
        <v>3</v>
      </c>
      <c r="C55" s="72" t="s">
        <v>89</v>
      </c>
      <c r="D55" s="43">
        <f>IF(Deepwell!I21="","",Deepwell!I21)</f>
        <v>1020</v>
      </c>
      <c r="E55" s="44">
        <f>IF(ELISA!J18="","",ELISA!J18)</f>
        <v>2502843</v>
      </c>
      <c r="F55" s="45">
        <f>IF('450 nm - 600 nm'!C41="","",(('450 nm - 600 nm'!C41+'450 nm - 600 nm'!F41)/2)-(('450 nm - 600 nm'!I41+'450 nm - 600 nm'!L41)/2))</f>
        <v>5.2000000000000005E-2</v>
      </c>
      <c r="G55" s="46">
        <f>IF(F55="","",(F55-Controls!$E$12)/(Controls!E$4-Controls!$E$12))</f>
        <v>5.4986522911051217E-2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 t="s">
        <v>165</v>
      </c>
    </row>
    <row r="56" spans="1:11" ht="15" customHeight="1" thickBot="1">
      <c r="A56" s="72" t="s">
        <v>219</v>
      </c>
      <c r="B56" s="72">
        <v>3</v>
      </c>
      <c r="C56" s="72" t="s">
        <v>93</v>
      </c>
      <c r="D56" s="43">
        <f>IF(Deepwell!I22="","",Deepwell!I22)</f>
        <v>1021</v>
      </c>
      <c r="E56" s="44">
        <f>IF(ELISA!J19="","",ELISA!J19)</f>
        <v>2501141</v>
      </c>
      <c r="F56" s="45">
        <f>IF('450 nm - 600 nm'!C42="","",(('450 nm - 600 nm'!C42+'450 nm - 600 nm'!F42)/2)-(('450 nm - 600 nm'!I42+'450 nm - 600 nm'!L42)/2))</f>
        <v>3.9500000000000007E-2</v>
      </c>
      <c r="G56" s="46">
        <f>IF(F56="","",(F56-Controls!$E$12)/(Controls!E$4-Controls!$E$12))</f>
        <v>4.1509433962264156E-2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 t="s">
        <v>165</v>
      </c>
    </row>
    <row r="57" spans="1:11" ht="15" customHeight="1" thickBot="1">
      <c r="A57" s="72" t="s">
        <v>220</v>
      </c>
      <c r="B57" s="72">
        <v>3</v>
      </c>
      <c r="C57" s="72" t="s">
        <v>97</v>
      </c>
      <c r="D57" s="43">
        <f>IF(Deepwell!I23="","",Deepwell!I23)</f>
        <v>1022</v>
      </c>
      <c r="E57" s="44">
        <f>IF(ELISA!J20="","",ELISA!J20)</f>
        <v>2502851</v>
      </c>
      <c r="F57" s="45">
        <f>IF('450 nm - 600 nm'!C43="","",(('450 nm - 600 nm'!C43+'450 nm - 600 nm'!F43)/2)-(('450 nm - 600 nm'!I43+'450 nm - 600 nm'!L43)/2))</f>
        <v>-7.0000000000000062E-3</v>
      </c>
      <c r="G57" s="46">
        <f>IF(F57="","",(F57-Controls!$E$12)/(Controls!E$4-Controls!$E$12))</f>
        <v>-8.6253369272237274E-3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 t="s">
        <v>165</v>
      </c>
    </row>
    <row r="58" spans="1:11" ht="15" customHeight="1" thickBot="1">
      <c r="A58" s="72" t="s">
        <v>221</v>
      </c>
      <c r="B58" s="72">
        <v>3</v>
      </c>
      <c r="C58" s="72" t="s">
        <v>101</v>
      </c>
      <c r="D58" s="43">
        <f>IF(Deepwell!I24="","",Deepwell!I24)</f>
        <v>1023</v>
      </c>
      <c r="E58" s="44">
        <f>IF(ELISA!J21="","",ELISA!J21)</f>
        <v>2502850</v>
      </c>
      <c r="F58" s="45">
        <f>IF('450 nm - 600 nm'!C44="","",(('450 nm - 600 nm'!C44+'450 nm - 600 nm'!F44)/2)-(('450 nm - 600 nm'!I44+'450 nm - 600 nm'!L44)/2))</f>
        <v>7.1000000000000008E-2</v>
      </c>
      <c r="G58" s="46">
        <f>IF(F58="","",(F58-Controls!$E$12)/(Controls!E$4-Controls!$E$12))</f>
        <v>7.5471698113207558E-2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 t="s">
        <v>165</v>
      </c>
    </row>
    <row r="59" spans="1:11" ht="15" customHeight="1" thickBot="1">
      <c r="A59" s="72" t="s">
        <v>222</v>
      </c>
      <c r="B59" s="72">
        <v>3</v>
      </c>
      <c r="C59" s="72" t="s">
        <v>105</v>
      </c>
      <c r="D59" s="43">
        <f>IF(Deepwell!I25="","",Deepwell!I25)</f>
        <v>1024</v>
      </c>
      <c r="E59" s="44">
        <f>IF(ELISA!J22="","",ELISA!J22)</f>
        <v>2500852</v>
      </c>
      <c r="F59" s="45">
        <f>IF('450 nm - 600 nm'!C45="","",(('450 nm - 600 nm'!C45+'450 nm - 600 nm'!F45)/2)-(('450 nm - 600 nm'!I45+'450 nm - 600 nm'!L45)/2))</f>
        <v>9.000000000000008E-3</v>
      </c>
      <c r="G59" s="46">
        <f>IF(F59="","",(F59-Controls!$E$12)/(Controls!E$4-Controls!$E$12))</f>
        <v>8.6253369272237274E-3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 t="s">
        <v>165</v>
      </c>
    </row>
    <row r="60" spans="1:11" ht="15" customHeight="1" thickBot="1">
      <c r="A60" s="72" t="s">
        <v>223</v>
      </c>
      <c r="B60" s="72">
        <v>3</v>
      </c>
      <c r="C60" s="72" t="s">
        <v>109</v>
      </c>
      <c r="D60" s="43">
        <f>IF(Deepwell!J18="","",Deepwell!J18)</f>
        <v>1025</v>
      </c>
      <c r="E60" s="44">
        <f>IF(ELISA!J23="","",ELISA!J23)</f>
        <v>2501117</v>
      </c>
      <c r="F60" s="45">
        <f>IF('450 nm - 600 nm'!D38="","",(('450 nm - 600 nm'!D38+'450 nm - 600 nm'!G38)/2)-(('450 nm - 600 nm'!J38+'450 nm - 600 nm'!M38)/2))</f>
        <v>4.9999999999999989E-2</v>
      </c>
      <c r="G60" s="46">
        <f>IF(F60="","",(F60-Controls!$E$12)/(Controls!E$4-Controls!$E$12))</f>
        <v>5.2830188679245271E-2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 t="s">
        <v>165</v>
      </c>
    </row>
    <row r="61" spans="1:11" ht="15" customHeight="1" thickBot="1">
      <c r="A61" s="72" t="s">
        <v>224</v>
      </c>
      <c r="B61" s="72">
        <v>3</v>
      </c>
      <c r="C61" s="72" t="s">
        <v>113</v>
      </c>
      <c r="D61" s="43">
        <f>IF(Deepwell!J19="","",Deepwell!J19)</f>
        <v>1026</v>
      </c>
      <c r="E61" s="44">
        <f>IF(ELISA!J24="","",ELISA!J24)</f>
        <v>2501906</v>
      </c>
      <c r="F61" s="45">
        <f>IF('450 nm - 600 nm'!D39="","",(('450 nm - 600 nm'!D39+'450 nm - 600 nm'!G39)/2)-(('450 nm - 600 nm'!J39+'450 nm - 600 nm'!M39)/2))</f>
        <v>8.0000000000000071E-3</v>
      </c>
      <c r="G61" s="46">
        <f>IF(F61="","",(F61-Controls!$E$12)/(Controls!E$4-Controls!$E$12))</f>
        <v>7.5471698113207617E-3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 t="s">
        <v>165</v>
      </c>
    </row>
    <row r="62" spans="1:11" ht="15" customHeight="1" thickBot="1">
      <c r="A62" s="72" t="s">
        <v>225</v>
      </c>
      <c r="B62" s="72">
        <v>3</v>
      </c>
      <c r="C62" s="72" t="s">
        <v>117</v>
      </c>
      <c r="D62" s="43">
        <f>IF(Deepwell!J20="","",Deepwell!J20)</f>
        <v>1027</v>
      </c>
      <c r="E62" s="44">
        <f>IF(ELISA!J25="","",ELISA!J25)</f>
        <v>2402781</v>
      </c>
      <c r="F62" s="45">
        <f>IF('450 nm - 600 nm'!D40="","",(('450 nm - 600 nm'!D40+'450 nm - 600 nm'!G40)/2)-(('450 nm - 600 nm'!J40+'450 nm - 600 nm'!M40)/2))</f>
        <v>-2.2499999999999992E-2</v>
      </c>
      <c r="G62" s="46">
        <f>IF(F62="","",(F62-Controls!$E$12)/(Controls!E$4-Controls!$E$12))</f>
        <v>-2.533692722371967E-2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 t="s">
        <v>165</v>
      </c>
    </row>
    <row r="63" spans="1:11" ht="15" customHeight="1" thickBot="1">
      <c r="A63" s="72" t="s">
        <v>226</v>
      </c>
      <c r="B63" s="72">
        <v>3</v>
      </c>
      <c r="C63" s="72" t="s">
        <v>121</v>
      </c>
      <c r="D63" s="43">
        <f>IF(Deepwell!J21="","",Deepwell!J21)</f>
        <v>1028</v>
      </c>
      <c r="E63" s="44">
        <f>IF(ELISA!J26="","",ELISA!J26)</f>
        <v>2402568</v>
      </c>
      <c r="F63" s="45">
        <f>IF('450 nm - 600 nm'!D41="","",(('450 nm - 600 nm'!D41+'450 nm - 600 nm'!G41)/2)-(('450 nm - 600 nm'!J41+'450 nm - 600 nm'!M41)/2))</f>
        <v>0.11050000000000001</v>
      </c>
      <c r="G63" s="46">
        <f>IF(F63="","",(F63-Controls!$E$12)/(Controls!E$4-Controls!$E$12))</f>
        <v>0.11805929919137467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 t="s">
        <v>165</v>
      </c>
    </row>
    <row r="64" spans="1:11" ht="15" customHeight="1" thickBot="1">
      <c r="A64" s="72" t="s">
        <v>227</v>
      </c>
      <c r="B64" s="72">
        <v>3</v>
      </c>
      <c r="C64" s="72" t="s">
        <v>125</v>
      </c>
      <c r="D64" s="43">
        <f>IF(Deepwell!J22="","",Deepwell!J22)</f>
        <v>1029</v>
      </c>
      <c r="E64" s="44">
        <f>IF(ELISA!J27="","",ELISA!J27)</f>
        <v>2502317</v>
      </c>
      <c r="F64" s="45">
        <f>IF('450 nm - 600 nm'!D42="","",(('450 nm - 600 nm'!D42+'450 nm - 600 nm'!G42)/2)-(('450 nm - 600 nm'!J42+'450 nm - 600 nm'!M42)/2))</f>
        <v>1.4999999999999999E-2</v>
      </c>
      <c r="G64" s="46">
        <f>IF(F64="","",(F64-Controls!$E$12)/(Controls!E$4-Controls!$E$12))</f>
        <v>1.5094339622641508E-2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 t="s">
        <v>165</v>
      </c>
    </row>
    <row r="65" spans="1:11" ht="15" customHeight="1" thickBot="1">
      <c r="A65" s="72" t="s">
        <v>228</v>
      </c>
      <c r="B65" s="72">
        <v>4</v>
      </c>
      <c r="C65" s="72" t="s">
        <v>46</v>
      </c>
      <c r="D65" s="43">
        <f>IF(Deepwell!K18="","",Deepwell!K18)</f>
        <v>1030</v>
      </c>
      <c r="E65" s="44">
        <f>IF(ELISA!N7="","",ELISA!N7)</f>
        <v>2502327</v>
      </c>
      <c r="F65" s="45">
        <f>IF('450 nm - 600 nm'!B50="","",(('450 nm - 600 nm'!B50+'450 nm - 600 nm'!E50)/2)-(('450 nm - 600 nm'!H50+'450 nm - 600 nm'!K50)/2))</f>
        <v>1.5000000000000013E-3</v>
      </c>
      <c r="G65" s="46">
        <f>IF(F65="","",(F65-Controls!$E$13)/(Controls!E$5-Controls!$E$13))</f>
        <v>-9.6038415366146452E-3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 t="s">
        <v>165</v>
      </c>
    </row>
    <row r="66" spans="1:11" ht="15" customHeight="1" thickBot="1">
      <c r="A66" s="72" t="s">
        <v>229</v>
      </c>
      <c r="B66" s="72">
        <v>4</v>
      </c>
      <c r="C66" s="72" t="s">
        <v>50</v>
      </c>
      <c r="D66" s="43">
        <f>IF(Deepwell!K19="","",Deepwell!K19)</f>
        <v>1031</v>
      </c>
      <c r="E66" s="44">
        <f>IF(ELISA!N8="","",ELISA!N8)</f>
        <v>2501932</v>
      </c>
      <c r="F66" s="45">
        <f>IF('450 nm - 600 nm'!B51="","",(('450 nm - 600 nm'!B51+'450 nm - 600 nm'!E51)/2)-(('450 nm - 600 nm'!H51+'450 nm - 600 nm'!K51)/2))</f>
        <v>-7.0000000000000062E-3</v>
      </c>
      <c r="G66" s="46">
        <f>IF(F66="","",(F66-Controls!$E$13)/(Controls!E$5-Controls!$E$13))</f>
        <v>-1.9807923169267716E-2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 t="s">
        <v>165</v>
      </c>
    </row>
    <row r="67" spans="1:11" ht="15" customHeight="1" thickBot="1">
      <c r="A67" s="72" t="s">
        <v>230</v>
      </c>
      <c r="B67" s="72">
        <v>4</v>
      </c>
      <c r="C67" s="72" t="s">
        <v>54</v>
      </c>
      <c r="D67" s="43">
        <f>IF(Deepwell!K20="","",Deepwell!K20)</f>
        <v>1032</v>
      </c>
      <c r="E67" s="44">
        <f>IF(ELISA!N9="","",ELISA!N9)</f>
        <v>2500686</v>
      </c>
      <c r="F67" s="45">
        <f>IF('450 nm - 600 nm'!B52="","",(('450 nm - 600 nm'!B52+'450 nm - 600 nm'!E52)/2)-(('450 nm - 600 nm'!H52+'450 nm - 600 nm'!K52)/2))</f>
        <v>0.39050000000000001</v>
      </c>
      <c r="G67" s="46">
        <f>IF(F67="","",(F67-Controls!$E$13)/(Controls!E$5-Controls!$E$13))</f>
        <v>0.45738295318127248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 t="s">
        <v>165</v>
      </c>
    </row>
    <row r="68" spans="1:11" ht="15" customHeight="1" thickBot="1">
      <c r="A68" s="72" t="s">
        <v>231</v>
      </c>
      <c r="B68" s="72">
        <v>4</v>
      </c>
      <c r="C68" s="72" t="s">
        <v>58</v>
      </c>
      <c r="D68" s="43">
        <f>IF(Deepwell!K21="","",Deepwell!K21)</f>
        <v>1033</v>
      </c>
      <c r="E68" s="44">
        <f>IF(ELISA!N10="","",ELISA!N10)</f>
        <v>2500608</v>
      </c>
      <c r="F68" s="45">
        <f>IF('450 nm - 600 nm'!B53="","",(('450 nm - 600 nm'!B53+'450 nm - 600 nm'!E53)/2)-(('450 nm - 600 nm'!H53+'450 nm - 600 nm'!K53)/2))</f>
        <v>0.29500000000000004</v>
      </c>
      <c r="G68" s="46">
        <f>IF(F68="","",(F68-Controls!$E$13)/(Controls!E$5-Controls!$E$13))</f>
        <v>0.34273709483793519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 t="s">
        <v>165</v>
      </c>
    </row>
    <row r="69" spans="1:11" ht="15" customHeight="1" thickBot="1">
      <c r="A69" s="72" t="s">
        <v>232</v>
      </c>
      <c r="B69" s="72">
        <v>4</v>
      </c>
      <c r="C69" s="72" t="s">
        <v>62</v>
      </c>
      <c r="D69" s="43">
        <f>IF(Deepwell!K22="","",Deepwell!K22)</f>
        <v>1034</v>
      </c>
      <c r="E69" s="44">
        <f>IF(ELISA!N11="","",ELISA!N11)</f>
        <v>2501973</v>
      </c>
      <c r="F69" s="45">
        <f>IF('450 nm - 600 nm'!B54="","",(('450 nm - 600 nm'!B54+'450 nm - 600 nm'!E54)/2)-(('450 nm - 600 nm'!H54+'450 nm - 600 nm'!K54)/2))</f>
        <v>-1.3499999999999984E-2</v>
      </c>
      <c r="G69" s="46">
        <f>IF(F69="","",(F69-Controls!$E$13)/(Controls!E$5-Controls!$E$13))</f>
        <v>-2.7611044417767086E-2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 t="s">
        <v>165</v>
      </c>
    </row>
    <row r="70" spans="1:11" ht="15" customHeight="1" thickBot="1">
      <c r="A70" s="72" t="s">
        <v>233</v>
      </c>
      <c r="B70" s="72">
        <v>4</v>
      </c>
      <c r="C70" s="72" t="s">
        <v>66</v>
      </c>
      <c r="D70" s="43">
        <f>IF(Deepwell!K23="","",Deepwell!K23)</f>
        <v>1035</v>
      </c>
      <c r="E70" s="44">
        <f>IF(ELISA!N12="","",ELISA!N12)</f>
        <v>2501534</v>
      </c>
      <c r="F70" s="45">
        <f>IF('450 nm - 600 nm'!B55="","",(('450 nm - 600 nm'!B55+'450 nm - 600 nm'!E55)/2)-(('450 nm - 600 nm'!H55+'450 nm - 600 nm'!K55)/2))</f>
        <v>-1.0000000000000009E-3</v>
      </c>
      <c r="G70" s="46">
        <f>IF(F70="","",(F70-Controls!$E$13)/(Controls!E$5-Controls!$E$13))</f>
        <v>-1.2605042016806725E-2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 t="s">
        <v>165</v>
      </c>
    </row>
    <row r="71" spans="1:11" ht="15" customHeight="1" thickBot="1">
      <c r="A71" s="72" t="s">
        <v>234</v>
      </c>
      <c r="B71" s="72">
        <v>4</v>
      </c>
      <c r="C71" s="72" t="s">
        <v>70</v>
      </c>
      <c r="D71" s="43">
        <f>IF(Deepwell!K24="","",Deepwell!K24)</f>
        <v>1036</v>
      </c>
      <c r="E71" s="44">
        <f>IF(ELISA!N13="","",ELISA!N13)</f>
        <v>2500700</v>
      </c>
      <c r="F71" s="45">
        <f>IF('450 nm - 600 nm'!B56="","",(('450 nm - 600 nm'!B56+'450 nm - 600 nm'!E56)/2)-(('450 nm - 600 nm'!H56+'450 nm - 600 nm'!K56)/2))</f>
        <v>3.3000000000000002E-2</v>
      </c>
      <c r="G71" s="46">
        <f>IF(F71="","",(F71-Controls!$E$13)/(Controls!E$5-Controls!$E$13))</f>
        <v>2.8211284513805519E-2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 t="s">
        <v>165</v>
      </c>
    </row>
    <row r="72" spans="1:11" ht="15" customHeight="1" thickBot="1">
      <c r="A72" s="72" t="s">
        <v>235</v>
      </c>
      <c r="B72" s="72">
        <v>4</v>
      </c>
      <c r="C72" s="72" t="s">
        <v>74</v>
      </c>
      <c r="D72" s="43">
        <f>IF(Deepwell!K25="","",Deepwell!K25)</f>
        <v>1037</v>
      </c>
      <c r="E72" s="44">
        <f>IF(ELISA!N14="","",ELISA!N14)</f>
        <v>2500698</v>
      </c>
      <c r="F72" s="45">
        <f>IF('450 nm - 600 nm'!B57="","",(('450 nm - 600 nm'!B57+'450 nm - 600 nm'!E57)/2)-(('450 nm - 600 nm'!H57+'450 nm - 600 nm'!K57)/2))</f>
        <v>0.25800000000000001</v>
      </c>
      <c r="G72" s="46">
        <f>IF(F72="","",(F72-Controls!$E$13)/(Controls!E$5-Controls!$E$13))</f>
        <v>0.29831932773109243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 t="s">
        <v>165</v>
      </c>
    </row>
    <row r="73" spans="1:11" ht="15" customHeight="1" thickBot="1">
      <c r="A73" s="72" t="s">
        <v>236</v>
      </c>
      <c r="B73" s="72">
        <v>4</v>
      </c>
      <c r="C73" s="72" t="s">
        <v>78</v>
      </c>
      <c r="D73" s="43">
        <f>IF(Deepwell!L18="","",Deepwell!L18)</f>
        <v>1038</v>
      </c>
      <c r="E73" s="44">
        <f>IF(ELISA!N15="","",ELISA!N15)</f>
        <v>2501999</v>
      </c>
      <c r="F73" s="45">
        <f>IF('450 nm - 600 nm'!C50="","",(('450 nm - 600 nm'!C50+'450 nm - 600 nm'!F50)/2)-(('450 nm - 600 nm'!I50+'450 nm - 600 nm'!L50)/2))</f>
        <v>5.3999999999999992E-2</v>
      </c>
      <c r="G73" s="46">
        <f>IF(F73="","",(F73-Controls!$E$13)/(Controls!E$5-Controls!$E$13))</f>
        <v>5.3421368547418954E-2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 t="s">
        <v>165</v>
      </c>
    </row>
    <row r="74" spans="1:11" ht="15" customHeight="1" thickBot="1">
      <c r="A74" s="72" t="s">
        <v>237</v>
      </c>
      <c r="B74" s="72">
        <v>4</v>
      </c>
      <c r="C74" s="72" t="s">
        <v>82</v>
      </c>
      <c r="D74" s="43">
        <f>IF(Deepwell!L19="","",Deepwell!L19)</f>
        <v>1039</v>
      </c>
      <c r="E74" s="44">
        <f>IF(ELISA!N16="","",ELISA!N16)</f>
        <v>2400844</v>
      </c>
      <c r="F74" s="45">
        <f>IF('450 nm - 600 nm'!C51="","",(('450 nm - 600 nm'!C51+'450 nm - 600 nm'!F51)/2)-(('450 nm - 600 nm'!I51+'450 nm - 600 nm'!L51)/2))</f>
        <v>2.1499999999999991E-2</v>
      </c>
      <c r="G74" s="46">
        <f>IF(F74="","",(F74-Controls!$E$13)/(Controls!E$5-Controls!$E$13))</f>
        <v>1.4405762304921955E-2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 t="s">
        <v>165</v>
      </c>
    </row>
    <row r="75" spans="1:11" ht="15" customHeight="1" thickBot="1">
      <c r="A75" s="72" t="s">
        <v>238</v>
      </c>
      <c r="B75" s="72">
        <v>4</v>
      </c>
      <c r="C75" s="72" t="s">
        <v>86</v>
      </c>
      <c r="D75" s="43">
        <f>IF(Deepwell!L20="","",Deepwell!L20)</f>
        <v>1040</v>
      </c>
      <c r="E75" s="44">
        <f>IF(ELISA!N17="","",ELISA!N17)</f>
        <v>2502768</v>
      </c>
      <c r="F75" s="45">
        <f>IF('450 nm - 600 nm'!C52="","",(('450 nm - 600 nm'!C52+'450 nm - 600 nm'!F52)/2)-(('450 nm - 600 nm'!I52+'450 nm - 600 nm'!L52)/2))</f>
        <v>0.12</v>
      </c>
      <c r="G75" s="46">
        <f>IF(F75="","",(F75-Controls!$E$13)/(Controls!E$5-Controls!$E$13))</f>
        <v>0.13265306122448978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 t="s">
        <v>165</v>
      </c>
    </row>
    <row r="76" spans="1:11" ht="15" customHeight="1" thickBot="1">
      <c r="A76" s="72" t="s">
        <v>239</v>
      </c>
      <c r="B76" s="72">
        <v>4</v>
      </c>
      <c r="C76" s="72" t="s">
        <v>90</v>
      </c>
      <c r="D76" s="43">
        <f>IF(Deepwell!L21="","",Deepwell!L21)</f>
        <v>1041</v>
      </c>
      <c r="E76" s="44">
        <f>IF(ELISA!N18="","",ELISA!N18)</f>
        <v>2502323</v>
      </c>
      <c r="F76" s="45">
        <f>IF('450 nm - 600 nm'!C53="","",(('450 nm - 600 nm'!C53+'450 nm - 600 nm'!F53)/2)-(('450 nm - 600 nm'!I53+'450 nm - 600 nm'!L53)/2))</f>
        <v>0.255</v>
      </c>
      <c r="G76" s="46">
        <f>IF(F76="","",(F76-Controls!$E$13)/(Controls!E$5-Controls!$E$13))</f>
        <v>0.29471788715486191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 t="s">
        <v>165</v>
      </c>
    </row>
    <row r="77" spans="1:11" ht="15" customHeight="1" thickBot="1">
      <c r="A77" s="72" t="s">
        <v>240</v>
      </c>
      <c r="B77" s="72">
        <v>4</v>
      </c>
      <c r="C77" s="72" t="s">
        <v>94</v>
      </c>
      <c r="D77" s="43">
        <f>IF(Deepwell!L22="","",Deepwell!L22)</f>
        <v>1042</v>
      </c>
      <c r="E77" s="44">
        <f>IF(ELISA!N19="","",ELISA!N19)</f>
        <v>2502067</v>
      </c>
      <c r="F77" s="45">
        <f>IF('450 nm - 600 nm'!C54="","",(('450 nm - 600 nm'!C54+'450 nm - 600 nm'!F54)/2)-(('450 nm - 600 nm'!I54+'450 nm - 600 nm'!L54)/2))</f>
        <v>0.11749999999999999</v>
      </c>
      <c r="G77" s="46">
        <f>IF(F77="","",(F77-Controls!$E$13)/(Controls!E$5-Controls!$E$13))</f>
        <v>0.12965186074429769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 t="s">
        <v>165</v>
      </c>
    </row>
    <row r="78" spans="1:11" ht="15" customHeight="1" thickBot="1">
      <c r="A78" s="72" t="s">
        <v>241</v>
      </c>
      <c r="B78" s="72">
        <v>4</v>
      </c>
      <c r="C78" s="72" t="s">
        <v>98</v>
      </c>
      <c r="D78" s="43">
        <f>IF(Deepwell!L23="","",Deepwell!L23)</f>
        <v>1043</v>
      </c>
      <c r="E78" s="44">
        <f>IF(ELISA!N20="","",ELISA!N20)</f>
        <v>2502069</v>
      </c>
      <c r="F78" s="45">
        <f>IF('450 nm - 600 nm'!C55="","",(('450 nm - 600 nm'!C55+'450 nm - 600 nm'!F55)/2)-(('450 nm - 600 nm'!I55+'450 nm - 600 nm'!L55)/2))</f>
        <v>4.1499999999999995E-2</v>
      </c>
      <c r="G78" s="46">
        <f>IF(F78="","",(F78-Controls!$E$13)/(Controls!E$5-Controls!$E$13))</f>
        <v>3.8415366146458574E-2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 t="s">
        <v>165</v>
      </c>
    </row>
    <row r="79" spans="1:11" ht="15" customHeight="1" thickBot="1">
      <c r="A79" s="72" t="s">
        <v>242</v>
      </c>
      <c r="B79" s="72">
        <v>4</v>
      </c>
      <c r="C79" s="72" t="s">
        <v>102</v>
      </c>
      <c r="D79" s="43">
        <f>IF(Deepwell!L24="","",Deepwell!L24)</f>
        <v>1044</v>
      </c>
      <c r="E79" s="44">
        <f>IF(ELISA!N21="","",ELISA!N21)</f>
        <v>2502074</v>
      </c>
      <c r="F79" s="45">
        <f>IF('450 nm - 600 nm'!C56="","",(('450 nm - 600 nm'!C56+'450 nm - 600 nm'!F56)/2)-(('450 nm - 600 nm'!I56+'450 nm - 600 nm'!L56)/2))</f>
        <v>5.1000000000000004E-2</v>
      </c>
      <c r="G79" s="46">
        <f>IF(F79="","",(F79-Controls!$E$13)/(Controls!E$5-Controls!$E$13))</f>
        <v>4.9819927971188477E-2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 t="s">
        <v>165</v>
      </c>
    </row>
    <row r="80" spans="1:11" ht="15" customHeight="1" thickBot="1">
      <c r="A80" s="72" t="s">
        <v>243</v>
      </c>
      <c r="B80" s="72">
        <v>4</v>
      </c>
      <c r="C80" s="72" t="s">
        <v>106</v>
      </c>
      <c r="D80" s="43">
        <f>IF(Deepwell!L25="","",Deepwell!L25)</f>
        <v>1045</v>
      </c>
      <c r="E80" s="44">
        <f>IF(ELISA!N22="","",ELISA!N22)</f>
        <v>2501097</v>
      </c>
      <c r="F80" s="45">
        <f>IF('450 nm - 600 nm'!C57="","",(('450 nm - 600 nm'!C57+'450 nm - 600 nm'!F57)/2)-(('450 nm - 600 nm'!I57+'450 nm - 600 nm'!L57)/2))</f>
        <v>2.8499999999999984E-2</v>
      </c>
      <c r="G80" s="46">
        <f>IF(F80="","",(F80-Controls!$E$13)/(Controls!E$5-Controls!$E$13))</f>
        <v>2.2809123649459761E-2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 t="s">
        <v>165</v>
      </c>
    </row>
    <row r="81" spans="1:11" ht="15" customHeight="1" thickBot="1">
      <c r="A81" s="72" t="s">
        <v>244</v>
      </c>
      <c r="B81" s="72">
        <v>4</v>
      </c>
      <c r="C81" s="72" t="s">
        <v>110</v>
      </c>
      <c r="D81" s="43">
        <f>IF(Deepwell!M18="","",Deepwell!M18)</f>
        <v>1046</v>
      </c>
      <c r="E81" s="44">
        <f>IF(ELISA!N23="","",ELISA!N23)</f>
        <v>2502076</v>
      </c>
      <c r="F81" s="45">
        <f>IF('450 nm - 600 nm'!D50="","",(('450 nm - 600 nm'!D50+'450 nm - 600 nm'!G50)/2)-(('450 nm - 600 nm'!J50+'450 nm - 600 nm'!M50)/2))</f>
        <v>3.2500000000000001E-2</v>
      </c>
      <c r="G81" s="46">
        <f>IF(F81="","",(F81-Controls!$E$13)/(Controls!E$5-Controls!$E$13))</f>
        <v>2.7611044417767103E-2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 t="s">
        <v>165</v>
      </c>
    </row>
    <row r="82" spans="1:11" ht="15" customHeight="1" thickBot="1">
      <c r="A82" s="72" t="s">
        <v>245</v>
      </c>
      <c r="B82" s="72">
        <v>4</v>
      </c>
      <c r="C82" s="72" t="s">
        <v>114</v>
      </c>
      <c r="D82" s="43">
        <f>IF(Deepwell!M19="","",Deepwell!M19)</f>
        <v>1047</v>
      </c>
      <c r="E82" s="44">
        <f>IF(ELISA!N24="","",ELISA!N24)</f>
        <v>2502094</v>
      </c>
      <c r="F82" s="45">
        <f>IF('450 nm - 600 nm'!D51="","",(('450 nm - 600 nm'!D51+'450 nm - 600 nm'!G51)/2)-(('450 nm - 600 nm'!J51+'450 nm - 600 nm'!M51)/2))</f>
        <v>-1.7500000000000002E-2</v>
      </c>
      <c r="G82" s="46">
        <f>IF(F82="","",(F82-Controls!$E$13)/(Controls!E$5-Controls!$E$13))</f>
        <v>-3.2412965186074429E-2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 t="s">
        <v>165</v>
      </c>
    </row>
    <row r="83" spans="1:11" ht="15" customHeight="1" thickBot="1">
      <c r="A83" s="72" t="s">
        <v>246</v>
      </c>
      <c r="B83" s="72">
        <v>4</v>
      </c>
      <c r="C83" s="72" t="s">
        <v>118</v>
      </c>
      <c r="D83" s="43">
        <f>IF(Deepwell!M20="","",Deepwell!M20)</f>
        <v>1048</v>
      </c>
      <c r="E83" s="44">
        <f>IF(ELISA!N25="","",ELISA!N25)</f>
        <v>2502065</v>
      </c>
      <c r="F83" s="45">
        <f>IF('450 nm - 600 nm'!D52="","",(('450 nm - 600 nm'!D52+'450 nm - 600 nm'!G52)/2)-(('450 nm - 600 nm'!J52+'450 nm - 600 nm'!M52)/2))</f>
        <v>3.4999999999999892E-3</v>
      </c>
      <c r="G83" s="46">
        <f>IF(F83="","",(F83-Controls!$E$13)/(Controls!E$5-Controls!$E$13))</f>
        <v>-7.2028811524609982E-3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 t="s">
        <v>165</v>
      </c>
    </row>
    <row r="84" spans="1:11" ht="15" customHeight="1" thickBot="1">
      <c r="A84" s="72" t="s">
        <v>247</v>
      </c>
      <c r="B84" s="72">
        <v>4</v>
      </c>
      <c r="C84" s="72" t="s">
        <v>122</v>
      </c>
      <c r="D84" s="43">
        <f>IF(Deepwell!M21="","",Deepwell!M21)</f>
        <v>1049</v>
      </c>
      <c r="E84" s="44">
        <f>IF(ELISA!N26="","",ELISA!N26)</f>
        <v>2502068</v>
      </c>
      <c r="F84" s="45">
        <f>IF('450 nm - 600 nm'!D53="","",(('450 nm - 600 nm'!D53+'450 nm - 600 nm'!G53)/2)-(('450 nm - 600 nm'!J53+'450 nm - 600 nm'!M53)/2))</f>
        <v>3.5000000000000003E-2</v>
      </c>
      <c r="G84" s="46">
        <f>IF(F84="","",(F84-Controls!$E$13)/(Controls!E$5-Controls!$E$13))</f>
        <v>3.0612244897959183E-2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 t="s">
        <v>165</v>
      </c>
    </row>
    <row r="85" spans="1:11" ht="15" customHeight="1" thickBot="1">
      <c r="A85" s="72" t="s">
        <v>248</v>
      </c>
      <c r="B85" s="72">
        <v>4</v>
      </c>
      <c r="C85" s="72" t="s">
        <v>126</v>
      </c>
      <c r="D85" s="43">
        <f>IF(Deepwell!M22="","",Deepwell!M22)</f>
        <v>1050</v>
      </c>
      <c r="E85" s="44">
        <f>IF(ELISA!N27="","",ELISA!N27)</f>
        <v>2502095</v>
      </c>
      <c r="F85" s="45">
        <f>IF('450 nm - 600 nm'!D54="","",(('450 nm - 600 nm'!D54+'450 nm - 600 nm'!G54)/2)-(('450 nm - 600 nm'!J54+'450 nm - 600 nm'!M54)/2))</f>
        <v>5.0000000000000044E-3</v>
      </c>
      <c r="G85" s="46">
        <f>IF(F85="","",(F85-Controls!$E$13)/(Controls!E$5-Controls!$E$13))</f>
        <v>-5.4021608643457343E-3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 t="s">
        <v>165</v>
      </c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154</v>
      </c>
      <c r="B1" s="41" t="s">
        <v>155</v>
      </c>
      <c r="C1" s="41" t="s">
        <v>156</v>
      </c>
      <c r="D1" s="41" t="s">
        <v>249</v>
      </c>
      <c r="E1" s="56" t="s">
        <v>159</v>
      </c>
      <c r="F1" s="41" t="s">
        <v>160</v>
      </c>
      <c r="G1" s="41" t="s">
        <v>250</v>
      </c>
      <c r="H1" s="42" t="s">
        <v>42</v>
      </c>
    </row>
    <row r="2" spans="1:8" ht="15" customHeight="1" thickBot="1">
      <c r="A2" s="43" t="s">
        <v>251</v>
      </c>
      <c r="B2" s="43">
        <v>1</v>
      </c>
      <c r="C2" s="43" t="s">
        <v>131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0.57899999999999996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252</v>
      </c>
      <c r="B3" s="43">
        <v>2</v>
      </c>
      <c r="C3" s="43" t="s">
        <v>132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0.5179999999999999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253</v>
      </c>
      <c r="B4" s="43">
        <v>3</v>
      </c>
      <c r="C4" s="43" t="s">
        <v>133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0.92849999999999999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254</v>
      </c>
      <c r="B5" s="43">
        <v>4</v>
      </c>
      <c r="C5" s="43" t="s">
        <v>134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0.84250000000000003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255</v>
      </c>
      <c r="B6" s="43">
        <v>1</v>
      </c>
      <c r="C6" s="43" t="s">
        <v>127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7.4999999999999997E-3</v>
      </c>
      <c r="F6" s="46">
        <f>IF(E6="","",(E6-$E$10)/($E$2-$E$10))</f>
        <v>1.7467248908296837E-3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256</v>
      </c>
      <c r="B7" s="43">
        <v>2</v>
      </c>
      <c r="C7" s="43" t="s">
        <v>128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4.0000000000000036E-3</v>
      </c>
      <c r="F7" s="46">
        <f>IF(E7="","",(E7-$E$11)/($E$3-$E$11))</f>
        <v>2.0952380952380976E-2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257</v>
      </c>
      <c r="B8" s="43">
        <v>3</v>
      </c>
      <c r="C8" s="43" t="s">
        <v>129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7.9999999999999967E-3</v>
      </c>
      <c r="F8" s="46">
        <f>IF(E8="","",(E8-$E$12)/(E$4-$E$12))</f>
        <v>7.5471698113207504E-3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258</v>
      </c>
      <c r="B9" s="43">
        <v>4</v>
      </c>
      <c r="C9" s="43" t="s">
        <v>130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1.5000000000000013E-3</v>
      </c>
      <c r="F9" s="46">
        <f>IF(E9="","",(E9-$E$13)/(E$5-$E$13))</f>
        <v>-9.6038415366146452E-3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259</v>
      </c>
      <c r="B10" s="43">
        <v>1</v>
      </c>
      <c r="C10" s="43" t="s">
        <v>135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6.5000000000000058E-3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260</v>
      </c>
      <c r="B11" s="43">
        <v>2</v>
      </c>
      <c r="C11" s="43" t="s">
        <v>136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-7.0000000000000062E-3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261</v>
      </c>
      <c r="B12" s="43">
        <v>3</v>
      </c>
      <c r="C12" s="43" t="s">
        <v>137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1.0000000000000009E-3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262</v>
      </c>
      <c r="B13" s="43">
        <v>4</v>
      </c>
      <c r="C13" s="43" t="s">
        <v>138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9.5000000000000015E-3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topLeftCell="A35" zoomScaleNormal="100" workbookViewId="0">
      <selection activeCell="D6" sqref="D6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263</v>
      </c>
      <c r="C2" s="58">
        <v>30</v>
      </c>
    </row>
    <row r="3" spans="2:4" ht="15.75" thickBot="1"/>
    <row r="4" spans="2:4" ht="15.75" thickBot="1">
      <c r="B4" s="81" t="s">
        <v>156</v>
      </c>
      <c r="C4" s="81" t="s">
        <v>249</v>
      </c>
      <c r="D4" s="61" t="s">
        <v>264</v>
      </c>
    </row>
    <row r="5" spans="2:4" ht="15.75" thickBot="1">
      <c r="B5" s="81"/>
      <c r="C5" s="81"/>
      <c r="D5" s="62" t="s">
        <v>265</v>
      </c>
    </row>
    <row r="6" spans="2:4" ht="15.75" thickBot="1">
      <c r="B6" s="59" t="s">
        <v>43</v>
      </c>
      <c r="C6" s="60">
        <f>IF(ELISA!B7="","",ELISA!B7)</f>
        <v>2502333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47</v>
      </c>
      <c r="C7" s="44">
        <f>IF(ELISA!B8="","",ELISA!B8)</f>
        <v>2502307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51</v>
      </c>
      <c r="C8" s="44">
        <f>IF(ELISA!B9="","",ELISA!B9)</f>
        <v>2502334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55</v>
      </c>
      <c r="C9" s="44">
        <f>IF(ELISA!B10="","",ELISA!B10)</f>
        <v>2502335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59</v>
      </c>
      <c r="C10" s="44">
        <f>IF(ELISA!B11="","",ELISA!B11)</f>
        <v>2502352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63</v>
      </c>
      <c r="C11" s="44">
        <f>IF(ELISA!B12="","",ELISA!B12)</f>
        <v>2502337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67</v>
      </c>
      <c r="C12" s="44">
        <f>IF(ELISA!B13="","",ELISA!B13)</f>
        <v>2500731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71</v>
      </c>
      <c r="C13" s="44">
        <f>IF(ELISA!B14="","",ELISA!B14)</f>
        <v>2502288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75</v>
      </c>
      <c r="C14" s="44">
        <f>IF(ELISA!B15="","",ELISA!B15)</f>
        <v>2500729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79</v>
      </c>
      <c r="C15" s="44">
        <f>IF(ELISA!B16="","",ELISA!B16)</f>
        <v>2500727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83</v>
      </c>
      <c r="C16" s="44">
        <f>IF(ELISA!B17="","",ELISA!B17)</f>
        <v>2500728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87</v>
      </c>
      <c r="C17" s="44">
        <f>IF(ELISA!B18="","",ELISA!B18)</f>
        <v>2500720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91</v>
      </c>
      <c r="C18" s="44">
        <f>IF(ELISA!B19="","",ELISA!B19)</f>
        <v>2501117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95</v>
      </c>
      <c r="C19" s="44">
        <f>IF(ELISA!B20="","",ELISA!B20)</f>
        <v>2501098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99</v>
      </c>
      <c r="C20" s="44">
        <f>IF(ELISA!B21="","",ELISA!B21)</f>
        <v>2501111</v>
      </c>
      <c r="D20" s="60" t="str">
        <f>IF('450 nm - 600 nm'!C20="","",IF(ABS(1-('450 nm - 600 nm'!C20/'450 nm - 600 nm'!F20))&lt;($C$2/100),"OK","NOK"))</f>
        <v>NOK</v>
      </c>
    </row>
    <row r="21" spans="2:4" ht="15.75" thickBot="1">
      <c r="B21" s="43" t="s">
        <v>103</v>
      </c>
      <c r="C21" s="44">
        <f>IF(ELISA!B22="","",ELISA!B22)</f>
        <v>2502366</v>
      </c>
      <c r="D21" s="60" t="str">
        <f>IF('450 nm - 600 nm'!C21="","",IF(ABS(1-('450 nm - 600 nm'!C21/'450 nm - 600 nm'!F21))&lt;($C$2/100),"OK","NOK"))</f>
        <v>NOK</v>
      </c>
    </row>
    <row r="22" spans="2:4" ht="15.75" thickBot="1">
      <c r="B22" s="43" t="s">
        <v>107</v>
      </c>
      <c r="C22" s="44">
        <f>IF(ELISA!B23="","",ELISA!B23)</f>
        <v>2502373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111</v>
      </c>
      <c r="C23" s="44">
        <f>IF(ELISA!B24="","",ELISA!B24)</f>
        <v>2503088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115</v>
      </c>
      <c r="C24" s="44">
        <f>IF(ELISA!B25="","",ELISA!B25)</f>
        <v>2503083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119</v>
      </c>
      <c r="C25" s="44">
        <f>IF(ELISA!B26="","",ELISA!B26)</f>
        <v>250271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123</v>
      </c>
      <c r="C26" s="44">
        <f>IF(ELISA!B27="","",ELISA!B27)</f>
        <v>2502744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32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44</v>
      </c>
      <c r="C28" s="44">
        <f>IF(ELISA!F7="","",ELISA!F7)</f>
        <v>2502740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48</v>
      </c>
      <c r="C29" s="44">
        <f>IF(ELISA!F8="","",ELISA!F8)</f>
        <v>2502743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52</v>
      </c>
      <c r="C30" s="44">
        <f>IF(ELISA!F9="","",ELISA!F9)</f>
        <v>250274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56</v>
      </c>
      <c r="C31" s="44">
        <f>IF(ELISA!F10="","",ELISA!F10)</f>
        <v>2500725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60</v>
      </c>
      <c r="C32" s="44">
        <f>IF(ELISA!F11="","",ELISA!F11)</f>
        <v>2500730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64</v>
      </c>
      <c r="C33" s="44">
        <f>IF(ELISA!F12="","",ELISA!F12)</f>
        <v>2500136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68</v>
      </c>
      <c r="C34" s="44">
        <f>IF(ELISA!F13="","",ELISA!F13)</f>
        <v>2500127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72</v>
      </c>
      <c r="C35" s="44">
        <f>IF(ELISA!F14="","",ELISA!F14)</f>
        <v>2500133</v>
      </c>
      <c r="D35" s="60" t="str">
        <f>IF('450 nm - 600 nm'!B33="","",IF(ABS(1-('450 nm - 600 nm'!B33/'450 nm - 600 nm'!E33))&lt;($C$2/100),"OK","NOK"))</f>
        <v>NOK</v>
      </c>
    </row>
    <row r="36" spans="2:4" ht="15.75" thickBot="1">
      <c r="B36" s="43" t="s">
        <v>76</v>
      </c>
      <c r="C36" s="44">
        <f>IF(ELISA!F15="","",ELISA!F15)</f>
        <v>2500131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80</v>
      </c>
      <c r="C37" s="44">
        <f>IF(ELISA!F16="","",ELISA!F16)</f>
        <v>2502305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84</v>
      </c>
      <c r="C38" s="44">
        <f>IF(ELISA!F17="","",ELISA!F17)</f>
        <v>2502081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88</v>
      </c>
      <c r="C39" s="44">
        <f>IF(ELISA!F18="","",ELISA!F18)</f>
        <v>2502328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92</v>
      </c>
      <c r="C40" s="44">
        <f>IF(ELISA!F19="","",ELISA!F19)</f>
        <v>2502313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96</v>
      </c>
      <c r="C41" s="44">
        <f>IF(ELISA!F20="","",ELISA!F20)</f>
        <v>2501067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100</v>
      </c>
      <c r="C42" s="44">
        <f>IF(ELISA!F21="","",ELISA!F21)</f>
        <v>2501068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104</v>
      </c>
      <c r="C43" s="44">
        <f>IF(ELISA!F22="","",ELISA!F22)</f>
        <v>2500893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108</v>
      </c>
      <c r="C44" s="44">
        <f>IF(ELISA!F23="","",ELISA!F23)</f>
        <v>2500684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112</v>
      </c>
      <c r="C45" s="44">
        <f>IF(ELISA!F24="","",ELISA!F24)</f>
        <v>2501900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116</v>
      </c>
      <c r="C46" s="44">
        <f>IF(ELISA!F25="","",ELISA!F25)</f>
        <v>2500874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120</v>
      </c>
      <c r="C47" s="44">
        <f>IF(ELISA!F26="","",ELISA!F26)</f>
        <v>2500872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124</v>
      </c>
      <c r="C48" s="44">
        <f>IF(ELISA!F27="","",ELISA!F27)</f>
        <v>2501018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32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45</v>
      </c>
      <c r="C50" s="44">
        <f>IF(ELISA!J7="","",ELISA!J7)</f>
        <v>2500898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49</v>
      </c>
      <c r="C51" s="44">
        <f>IF(ELISA!J8="","",ELISA!J8)</f>
        <v>2502219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53</v>
      </c>
      <c r="C52" s="44">
        <f>IF(ELISA!J9="","",ELISA!J9)</f>
        <v>2502236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57</v>
      </c>
      <c r="C53" s="44">
        <f>IF(ELISA!J10="","",ELISA!J10)</f>
        <v>2502233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61</v>
      </c>
      <c r="C54" s="44">
        <f>IF(ELISA!J11="","",ELISA!J11)</f>
        <v>2502235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65</v>
      </c>
      <c r="C55" s="44">
        <f>IF(ELISA!J12="","",ELISA!J12)</f>
        <v>2502244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69</v>
      </c>
      <c r="C56" s="44">
        <f>IF(ELISA!J13="","",ELISA!J13)</f>
        <v>2502214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73</v>
      </c>
      <c r="C57" s="44">
        <f>IF(ELISA!J14="","",ELISA!J14)</f>
        <v>2501191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77</v>
      </c>
      <c r="C58" s="44">
        <f>IF(ELISA!J15="","",ELISA!J15)</f>
        <v>2501178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81</v>
      </c>
      <c r="C59" s="44">
        <f>IF(ELISA!J16="","",ELISA!J16)</f>
        <v>2501199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85</v>
      </c>
      <c r="C60" s="44">
        <f>IF(ELISA!J17="","",ELISA!J17)</f>
        <v>2502883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89</v>
      </c>
      <c r="C61" s="44">
        <f>IF(ELISA!J18="","",ELISA!J18)</f>
        <v>2502843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93</v>
      </c>
      <c r="C62" s="44">
        <f>IF(ELISA!J19="","",ELISA!J19)</f>
        <v>2501141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97</v>
      </c>
      <c r="C63" s="44">
        <f>IF(ELISA!J20="","",ELISA!J20)</f>
        <v>2502851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101</v>
      </c>
      <c r="C64" s="44">
        <f>IF(ELISA!J21="","",ELISA!J21)</f>
        <v>2502850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105</v>
      </c>
      <c r="C65" s="44">
        <f>IF(ELISA!J22="","",ELISA!J22)</f>
        <v>2500852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109</v>
      </c>
      <c r="C66" s="44">
        <f>IF(ELISA!J23="","",ELISA!J23)</f>
        <v>2501117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113</v>
      </c>
      <c r="C67" s="44">
        <f>IF(ELISA!J24="","",ELISA!J24)</f>
        <v>2501906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117</v>
      </c>
      <c r="C68" s="44">
        <f>IF(ELISA!J25="","",ELISA!J25)</f>
        <v>2402781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121</v>
      </c>
      <c r="C69" s="44">
        <f>IF(ELISA!J26="","",ELISA!J26)</f>
        <v>2402568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125</v>
      </c>
      <c r="C70" s="44">
        <f>IF(ELISA!J27="","",ELISA!J27)</f>
        <v>2502317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32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46</v>
      </c>
      <c r="C72" s="44">
        <f>IF(ELISA!N7="","",ELISA!N7)</f>
        <v>2502327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50</v>
      </c>
      <c r="C73" s="44">
        <f>IF(ELISA!N8="","",ELISA!N8)</f>
        <v>2501932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54</v>
      </c>
      <c r="C74" s="44">
        <f>IF(ELISA!N9="","",ELISA!N9)</f>
        <v>2500686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58</v>
      </c>
      <c r="C75" s="44">
        <f>IF(ELISA!N10="","",ELISA!N10)</f>
        <v>2500608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62</v>
      </c>
      <c r="C76" s="44">
        <f>IF(ELISA!N11="","",ELISA!N11)</f>
        <v>2501973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66</v>
      </c>
      <c r="C77" s="44">
        <f>IF(ELISA!N12="","",ELISA!N12)</f>
        <v>2501534</v>
      </c>
      <c r="D77" s="60" t="str">
        <f>IF('450 nm - 600 nm'!B55="","",IF(ABS(1-('450 nm - 600 nm'!B55/'450 nm - 600 nm'!E55))&lt;($C$2/100),"OK","NOK"))</f>
        <v>NOK</v>
      </c>
    </row>
    <row r="78" spans="2:4" ht="15.75" thickBot="1">
      <c r="B78" s="43" t="s">
        <v>70</v>
      </c>
      <c r="C78" s="44">
        <f>IF(ELISA!N13="","",ELISA!N13)</f>
        <v>2500700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74</v>
      </c>
      <c r="C79" s="44">
        <f>IF(ELISA!N14="","",ELISA!N14)</f>
        <v>2500698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78</v>
      </c>
      <c r="C80" s="44">
        <f>IF(ELISA!N15="","",ELISA!N15)</f>
        <v>2501999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82</v>
      </c>
      <c r="C81" s="44">
        <f>IF(ELISA!N16="","",ELISA!N16)</f>
        <v>2400844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86</v>
      </c>
      <c r="C82" s="44">
        <f>IF(ELISA!N17="","",ELISA!N17)</f>
        <v>2502768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90</v>
      </c>
      <c r="C83" s="44">
        <f>IF(ELISA!N18="","",ELISA!N18)</f>
        <v>2502323</v>
      </c>
      <c r="D83" s="60" t="str">
        <f>IF('450 nm - 600 nm'!C53="","",IF(ABS(1-('450 nm - 600 nm'!C53/'450 nm - 600 nm'!F53))&lt;($C$2/100),"OK","NOK"))</f>
        <v>NOK</v>
      </c>
    </row>
    <row r="84" spans="2:4" ht="15.75" thickBot="1">
      <c r="B84" s="43" t="s">
        <v>94</v>
      </c>
      <c r="C84" s="44">
        <f>IF(ELISA!N19="","",ELISA!N19)</f>
        <v>2502067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98</v>
      </c>
      <c r="C85" s="44">
        <f>IF(ELISA!N20="","",ELISA!N20)</f>
        <v>2502069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102</v>
      </c>
      <c r="C86" s="44">
        <f>IF(ELISA!N21="","",ELISA!N21)</f>
        <v>2502074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106</v>
      </c>
      <c r="C87" s="44">
        <f>IF(ELISA!N22="","",ELISA!N22)</f>
        <v>2501097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110</v>
      </c>
      <c r="C88" s="44">
        <f>IF(ELISA!N23="","",ELISA!N23)</f>
        <v>2502076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114</v>
      </c>
      <c r="C89" s="44">
        <f>IF(ELISA!N24="","",ELISA!N24)</f>
        <v>2502094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118</v>
      </c>
      <c r="C90" s="44">
        <f>IF(ELISA!N25="","",ELISA!N25)</f>
        <v>2502065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122</v>
      </c>
      <c r="C91" s="44">
        <f>IF(ELISA!N26="","",ELISA!N26)</f>
        <v>2502068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126</v>
      </c>
      <c r="C92" s="44">
        <f>IF(ELISA!N27="","",ELISA!N27)</f>
        <v>2502095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32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2026-03-16T08:29:46+00:00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3DDDCBF4-19FF-4C4C-ABE4-A46DFB87C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2026-03-16T11:09:48Z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