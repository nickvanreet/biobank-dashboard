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E3D5EB91-8509-403D-A73D-DD02A4F90856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<sst xmlns="http://schemas.openxmlformats.org/spreadsheetml/2006/main" count="422" uniqueCount="75">
  <si>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</si>
  <si>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</si>
  <si>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</si>
  <si>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</si>
  <si>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</si>
  <si>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</si>
  <si>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</si>
  <si>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</si>
  <si>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</si>
  <si>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</si>
  <si>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</si>
  <si>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</si>
  <si>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</si>
  <si>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</si>
  <si>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</si>
  <si>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</si>
  <si>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</si>
  <si>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</si>
  <si>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</si>
  <si>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</si>
  <si>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</si>
  <si>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</si>
  <si>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</si>
  <si>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</si>
  <si>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</si>
  <si>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</si>
  <si>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</si>
  <si>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</si>
  <si>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</si>
  <si>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</si>
  <si>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</si>
  <si>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</si>
  <si>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</si>
  <si>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</si>
  <si>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</si>
  <si>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</si>
  <si>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</si>
  <si>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</si>
  <si>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</si>
  <si>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</si>
  <si>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</si>
  <si>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</si>
  <si>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</si>
  <si>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LC,DK,MH</t>
  </si>
  <si>
    <t>Qrun file name</t>
  </si>
  <si>
    <t>2025-09-29 10.22.12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</si>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</sst>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146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146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146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146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147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147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147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147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148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148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148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148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149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149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149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149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150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150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150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150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151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151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151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151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152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152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152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152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153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153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153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153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154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154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154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154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155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155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155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155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8.2237629252090905</v>
      </c>
      <c r="D42" s="8">
        <v>0.83743637627887502</v>
      </c>
      <c r="E42" s="8">
        <v>0.99822999999999995</v>
      </c>
      <c r="F42" s="8"/>
    </row>
    <row r="43" spans="1:6">
      <c r="A43" s="8">
        <v>42</v>
      </c>
      <c r="B43" s="8" t="s">
        <v>7</v>
      </c>
      <c r="C43" s="8">
        <v>8.1929616699011696</v>
      </c>
      <c r="D43" s="8">
        <v>0.83370360410570099</v>
      </c>
      <c r="E43" s="8">
        <v>0.99826000000000004</v>
      </c>
      <c r="F43" s="8"/>
    </row>
    <row r="44" spans="1:6">
      <c r="A44" s="8">
        <v>43</v>
      </c>
      <c r="B44" s="8" t="s">
        <v>7</v>
      </c>
      <c r="C44" s="8">
        <v>8.2661324537941105</v>
      </c>
      <c r="D44" s="8">
        <v>0.85678871477574703</v>
      </c>
      <c r="E44" s="8">
        <v>0.99843999999999999</v>
      </c>
      <c r="F44" s="8"/>
    </row>
    <row r="45" spans="1:6">
      <c r="A45" s="8">
        <v>44</v>
      </c>
      <c r="B45" s="8" t="s">
        <v>7</v>
      </c>
      <c r="C45" s="8">
        <v>8.2786638985571397</v>
      </c>
      <c r="D45" s="8">
        <v>0.89663507956330701</v>
      </c>
      <c r="E45" s="8">
        <v>0.99775000000000003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146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146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146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146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147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147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147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147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148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148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148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148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149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149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149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149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150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150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150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150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151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151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151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151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152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152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152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152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153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153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153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153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154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154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154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154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155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155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155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155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8.2238418341064801</v>
      </c>
      <c r="D42" s="9">
        <v>0.93925321179120302</v>
      </c>
      <c r="E42" s="9">
        <v>0.99682999999999999</v>
      </c>
      <c r="F42" s="9"/>
    </row>
    <row r="43" spans="1:6">
      <c r="A43" s="9">
        <v>42</v>
      </c>
      <c r="B43" s="9" t="s">
        <v>7</v>
      </c>
      <c r="C43" s="9">
        <v>8.2130689237589891</v>
      </c>
      <c r="D43" s="9">
        <v>0.93699286212308497</v>
      </c>
      <c r="E43" s="9">
        <v>0.99690999999999996</v>
      </c>
      <c r="F43" s="9"/>
    </row>
    <row r="44" spans="1:6">
      <c r="A44" s="9">
        <v>43</v>
      </c>
      <c r="B44" s="9" t="s">
        <v>7</v>
      </c>
      <c r="C44" s="9">
        <v>8.2343613467438104</v>
      </c>
      <c r="D44" s="9">
        <v>0.95010636825578898</v>
      </c>
      <c r="E44" s="9">
        <v>0.99673999999999996</v>
      </c>
      <c r="F44" s="9"/>
    </row>
    <row r="45" spans="1:6">
      <c r="A45" s="9">
        <v>44</v>
      </c>
      <c r="B45" s="9" t="s">
        <v>7</v>
      </c>
      <c r="C45" s="9">
        <v>8.3231851606630407</v>
      </c>
      <c r="D45" s="9">
        <v>0.93712534148026805</v>
      </c>
      <c r="E45" s="9">
        <v>0.99761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146</v>
      </c>
      <c r="C2" s="10">
        <v>21.0071405028587</v>
      </c>
      <c r="D2" s="10">
        <v>1.0267067088143</v>
      </c>
      <c r="E2" s="10">
        <v>0.99866999999999995</v>
      </c>
      <c r="F2" s="10"/>
    </row>
    <row r="3" spans="1:6">
      <c r="A3" s="10">
        <v>2</v>
      </c>
      <c r="B3" s="10">
        <v>146</v>
      </c>
      <c r="C3" s="10">
        <v>20.9464427680482</v>
      </c>
      <c r="D3" s="10">
        <v>1.0651793779027401</v>
      </c>
      <c r="E3" s="10">
        <v>0.99833000000000005</v>
      </c>
      <c r="F3" s="10"/>
    </row>
    <row r="4" spans="1:6">
      <c r="A4" s="10">
        <v>3</v>
      </c>
      <c r="B4" s="10">
        <v>146</v>
      </c>
      <c r="C4" s="10">
        <v>21.6842252309313</v>
      </c>
      <c r="D4" s="10">
        <v>0.999709584249038</v>
      </c>
      <c r="E4" s="10">
        <v>0.99916000000000005</v>
      </c>
      <c r="F4" s="10"/>
    </row>
    <row r="5" spans="1:6">
      <c r="A5" s="10">
        <v>4</v>
      </c>
      <c r="B5" s="10">
        <v>146</v>
      </c>
      <c r="C5" s="10">
        <v>21.051578691160199</v>
      </c>
      <c r="D5" s="10">
        <v>1.0885397282618601</v>
      </c>
      <c r="E5" s="10">
        <v>0.99807999999999997</v>
      </c>
      <c r="F5" s="10"/>
    </row>
    <row r="6" spans="1:6">
      <c r="A6" s="10">
        <v>5</v>
      </c>
      <c r="B6" s="10">
        <v>147</v>
      </c>
      <c r="C6" s="10">
        <v>22.302949994115401</v>
      </c>
      <c r="D6" s="10">
        <v>0.99670076375878602</v>
      </c>
      <c r="E6" s="10">
        <v>0.99927999999999995</v>
      </c>
      <c r="F6" s="10"/>
    </row>
    <row r="7" spans="1:6">
      <c r="A7" s="10">
        <v>6</v>
      </c>
      <c r="B7" s="10">
        <v>147</v>
      </c>
      <c r="C7" s="10">
        <v>22.409779372108801</v>
      </c>
      <c r="D7" s="10">
        <v>0.97553058551125305</v>
      </c>
      <c r="E7" s="10">
        <v>0.99948999999999999</v>
      </c>
      <c r="F7" s="10"/>
    </row>
    <row r="8" spans="1:6">
      <c r="A8" s="10">
        <v>7</v>
      </c>
      <c r="B8" s="10">
        <v>147</v>
      </c>
      <c r="C8" s="10">
        <v>22.470201865064698</v>
      </c>
      <c r="D8" s="10">
        <v>1.0043388093941299</v>
      </c>
      <c r="E8" s="10">
        <v>0.99944</v>
      </c>
      <c r="F8" s="10"/>
    </row>
    <row r="9" spans="1:6">
      <c r="A9" s="10">
        <v>8</v>
      </c>
      <c r="B9" s="10">
        <v>147</v>
      </c>
      <c r="C9" s="10">
        <v>22.442521786284701</v>
      </c>
      <c r="D9" s="10">
        <v>0.996653400865392</v>
      </c>
      <c r="E9" s="10">
        <v>0.99944999999999995</v>
      </c>
      <c r="F9" s="10"/>
    </row>
    <row r="10" spans="1:6">
      <c r="A10" s="10">
        <v>9</v>
      </c>
      <c r="B10" s="10">
        <v>148</v>
      </c>
      <c r="C10" s="10">
        <v>21.561415046525301</v>
      </c>
      <c r="D10" s="10">
        <v>0.96849964762720797</v>
      </c>
      <c r="E10" s="10">
        <v>0.99958000000000002</v>
      </c>
      <c r="F10" s="10"/>
    </row>
    <row r="11" spans="1:6">
      <c r="A11" s="10">
        <v>10</v>
      </c>
      <c r="B11" s="10">
        <v>148</v>
      </c>
      <c r="C11" s="10">
        <v>21.652087927532499</v>
      </c>
      <c r="D11" s="10">
        <v>0.97015386406744497</v>
      </c>
      <c r="E11" s="10">
        <v>0.99939999999999996</v>
      </c>
      <c r="F11" s="10"/>
    </row>
    <row r="12" spans="1:6">
      <c r="A12" s="10">
        <v>11</v>
      </c>
      <c r="B12" s="10">
        <v>148</v>
      </c>
      <c r="C12" s="10">
        <v>21.738286800311599</v>
      </c>
      <c r="D12" s="10">
        <v>0.96523773105252797</v>
      </c>
      <c r="E12" s="10">
        <v>0.99934000000000001</v>
      </c>
      <c r="F12" s="10"/>
    </row>
    <row r="13" spans="1:6">
      <c r="A13" s="10">
        <v>12</v>
      </c>
      <c r="B13" s="10">
        <v>148</v>
      </c>
      <c r="C13" s="10">
        <v>21.6522635334609</v>
      </c>
      <c r="D13" s="10">
        <v>0.96712779651881298</v>
      </c>
      <c r="E13" s="10">
        <v>0.99958000000000002</v>
      </c>
      <c r="F13" s="10"/>
    </row>
    <row r="14" spans="1:6">
      <c r="A14" s="10">
        <v>13</v>
      </c>
      <c r="B14" s="10">
        <v>149</v>
      </c>
      <c r="C14" s="10">
        <v>22.108595084441099</v>
      </c>
      <c r="D14" s="10">
        <v>1.0194666628578899</v>
      </c>
      <c r="E14" s="10">
        <v>0.99878</v>
      </c>
      <c r="F14" s="10"/>
    </row>
    <row r="15" spans="1:6">
      <c r="A15" s="10">
        <v>14</v>
      </c>
      <c r="B15" s="10">
        <v>149</v>
      </c>
      <c r="C15" s="10">
        <v>22.191420500044501</v>
      </c>
      <c r="D15" s="10">
        <v>0.97226028900830297</v>
      </c>
      <c r="E15" s="10">
        <v>0.99919999999999998</v>
      </c>
      <c r="F15" s="10"/>
    </row>
    <row r="16" spans="1:6">
      <c r="A16" s="10">
        <v>15</v>
      </c>
      <c r="B16" s="10">
        <v>149</v>
      </c>
      <c r="C16" s="10">
        <v>22.065843742632701</v>
      </c>
      <c r="D16" s="10">
        <v>0.99740471840943701</v>
      </c>
      <c r="E16" s="10">
        <v>0.99897000000000002</v>
      </c>
      <c r="F16" s="10"/>
    </row>
    <row r="17" spans="1:6">
      <c r="A17" s="10">
        <v>16</v>
      </c>
      <c r="B17" s="10">
        <v>149</v>
      </c>
      <c r="C17" s="10">
        <v>22.147741383439101</v>
      </c>
      <c r="D17" s="10">
        <v>1.00729764940822</v>
      </c>
      <c r="E17" s="10">
        <v>0.99883</v>
      </c>
      <c r="F17" s="10"/>
    </row>
    <row r="18" spans="1:6">
      <c r="A18" s="10">
        <v>17</v>
      </c>
      <c r="B18" s="10">
        <v>150</v>
      </c>
      <c r="C18" s="10">
        <v>21.520523802974299</v>
      </c>
      <c r="D18" s="10">
        <v>0.98714864280913694</v>
      </c>
      <c r="E18" s="10">
        <v>0.99953999999999998</v>
      </c>
      <c r="F18" s="10"/>
    </row>
    <row r="19" spans="1:6">
      <c r="A19" s="10">
        <v>18</v>
      </c>
      <c r="B19" s="10">
        <v>150</v>
      </c>
      <c r="C19" s="10">
        <v>21.450621482837601</v>
      </c>
      <c r="D19" s="10">
        <v>0.99179777101155597</v>
      </c>
      <c r="E19" s="10">
        <v>0.99946999999999997</v>
      </c>
      <c r="F19" s="10"/>
    </row>
    <row r="20" spans="1:6">
      <c r="A20" s="10">
        <v>19</v>
      </c>
      <c r="B20" s="10">
        <v>150</v>
      </c>
      <c r="C20" s="10">
        <v>21.462077657369601</v>
      </c>
      <c r="D20" s="10">
        <v>1.00543897406643</v>
      </c>
      <c r="E20" s="10">
        <v>0.99943000000000004</v>
      </c>
      <c r="F20" s="10"/>
    </row>
    <row r="21" spans="1:6">
      <c r="A21" s="10">
        <v>20</v>
      </c>
      <c r="B21" s="10">
        <v>150</v>
      </c>
      <c r="C21" s="10">
        <v>21.423158332474401</v>
      </c>
      <c r="D21" s="10">
        <v>0.99369949834932503</v>
      </c>
      <c r="E21" s="10">
        <v>0.99946999999999997</v>
      </c>
      <c r="F21" s="10"/>
    </row>
    <row r="22" spans="1:6">
      <c r="A22" s="10">
        <v>21</v>
      </c>
      <c r="B22" s="10">
        <v>151</v>
      </c>
      <c r="C22" s="10">
        <v>20.537580562697698</v>
      </c>
      <c r="D22" s="10">
        <v>0.99448150779913203</v>
      </c>
      <c r="E22" s="10">
        <v>0.99951000000000001</v>
      </c>
      <c r="F22" s="10"/>
    </row>
    <row r="23" spans="1:6">
      <c r="A23" s="10">
        <v>22</v>
      </c>
      <c r="B23" s="10">
        <v>151</v>
      </c>
      <c r="C23" s="10">
        <v>20.900112453623599</v>
      </c>
      <c r="D23" s="10">
        <v>1.07182727405655</v>
      </c>
      <c r="E23" s="10">
        <v>0.99805999999999995</v>
      </c>
      <c r="F23" s="10"/>
    </row>
    <row r="24" spans="1:6">
      <c r="A24" s="10">
        <v>23</v>
      </c>
      <c r="B24" s="10">
        <v>151</v>
      </c>
      <c r="C24" s="10">
        <v>20.570295368191701</v>
      </c>
      <c r="D24" s="10">
        <v>0.97725580049383998</v>
      </c>
      <c r="E24" s="10">
        <v>0.99955000000000005</v>
      </c>
      <c r="F24" s="10"/>
    </row>
    <row r="25" spans="1:6">
      <c r="A25" s="10">
        <v>24</v>
      </c>
      <c r="B25" s="10">
        <v>151</v>
      </c>
      <c r="C25" s="10">
        <v>20.544345666949599</v>
      </c>
      <c r="D25" s="10">
        <v>0.97080588472236795</v>
      </c>
      <c r="E25" s="10">
        <v>0.99955000000000005</v>
      </c>
      <c r="F25" s="10"/>
    </row>
    <row r="26" spans="1:6">
      <c r="A26" s="10">
        <v>25</v>
      </c>
      <c r="B26" s="10">
        <v>152</v>
      </c>
      <c r="C26" s="10">
        <v>21.097970482257701</v>
      </c>
      <c r="D26" s="10">
        <v>1.03002150509401</v>
      </c>
      <c r="E26" s="10">
        <v>0.99846000000000001</v>
      </c>
      <c r="F26" s="10"/>
    </row>
    <row r="27" spans="1:6">
      <c r="A27" s="10">
        <v>26</v>
      </c>
      <c r="B27" s="10">
        <v>152</v>
      </c>
      <c r="C27" s="10">
        <v>21.091825294804899</v>
      </c>
      <c r="D27" s="10">
        <v>1.0726926737074001</v>
      </c>
      <c r="E27" s="10">
        <v>0.99816000000000005</v>
      </c>
      <c r="F27" s="10"/>
    </row>
    <row r="28" spans="1:6">
      <c r="A28" s="10">
        <v>27</v>
      </c>
      <c r="B28" s="10">
        <v>152</v>
      </c>
      <c r="C28" s="10">
        <v>21.034083389270101</v>
      </c>
      <c r="D28" s="10">
        <v>1.0338419909638299</v>
      </c>
      <c r="E28" s="10">
        <v>0.99858999999999998</v>
      </c>
      <c r="F28" s="10"/>
    </row>
    <row r="29" spans="1:6">
      <c r="A29" s="10">
        <v>28</v>
      </c>
      <c r="B29" s="10">
        <v>152</v>
      </c>
      <c r="C29" s="10">
        <v>21.005557993341899</v>
      </c>
      <c r="D29" s="10">
        <v>1.03322717222238</v>
      </c>
      <c r="E29" s="10">
        <v>0.99856</v>
      </c>
      <c r="F29" s="10"/>
    </row>
    <row r="30" spans="1:6">
      <c r="A30" s="10">
        <v>29</v>
      </c>
      <c r="B30" s="10">
        <v>153</v>
      </c>
      <c r="C30" s="10">
        <v>20.095290630398001</v>
      </c>
      <c r="D30" s="10">
        <v>1.0074671760439899</v>
      </c>
      <c r="E30" s="10">
        <v>0.99875000000000003</v>
      </c>
      <c r="F30" s="10"/>
    </row>
    <row r="31" spans="1:6">
      <c r="A31" s="10">
        <v>30</v>
      </c>
      <c r="B31" s="10">
        <v>153</v>
      </c>
      <c r="C31" s="10">
        <v>20.018232824171701</v>
      </c>
      <c r="D31" s="10">
        <v>0.98475682724579305</v>
      </c>
      <c r="E31" s="10">
        <v>0.99897999999999998</v>
      </c>
      <c r="F31" s="10"/>
    </row>
    <row r="32" spans="1:6">
      <c r="A32" s="10">
        <v>31</v>
      </c>
      <c r="B32" s="10">
        <v>153</v>
      </c>
      <c r="C32" s="10">
        <v>20.053134353479901</v>
      </c>
      <c r="D32" s="10">
        <v>1.0299273465380401</v>
      </c>
      <c r="E32" s="10">
        <v>0.99843999999999999</v>
      </c>
      <c r="F32" s="10"/>
    </row>
    <row r="33" spans="1:6">
      <c r="A33" s="10">
        <v>32</v>
      </c>
      <c r="B33" s="10">
        <v>153</v>
      </c>
      <c r="C33" s="10">
        <v>20.038953870105001</v>
      </c>
      <c r="D33" s="10">
        <v>1.0198059896492899</v>
      </c>
      <c r="E33" s="10">
        <v>0.99856999999999996</v>
      </c>
      <c r="F33" s="10"/>
    </row>
    <row r="34" spans="1:6">
      <c r="A34" s="10">
        <v>33</v>
      </c>
      <c r="B34" s="10">
        <v>154</v>
      </c>
      <c r="C34" s="10">
        <v>22.3137743767006</v>
      </c>
      <c r="D34" s="10">
        <v>0.98982455860399599</v>
      </c>
      <c r="E34" s="10">
        <v>0.99956999999999996</v>
      </c>
      <c r="F34" s="10"/>
    </row>
    <row r="35" spans="1:6">
      <c r="A35" s="10">
        <v>34</v>
      </c>
      <c r="B35" s="10">
        <v>154</v>
      </c>
      <c r="C35" s="10">
        <v>22.321233347429001</v>
      </c>
      <c r="D35" s="10">
        <v>0.96967861427514102</v>
      </c>
      <c r="E35" s="10">
        <v>0.99944999999999995</v>
      </c>
      <c r="F35" s="10"/>
    </row>
    <row r="36" spans="1:6">
      <c r="A36" s="10">
        <v>35</v>
      </c>
      <c r="B36" s="10">
        <v>154</v>
      </c>
      <c r="C36" s="10">
        <v>22.410436540904399</v>
      </c>
      <c r="D36" s="10">
        <v>0.94996081818914702</v>
      </c>
      <c r="E36" s="10">
        <v>0.99956</v>
      </c>
      <c r="F36" s="10"/>
    </row>
    <row r="37" spans="1:6">
      <c r="A37" s="10">
        <v>36</v>
      </c>
      <c r="B37" s="10">
        <v>154</v>
      </c>
      <c r="C37" s="10">
        <v>22.345105348863999</v>
      </c>
      <c r="D37" s="10">
        <v>0.92827728536606902</v>
      </c>
      <c r="E37" s="10">
        <v>0.99968999999999997</v>
      </c>
      <c r="F37" s="10"/>
    </row>
    <row r="38" spans="1:6">
      <c r="A38" s="10">
        <v>37</v>
      </c>
      <c r="B38" s="10">
        <v>155</v>
      </c>
      <c r="C38" s="10">
        <v>20.874518312785099</v>
      </c>
      <c r="D38" s="10">
        <v>1.0439347820778</v>
      </c>
      <c r="E38" s="10">
        <v>0.99843000000000004</v>
      </c>
      <c r="F38" s="10"/>
    </row>
    <row r="39" spans="1:6">
      <c r="A39" s="10">
        <v>38</v>
      </c>
      <c r="B39" s="10">
        <v>155</v>
      </c>
      <c r="C39" s="10">
        <v>20.9081375511802</v>
      </c>
      <c r="D39" s="10">
        <v>1.02749089990374</v>
      </c>
      <c r="E39" s="10">
        <v>0.99865999999999999</v>
      </c>
      <c r="F39" s="10"/>
    </row>
    <row r="40" spans="1:6">
      <c r="A40" s="10">
        <v>39</v>
      </c>
      <c r="B40" s="10">
        <v>155</v>
      </c>
      <c r="C40" s="10">
        <v>20.950765189879601</v>
      </c>
      <c r="D40" s="10">
        <v>1.0325026434554201</v>
      </c>
      <c r="E40" s="10">
        <v>0.99866999999999995</v>
      </c>
      <c r="F40" s="10"/>
    </row>
    <row r="41" spans="1:6">
      <c r="A41" s="10">
        <v>40</v>
      </c>
      <c r="B41" s="10">
        <v>155</v>
      </c>
      <c r="C41" s="10">
        <v>20.870876853811801</v>
      </c>
      <c r="D41" s="10">
        <v>1.0757735101697901</v>
      </c>
      <c r="E41" s="10">
        <v>0.99819000000000002</v>
      </c>
      <c r="F41" s="10"/>
    </row>
    <row r="42" spans="1:6">
      <c r="A42" s="10">
        <v>41</v>
      </c>
      <c r="B42" s="10" t="s">
        <v>7</v>
      </c>
      <c r="C42" s="10">
        <v>-1</v>
      </c>
      <c r="D42" s="10">
        <v>-1</v>
      </c>
      <c r="E42" s="10"/>
      <c r="F42" s="10" t="s">
        <v>6</v>
      </c>
    </row>
    <row r="43" spans="1:6">
      <c r="A43" s="10">
        <v>42</v>
      </c>
      <c r="B43" s="10" t="s">
        <v>7</v>
      </c>
      <c r="C43" s="10">
        <v>-1</v>
      </c>
      <c r="D43" s="10">
        <v>-1</v>
      </c>
      <c r="E43" s="10"/>
      <c r="F43" s="10" t="s">
        <v>6</v>
      </c>
    </row>
    <row r="44" spans="1:6">
      <c r="A44" s="10">
        <v>43</v>
      </c>
      <c r="B44" s="10" t="s">
        <v>7</v>
      </c>
      <c r="C44" s="10">
        <v>-1</v>
      </c>
      <c r="D44" s="10">
        <v>-1</v>
      </c>
      <c r="E44" s="10"/>
      <c r="F44" s="10" t="s">
        <v>6</v>
      </c>
    </row>
    <row r="45" spans="1:6">
      <c r="A45" s="10">
        <v>44</v>
      </c>
      <c r="B45" s="10" t="s">
        <v>7</v>
      </c>
      <c r="C45" s="10">
        <v>-1</v>
      </c>
      <c r="D45" s="10">
        <v>-1</v>
      </c>
      <c r="E45" s="10"/>
      <c r="F45" s="10" t="s">
        <v>6</v>
      </c>
    </row>
    <row r="46" spans="1:6">
      <c r="A46" s="10">
        <v>45</v>
      </c>
      <c r="B46" s="10" t="s">
        <v>8</v>
      </c>
      <c r="C46" s="10">
        <v>37.866262161684297</v>
      </c>
      <c r="D46" s="10">
        <v>0.45243089187312502</v>
      </c>
      <c r="E46" s="10">
        <v>0.96397999999999995</v>
      </c>
      <c r="F46" s="10"/>
    </row>
    <row r="47" spans="1:6">
      <c r="A47" s="10">
        <v>46</v>
      </c>
      <c r="B47" s="10" t="s">
        <v>8</v>
      </c>
      <c r="C47" s="10">
        <v>36.653547739828099</v>
      </c>
      <c r="D47" s="10">
        <v>0.72089988906845304</v>
      </c>
      <c r="E47" s="10">
        <v>0.99624999999999997</v>
      </c>
      <c r="F47" s="10"/>
    </row>
    <row r="48" spans="1:6">
      <c r="A48" s="10">
        <v>47</v>
      </c>
      <c r="B48" s="10" t="s">
        <v>8</v>
      </c>
      <c r="C48" s="10">
        <v>36.408711773332499</v>
      </c>
      <c r="D48" s="10">
        <v>0.76253463459500503</v>
      </c>
      <c r="E48" s="10">
        <v>0.99636000000000002</v>
      </c>
      <c r="F48" s="10"/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146</v>
      </c>
      <c r="B2">
        <f>IF('177T'!C2="", "", '177T'!C2)</f>
        <v>-1</v>
      </c>
      <c r="C2">
        <f>IF('18S2'!C2="", "", '18S2'!C2)</f>
        <v>-1</v>
      </c>
      <c r="D2">
        <f>IF(RNAseP!C2="", "", RNAseP!C2)</f>
        <v>21.0071405028587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146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20.9464427680482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146</v>
      </c>
      <c r="B4">
        <f>IF('177T'!C4="", "", '177T'!C4)</f>
        <v>-1</v>
      </c>
      <c r="C4">
        <f>IF('18S2'!C4="", "", '18S2'!C4)</f>
        <v>-1</v>
      </c>
      <c r="D4">
        <f>IF(RNAseP!C4="", "", RNAseP!C4)</f>
        <v>21.6842252309313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146</v>
      </c>
      <c r="B5">
        <f>IF('177T'!C5="", "", '177T'!C5)</f>
        <v>-1</v>
      </c>
      <c r="C5">
        <f>IF('18S2'!C5="", "", '18S2'!C5)</f>
        <v>-1</v>
      </c>
      <c r="D5">
        <f>IF(RNAseP!C5="", "", RNAseP!C5)</f>
        <v>21.051578691160199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147</v>
      </c>
      <c r="B6">
        <f>IF('177T'!C6="", "", '177T'!C6)</f>
        <v>-1</v>
      </c>
      <c r="C6">
        <f>IF('18S2'!C6="", "", '18S2'!C6)</f>
        <v>-1</v>
      </c>
      <c r="D6">
        <f>IF(RNAseP!C6="", "", RNAseP!C6)</f>
        <v>22.302949994115401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147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22.409779372108801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147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22.470201865064698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147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22.442521786284701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148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21.561415046525301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148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21.652087927532499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148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21.738286800311599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148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21.6522635334609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149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22.108595084441099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149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22.191420500044501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149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22.065843742632701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149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22.147741383439101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150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21.520523802974299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150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21.450621482837601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150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21.462077657369601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150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21.423158332474401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151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20.537580562697698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151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20.900112453623599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151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20.570295368191701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151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20.544345666949599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152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21.097970482257701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152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21.091825294804899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152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21.034083389270101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152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21.005557993341899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153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20.095290630398001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153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20.018232824171701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153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20.053134353479901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153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20.038953870105001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154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22.3137743767006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154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22.321233347429001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154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22.410436540904399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154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22.345105348863999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155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20.874518312785099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155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20.9081375511802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155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20.950765189879601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155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20.870876853811801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8.2237629252090905</v>
      </c>
      <c r="C42">
        <f>IF('18S2'!C42="", "", '18S2'!C42)</f>
        <v>8.2238418341064801</v>
      </c>
      <c r="D42">
        <f>IF(RNAseP!C42="", "", RNAseP!C42)</f>
        <v>-1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-1</v>
      </c>
      <c r="H42" s="3" t="str" cm="1">
        <f t="array" ref="H42">INDEX(DecisionC!$E$1:$E$56, MATCH(A42&amp;E42&amp;F42&amp;G42, DecisionC!$A$1:$A$56&amp;DecisionC!$B$1:$B$56&amp;DecisionC!$C$1:$C$56&amp;DecisionC!$D$1:$D$56, 0))</f>
        <v>F</v>
      </c>
      <c r="I42" s="3" t="str" cm="1">
        <f t="array" ref="I42">INDEX(DecisionC!$F$1:$F$56, MATCH(A42&amp;E42&amp;F42&amp;G42, DecisionC!$A$1:$A$56&amp;DecisionC!$B$1:$B$56&amp;DecisionC!$C$1:$C$56&amp;DecisionC!$D$1:$D$56, 0))</f>
        <v>RNAseP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8.1929616699011696</v>
      </c>
      <c r="C43">
        <f>IF('18S2'!C43="", "", '18S2'!C43)</f>
        <v>8.2130689237589891</v>
      </c>
      <c r="D43">
        <f>IF(RNAseP!C43="", "", RNAseP!C43)</f>
        <v>-1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-1</v>
      </c>
      <c r="H43" s="3" t="str" cm="1">
        <f t="array" ref="H43">INDEX(DecisionC!$E$1:$E$56, MATCH(A43&amp;E43&amp;F43&amp;G43, DecisionC!$A$1:$A$56&amp;DecisionC!$B$1:$B$56&amp;DecisionC!$C$1:$C$56&amp;DecisionC!$D$1:$D$56, 0))</f>
        <v>F</v>
      </c>
      <c r="I43" s="3" t="str" cm="1">
        <f t="array" ref="I43">INDEX(DecisionC!$F$1:$F$56, MATCH(A43&amp;E43&amp;F43&amp;G43, DecisionC!$A$1:$A$56&amp;DecisionC!$B$1:$B$56&amp;DecisionC!$C$1:$C$56&amp;DecisionC!$D$1:$D$56, 0))</f>
        <v>RNAseP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8.2661324537941105</v>
      </c>
      <c r="C44">
        <f>IF('18S2'!C44="", "", '18S2'!C44)</f>
        <v>8.2343613467438104</v>
      </c>
      <c r="D44">
        <f>IF(RNAseP!C44="", "", RNAseP!C44)</f>
        <v>-1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-1</v>
      </c>
      <c r="H44" s="3" t="str" cm="1">
        <f t="array" ref="H44">INDEX(DecisionC!$E$1:$E$56, MATCH(A44&amp;E44&amp;F44&amp;G44, DecisionC!$A$1:$A$56&amp;DecisionC!$B$1:$B$56&amp;DecisionC!$C$1:$C$56&amp;DecisionC!$D$1:$D$56, 0))</f>
        <v>F</v>
      </c>
      <c r="I44" s="3" t="str" cm="1">
        <f t="array" ref="I44">INDEX(DecisionC!$F$1:$F$56, MATCH(A44&amp;E44&amp;F44&amp;G44, DecisionC!$A$1:$A$56&amp;DecisionC!$B$1:$B$56&amp;DecisionC!$C$1:$C$56&amp;DecisionC!$D$1:$D$56, 0))</f>
        <v>RNAseP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8.2786638985571397</v>
      </c>
      <c r="C45">
        <f>IF('18S2'!C45="", "", '18S2'!C45)</f>
        <v>8.3231851606630407</v>
      </c>
      <c r="D45">
        <f>IF(RNAseP!C45="", "", RNAseP!C45)</f>
        <v>-1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-1</v>
      </c>
      <c r="H45" s="3" t="str" cm="1">
        <f t="array" ref="H45">INDEX(DecisionC!$E$1:$E$56, MATCH(A45&amp;E45&amp;F45&amp;G45, DecisionC!$A$1:$A$56&amp;DecisionC!$B$1:$B$56&amp;DecisionC!$C$1:$C$56&amp;DecisionC!$D$1:$D$56, 0))</f>
        <v>F</v>
      </c>
      <c r="I45" s="3" t="str" cm="1">
        <f t="array" ref="I45">INDEX(DecisionC!$F$1:$F$56, MATCH(A45&amp;E45&amp;F45&amp;G45, DecisionC!$A$1:$A$56&amp;DecisionC!$B$1:$B$56&amp;DecisionC!$C$1:$C$56&amp;DecisionC!$D$1:$D$56, 0))</f>
        <v>RNAseP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37.866262161684297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36.653547739828099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36.408711773332499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4" sqref="C4:G4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45929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146</v>
      </c>
      <c r="B16" s="11">
        <v>2400767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21,2 +/- 0,3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147</v>
      </c>
      <c r="B17" s="11">
        <v>2402837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148</v>
      </c>
      <c r="B18" s="11">
        <v>2500125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21,7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149</v>
      </c>
      <c r="B19" s="11">
        <v>2500072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22,1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150</v>
      </c>
      <c r="B20" s="11">
        <v>2500083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21,5 +/- 0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151</v>
      </c>
      <c r="B21" s="11">
        <v>2500050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20,6 +/- 0,2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152</v>
      </c>
      <c r="B22" s="11">
        <v>2401006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21,1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153</v>
      </c>
      <c r="B23" s="11">
        <v>2402575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20,1 +/- 0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154</v>
      </c>
      <c r="B24" s="11">
        <v>2401086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155</v>
      </c>
      <c r="B25" s="11">
        <v>2401116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20,9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F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8,2 +/- 0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8,2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/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 +/- 0,8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31" t="s">
        <v>58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30" t="s">
        <v>61</v>
      </c>
      <c r="D30" s="30"/>
      <c r="E30" s="20"/>
    </row>
    <row r="31" spans="1:12">
      <c r="A31" s="18" t="s">
        <v>20</v>
      </c>
      <c r="B31" s="18" t="s">
        <v>21</v>
      </c>
      <c r="C31" s="30" t="s">
        <v>62</v>
      </c>
      <c r="D31" s="30"/>
      <c r="E31" s="20"/>
    </row>
    <row r="32" spans="1:12">
      <c r="A32" s="18" t="s">
        <v>22</v>
      </c>
      <c r="B32" s="18" t="s">
        <v>63</v>
      </c>
      <c r="C32" s="30" t="s">
        <v>64</v>
      </c>
      <c r="D32" s="30"/>
      <c r="E32" s="20"/>
    </row>
    <row r="33" spans="1:5">
      <c r="A33" s="18" t="s">
        <v>65</v>
      </c>
      <c r="B33" s="18" t="s">
        <v>66</v>
      </c>
      <c r="C33" s="30" t="s">
        <v>67</v>
      </c>
      <c r="D33" s="30"/>
      <c r="E33" s="20"/>
    </row>
    <row r="34" spans="1:5">
      <c r="A34" s="18" t="s">
        <v>17</v>
      </c>
      <c r="B34" s="18" t="s">
        <v>68</v>
      </c>
      <c r="C34" s="30" t="s">
        <v>69</v>
      </c>
      <c r="D34" s="30"/>
      <c r="E34" s="20"/>
    </row>
    <row r="35" spans="1:5">
      <c r="A35" s="18" t="s">
        <v>70</v>
      </c>
      <c r="B35" s="18" t="s">
        <v>71</v>
      </c>
      <c r="C35" s="30" t="s">
        <v>72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146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21,2 +/- 0,3</v>
      </c>
    </row>
    <row r="3" spans="1:11">
      <c r="A3" s="3">
        <f>Report!A17</f>
        <v>147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22,4 +/- 0,1</v>
      </c>
    </row>
    <row r="4" spans="1:11">
      <c r="A4" s="3">
        <f>Report!A18</f>
        <v>148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21,7 +/- 0,1</v>
      </c>
    </row>
    <row r="5" spans="1:11">
      <c r="A5" s="3">
        <f>Report!A19</f>
        <v>149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22,1 +/- 0,1</v>
      </c>
    </row>
    <row r="6" spans="1:11">
      <c r="A6" s="3">
        <f>Report!A20</f>
        <v>150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21,5 +/- 0</v>
      </c>
    </row>
    <row r="7" spans="1:11">
      <c r="A7" s="3">
        <f>Report!A21</f>
        <v>151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20,6 +/- 0,2</v>
      </c>
      <c r="K7" s="4"/>
    </row>
    <row r="8" spans="1:11">
      <c r="A8" s="3">
        <f>Report!A22</f>
        <v>152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21,1 +/- 0</v>
      </c>
    </row>
    <row r="9" spans="1:11">
      <c r="A9" s="3">
        <f>Report!A23</f>
        <v>153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20,1 +/- 0</v>
      </c>
    </row>
    <row r="10" spans="1:11">
      <c r="A10" s="3">
        <f>Report!A24</f>
        <v>154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22,3 +/- 0</v>
      </c>
    </row>
    <row r="11" spans="1:11">
      <c r="A11" s="3">
        <f>Report!A25</f>
        <v>155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20,9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F, F, F, F</v>
      </c>
      <c r="C12" s="3" t="str" cm="1">
        <f t="array" ref="C12">_xlfn.TEXTJOIN(", ", TRUE, IF(Analysis!$A$2:$A$82=A12, Analysis!$I$2:$I$82, ""))</f>
        <v>RNAseP, RNAseP, RNAseP, RNAseP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F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8,2 +/- 0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8,2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/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F, OK</v>
      </c>
      <c r="C13" s="3" t="str" cm="1">
        <f t="array" ref="C13">_xlfn.TEXTJOIN(", ", TRUE, IF(Analysis!$A$2:$A$82=A13, Analysis!$I$2:$I$82, ""))</f>
        <v>RNAseP, RNAseP, RNAseP,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 +/- 0,8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2025-10-01T10:51:52+00:00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D547C-CBB8-4D30-8809-68896A444BF7}"/>
</file>

<file path=customXml/itemProps2.xml><?xml version="1.0" encoding="utf-8"?>
<ds:datastoreItem xmlns:ds="http://schemas.openxmlformats.org/officeDocument/2006/customXml" ds:itemID="{6A6F1250-3038-43CF-9F48-F4AB3C07C645}"/>
</file>

<file path=customXml/itemProps3.xml><?xml version="1.0" encoding="utf-8"?>
<ds:datastoreItem xmlns:ds="http://schemas.openxmlformats.org/officeDocument/2006/customXml" ds:itemID="{0B1904A9-CB3C-447B-BA57-509767DC2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