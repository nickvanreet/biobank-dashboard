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492205B6-74A0-407C-B7F5-98D5724B892C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40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<sst xmlns="http://schemas.openxmlformats.org/spreadsheetml/2006/main" count="434" uniqueCount="77">
  <si>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</si>
  <si>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</si>
  <si>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</si>
  <si>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</si>
  <si>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</si>
  <si>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</si>
  <si>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</si>
  <si>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</si>
  <si>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</si>
  <si>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</si>
  <si>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</si>
  <si>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</si>
  <si>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</si>
  <si>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</si>
  <si>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</si>
  <si>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</si>
  <si>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</si>
  <si>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</si>
  <si>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</si>
  <si>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</si>
  <si>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</si>
  <si>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</si>
  <si>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</si>
  <si>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</si>
  <si>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</si>
  <si>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</si>
  <si>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</si>
  <si>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</si>
  <si>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</si>
  <si>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</si>
  <si>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</si>
  <si>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</si>
  <si>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</si>
  <si>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</si>
  <si>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</si>
  <si>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</si>
  <si>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</si>
  <si>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</si>
  <si>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</si>
  <si>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</si>
  <si>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</si>
  <si>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</si>
  <si>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</si>
  <si>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Dieudo,Louis,Henriette</t>
  </si>
  <si>
    <t>Qrun file name</t>
  </si>
  <si>
    <t>2025-05-14 11.06.16 Run</t>
  </si>
  <si>
    <t>Qrun directory</t>
  </si>
  <si>
    <t>XLT qScript batch</t>
  </si>
  <si>
    <t>177T batch</t>
  </si>
  <si>
    <t>24/04/20205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</si>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</sst>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10"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21.489073378485301</v>
      </c>
      <c r="D42" s="8">
        <v>0.72376186330573999</v>
      </c>
      <c r="E42" s="8">
        <v>0.99990999999999997</v>
      </c>
      <c r="F42" s="8"/>
    </row>
    <row r="43" spans="1:6">
      <c r="A43" s="8">
        <v>42</v>
      </c>
      <c r="B43" s="8" t="s">
        <v>7</v>
      </c>
      <c r="C43" s="8">
        <v>22.0473386566985</v>
      </c>
      <c r="D43" s="8">
        <v>0.83729507076529797</v>
      </c>
      <c r="E43" s="8">
        <v>0.99997000000000003</v>
      </c>
      <c r="F43" s="8"/>
    </row>
    <row r="44" spans="1:6">
      <c r="A44" s="8">
        <v>43</v>
      </c>
      <c r="B44" s="8" t="s">
        <v>7</v>
      </c>
      <c r="C44" s="8">
        <v>22.251367489275101</v>
      </c>
      <c r="D44" s="8">
        <v>0.89525607899925996</v>
      </c>
      <c r="E44" s="8">
        <v>0.99997000000000003</v>
      </c>
      <c r="F44" s="8"/>
    </row>
    <row r="45" spans="1:6">
      <c r="A45" s="8">
        <v>44</v>
      </c>
      <c r="B45" s="8" t="s">
        <v>7</v>
      </c>
      <c r="C45" s="8">
        <v>22.422415343489899</v>
      </c>
      <c r="D45" s="8">
        <v>0.86241096622530999</v>
      </c>
      <c r="E45" s="8">
        <v>0.99990000000000001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6" workbookViewId="0"/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20.169218046192</v>
      </c>
      <c r="D42" s="9">
        <v>0.81594356532545798</v>
      </c>
      <c r="E42" s="9">
        <v>0.99809999999999999</v>
      </c>
      <c r="F42" s="9"/>
    </row>
    <row r="43" spans="1:6">
      <c r="A43" s="9">
        <v>42</v>
      </c>
      <c r="B43" s="9" t="s">
        <v>7</v>
      </c>
      <c r="C43" s="9">
        <v>20.506327621695601</v>
      </c>
      <c r="D43" s="9">
        <v>0.79015940943857099</v>
      </c>
      <c r="E43" s="9">
        <v>0.99844999999999995</v>
      </c>
      <c r="F43" s="9"/>
    </row>
    <row r="44" spans="1:6">
      <c r="A44" s="9">
        <v>43</v>
      </c>
      <c r="B44" s="9" t="s">
        <v>7</v>
      </c>
      <c r="C44" s="9">
        <v>20.644415497102798</v>
      </c>
      <c r="D44" s="9">
        <v>0.79554208351151601</v>
      </c>
      <c r="E44" s="9">
        <v>0.99860000000000004</v>
      </c>
      <c r="F44" s="9"/>
    </row>
    <row r="45" spans="1:6">
      <c r="A45" s="9">
        <v>44</v>
      </c>
      <c r="B45" s="9" t="s">
        <v>7</v>
      </c>
      <c r="C45" s="9">
        <v>20.7680052778319</v>
      </c>
      <c r="D45" s="9">
        <v>0.82301950140435298</v>
      </c>
      <c r="E45" s="9">
        <v>0.99778999999999995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31</v>
      </c>
      <c r="C2" s="10">
        <v>24.525970141779801</v>
      </c>
      <c r="D2" s="10">
        <v>0.94604652900202602</v>
      </c>
      <c r="E2" s="10">
        <v>0.99865000000000004</v>
      </c>
      <c r="F2" s="10"/>
    </row>
    <row r="3" spans="1:6">
      <c r="A3" s="10">
        <v>2</v>
      </c>
      <c r="B3" s="10">
        <v>31</v>
      </c>
      <c r="C3" s="10">
        <v>24.701289211430201</v>
      </c>
      <c r="D3" s="10">
        <v>0.93882073881339401</v>
      </c>
      <c r="E3" s="10">
        <v>0.99848000000000003</v>
      </c>
      <c r="F3" s="10"/>
    </row>
    <row r="4" spans="1:6">
      <c r="A4" s="10">
        <v>3</v>
      </c>
      <c r="B4" s="10">
        <v>31</v>
      </c>
      <c r="C4" s="10">
        <v>24.667135688170301</v>
      </c>
      <c r="D4" s="10">
        <v>0.94708884868752796</v>
      </c>
      <c r="E4" s="10">
        <v>0.99846999999999997</v>
      </c>
      <c r="F4" s="10"/>
    </row>
    <row r="5" spans="1:6">
      <c r="A5" s="10">
        <v>4</v>
      </c>
      <c r="B5" s="10">
        <v>31</v>
      </c>
      <c r="C5" s="10">
        <v>24.570563609384902</v>
      </c>
      <c r="D5" s="10">
        <v>0.95800005543802003</v>
      </c>
      <c r="E5" s="10">
        <v>0.99846000000000001</v>
      </c>
      <c r="F5" s="10"/>
    </row>
    <row r="6" spans="1:6">
      <c r="A6" s="10">
        <v>5</v>
      </c>
      <c r="B6" s="10">
        <v>32</v>
      </c>
      <c r="C6" s="10">
        <v>23.238475959769598</v>
      </c>
      <c r="D6" s="10">
        <v>0.88079797269067595</v>
      </c>
      <c r="E6" s="10">
        <v>0.99922999999999995</v>
      </c>
      <c r="F6" s="10"/>
    </row>
    <row r="7" spans="1:6">
      <c r="A7" s="10">
        <v>6</v>
      </c>
      <c r="B7" s="10">
        <v>32</v>
      </c>
      <c r="C7" s="10">
        <v>23.2249009170101</v>
      </c>
      <c r="D7" s="10">
        <v>0.90679637492116805</v>
      </c>
      <c r="E7" s="10">
        <v>0.99885999999999997</v>
      </c>
      <c r="F7" s="10"/>
    </row>
    <row r="8" spans="1:6">
      <c r="A8" s="10">
        <v>7</v>
      </c>
      <c r="B8" s="10">
        <v>32</v>
      </c>
      <c r="C8" s="10">
        <v>23.241483206153099</v>
      </c>
      <c r="D8" s="10">
        <v>0.90571201132138401</v>
      </c>
      <c r="E8" s="10">
        <v>0.99885000000000002</v>
      </c>
      <c r="F8" s="10"/>
    </row>
    <row r="9" spans="1:6">
      <c r="A9" s="10">
        <v>8</v>
      </c>
      <c r="B9" s="10">
        <v>32</v>
      </c>
      <c r="C9" s="10">
        <v>23.170724765802401</v>
      </c>
      <c r="D9" s="10">
        <v>0.91329405643718098</v>
      </c>
      <c r="E9" s="10">
        <v>0.99868000000000001</v>
      </c>
      <c r="F9" s="10"/>
    </row>
    <row r="10" spans="1:6">
      <c r="A10" s="10">
        <v>9</v>
      </c>
      <c r="B10" s="10">
        <v>33</v>
      </c>
      <c r="C10" s="10">
        <v>20.269608364144201</v>
      </c>
      <c r="D10" s="10">
        <v>0.898777925646711</v>
      </c>
      <c r="E10" s="10">
        <v>0.99907000000000001</v>
      </c>
      <c r="F10" s="10"/>
    </row>
    <row r="11" spans="1:6">
      <c r="A11" s="10">
        <v>10</v>
      </c>
      <c r="B11" s="10">
        <v>33</v>
      </c>
      <c r="C11" s="10">
        <v>20.227826800237999</v>
      </c>
      <c r="D11" s="10">
        <v>0.87884979108377204</v>
      </c>
      <c r="E11" s="10">
        <v>0.99917</v>
      </c>
      <c r="F11" s="10"/>
    </row>
    <row r="12" spans="1:6">
      <c r="A12" s="10">
        <v>11</v>
      </c>
      <c r="B12" s="10">
        <v>33</v>
      </c>
      <c r="C12" s="10">
        <v>20.305688229781701</v>
      </c>
      <c r="D12" s="10">
        <v>0.88404098977949896</v>
      </c>
      <c r="E12" s="10">
        <v>0.99892999999999998</v>
      </c>
      <c r="F12" s="10"/>
    </row>
    <row r="13" spans="1:6">
      <c r="A13" s="10">
        <v>12</v>
      </c>
      <c r="B13" s="10">
        <v>33</v>
      </c>
      <c r="C13" s="10">
        <v>20.2352966620799</v>
      </c>
      <c r="D13" s="10">
        <v>0.87456064432473202</v>
      </c>
      <c r="E13" s="10">
        <v>0.99922</v>
      </c>
      <c r="F13" s="10"/>
    </row>
    <row r="14" spans="1:6">
      <c r="A14" s="10">
        <v>13</v>
      </c>
      <c r="B14" s="10">
        <v>34</v>
      </c>
      <c r="C14" s="10">
        <v>20.406944381301599</v>
      </c>
      <c r="D14" s="10">
        <v>0.91257137312294401</v>
      </c>
      <c r="E14" s="10">
        <v>0.99868000000000001</v>
      </c>
      <c r="F14" s="10"/>
    </row>
    <row r="15" spans="1:6">
      <c r="A15" s="10">
        <v>14</v>
      </c>
      <c r="B15" s="10">
        <v>34</v>
      </c>
      <c r="C15" s="10">
        <v>20.229387564185998</v>
      </c>
      <c r="D15" s="10">
        <v>0.90981751355462803</v>
      </c>
      <c r="E15" s="10">
        <v>0.99880000000000002</v>
      </c>
      <c r="F15" s="10"/>
    </row>
    <row r="16" spans="1:6">
      <c r="A16" s="10">
        <v>15</v>
      </c>
      <c r="B16" s="10">
        <v>34</v>
      </c>
      <c r="C16" s="10">
        <v>20.313694525945898</v>
      </c>
      <c r="D16" s="10">
        <v>0.87853775954317503</v>
      </c>
      <c r="E16" s="10">
        <v>0.99904999999999999</v>
      </c>
      <c r="F16" s="10"/>
    </row>
    <row r="17" spans="1:6">
      <c r="A17" s="10">
        <v>16</v>
      </c>
      <c r="B17" s="10">
        <v>34</v>
      </c>
      <c r="C17" s="10">
        <v>20.2692882364552</v>
      </c>
      <c r="D17" s="10">
        <v>0.88714169786057995</v>
      </c>
      <c r="E17" s="10">
        <v>0.99912000000000001</v>
      </c>
      <c r="F17" s="10"/>
    </row>
    <row r="18" spans="1:6">
      <c r="A18" s="10">
        <v>17</v>
      </c>
      <c r="B18" s="10">
        <v>35</v>
      </c>
      <c r="C18" s="10">
        <v>20.960549285614899</v>
      </c>
      <c r="D18" s="10">
        <v>0.95230485008032795</v>
      </c>
      <c r="E18" s="10">
        <v>0.99880999999999998</v>
      </c>
      <c r="F18" s="10"/>
    </row>
    <row r="19" spans="1:6">
      <c r="A19" s="10">
        <v>18</v>
      </c>
      <c r="B19" s="10">
        <v>35</v>
      </c>
      <c r="C19" s="10">
        <v>21.062273142601001</v>
      </c>
      <c r="D19" s="10">
        <v>0.92334729752390998</v>
      </c>
      <c r="E19" s="10">
        <v>0.99833000000000005</v>
      </c>
      <c r="F19" s="10"/>
    </row>
    <row r="20" spans="1:6">
      <c r="A20" s="10">
        <v>19</v>
      </c>
      <c r="B20" s="10">
        <v>35</v>
      </c>
      <c r="C20" s="10">
        <v>21.094847978779299</v>
      </c>
      <c r="D20" s="10">
        <v>0.92602461867562702</v>
      </c>
      <c r="E20" s="10">
        <v>0.99822</v>
      </c>
      <c r="F20" s="10"/>
    </row>
    <row r="21" spans="1:6">
      <c r="A21" s="10">
        <v>20</v>
      </c>
      <c r="B21" s="10">
        <v>35</v>
      </c>
      <c r="C21" s="10">
        <v>20.902276052953301</v>
      </c>
      <c r="D21" s="10">
        <v>0.93638760253876097</v>
      </c>
      <c r="E21" s="10">
        <v>0.99880999999999998</v>
      </c>
      <c r="F21" s="10"/>
    </row>
    <row r="22" spans="1:6">
      <c r="A22" s="10">
        <v>21</v>
      </c>
      <c r="B22" s="10">
        <v>36</v>
      </c>
      <c r="C22" s="10">
        <v>20.860270612399901</v>
      </c>
      <c r="D22" s="10">
        <v>0.94675559487531702</v>
      </c>
      <c r="E22" s="10">
        <v>0.99860000000000004</v>
      </c>
      <c r="F22" s="10"/>
    </row>
    <row r="23" spans="1:6">
      <c r="A23" s="10">
        <v>22</v>
      </c>
      <c r="B23" s="10">
        <v>36</v>
      </c>
      <c r="C23" s="10">
        <v>20.9978830033217</v>
      </c>
      <c r="D23" s="10">
        <v>0.94398990669981697</v>
      </c>
      <c r="E23" s="10">
        <v>0.99853000000000003</v>
      </c>
      <c r="F23" s="10"/>
    </row>
    <row r="24" spans="1:6">
      <c r="A24" s="10">
        <v>23</v>
      </c>
      <c r="B24" s="10">
        <v>36</v>
      </c>
      <c r="C24" s="10">
        <v>20.9966839180256</v>
      </c>
      <c r="D24" s="10">
        <v>0.93181155370963398</v>
      </c>
      <c r="E24" s="10">
        <v>0.99865999999999999</v>
      </c>
      <c r="F24" s="10"/>
    </row>
    <row r="25" spans="1:6">
      <c r="A25" s="10">
        <v>24</v>
      </c>
      <c r="B25" s="10">
        <v>36</v>
      </c>
      <c r="C25" s="10">
        <v>20.898742928857999</v>
      </c>
      <c r="D25" s="10">
        <v>0.92079864891895502</v>
      </c>
      <c r="E25" s="10">
        <v>0.99890999999999996</v>
      </c>
      <c r="F25" s="10"/>
    </row>
    <row r="26" spans="1:6">
      <c r="A26" s="10">
        <v>25</v>
      </c>
      <c r="B26" s="10">
        <v>37</v>
      </c>
      <c r="C26" s="10">
        <v>25.018369808141699</v>
      </c>
      <c r="D26" s="10">
        <v>0.88262034989978999</v>
      </c>
      <c r="E26" s="10">
        <v>0.99936999999999998</v>
      </c>
      <c r="F26" s="10"/>
    </row>
    <row r="27" spans="1:6">
      <c r="A27" s="10">
        <v>26</v>
      </c>
      <c r="B27" s="10">
        <v>37</v>
      </c>
      <c r="C27" s="10">
        <v>25.028949184992399</v>
      </c>
      <c r="D27" s="10">
        <v>0.90757630924587696</v>
      </c>
      <c r="E27" s="10">
        <v>0.999</v>
      </c>
      <c r="F27" s="10"/>
    </row>
    <row r="28" spans="1:6">
      <c r="A28" s="10">
        <v>27</v>
      </c>
      <c r="B28" s="10">
        <v>37</v>
      </c>
      <c r="C28" s="10">
        <v>25.059854310504399</v>
      </c>
      <c r="D28" s="10">
        <v>0.90421441699196203</v>
      </c>
      <c r="E28" s="10">
        <v>0.99900999999999995</v>
      </c>
      <c r="F28" s="10"/>
    </row>
    <row r="29" spans="1:6">
      <c r="A29" s="10">
        <v>28</v>
      </c>
      <c r="B29" s="10">
        <v>37</v>
      </c>
      <c r="C29" s="10">
        <v>25.048834757988299</v>
      </c>
      <c r="D29" s="10">
        <v>0.907895724144544</v>
      </c>
      <c r="E29" s="10">
        <v>0.99900999999999995</v>
      </c>
      <c r="F29" s="10"/>
    </row>
    <row r="30" spans="1:6">
      <c r="A30" s="10">
        <v>29</v>
      </c>
      <c r="B30" s="10">
        <v>38</v>
      </c>
      <c r="C30" s="10">
        <v>22.7594535680362</v>
      </c>
      <c r="D30" s="10">
        <v>0.92828238329747503</v>
      </c>
      <c r="E30" s="10">
        <v>0.99890000000000001</v>
      </c>
      <c r="F30" s="10"/>
    </row>
    <row r="31" spans="1:6">
      <c r="A31" s="10">
        <v>30</v>
      </c>
      <c r="B31" s="10">
        <v>38</v>
      </c>
      <c r="C31" s="10">
        <v>23.001719925971798</v>
      </c>
      <c r="D31" s="10">
        <v>0.91946922019388899</v>
      </c>
      <c r="E31" s="10">
        <v>0.99880000000000002</v>
      </c>
      <c r="F31" s="10"/>
    </row>
    <row r="32" spans="1:6">
      <c r="A32" s="10">
        <v>31</v>
      </c>
      <c r="B32" s="10">
        <v>38</v>
      </c>
      <c r="C32" s="10">
        <v>22.993396805660002</v>
      </c>
      <c r="D32" s="10">
        <v>0.91722644353485105</v>
      </c>
      <c r="E32" s="10">
        <v>0.99875999999999998</v>
      </c>
      <c r="F32" s="10"/>
    </row>
    <row r="33" spans="1:6">
      <c r="A33" s="10">
        <v>32</v>
      </c>
      <c r="B33" s="10">
        <v>38</v>
      </c>
      <c r="C33" s="10">
        <v>23.101372650650902</v>
      </c>
      <c r="D33" s="10">
        <v>0.92984452208314905</v>
      </c>
      <c r="E33" s="10">
        <v>0.99856999999999996</v>
      </c>
      <c r="F33" s="10"/>
    </row>
    <row r="34" spans="1:6">
      <c r="A34" s="10">
        <v>33</v>
      </c>
      <c r="B34" s="10">
        <v>39</v>
      </c>
      <c r="C34" s="10">
        <v>21.108416182661301</v>
      </c>
      <c r="D34" s="10">
        <v>0.91604878240686205</v>
      </c>
      <c r="E34" s="10">
        <v>0.99865000000000004</v>
      </c>
      <c r="F34" s="10"/>
    </row>
    <row r="35" spans="1:6">
      <c r="A35" s="10">
        <v>34</v>
      </c>
      <c r="B35" s="10">
        <v>39</v>
      </c>
      <c r="C35" s="10">
        <v>21.117654736378402</v>
      </c>
      <c r="D35" s="10">
        <v>0.91395627404902602</v>
      </c>
      <c r="E35" s="10">
        <v>0.99843000000000004</v>
      </c>
      <c r="F35" s="10"/>
    </row>
    <row r="36" spans="1:6">
      <c r="A36" s="10">
        <v>35</v>
      </c>
      <c r="B36" s="10">
        <v>39</v>
      </c>
      <c r="C36" s="10">
        <v>21.056776953707299</v>
      </c>
      <c r="D36" s="10">
        <v>0.91093445790900196</v>
      </c>
      <c r="E36" s="10">
        <v>0.99858000000000002</v>
      </c>
      <c r="F36" s="10"/>
    </row>
    <row r="37" spans="1:6">
      <c r="A37" s="10">
        <v>36</v>
      </c>
      <c r="B37" s="10">
        <v>39</v>
      </c>
      <c r="C37" s="10">
        <v>21.000709532631301</v>
      </c>
      <c r="D37" s="10">
        <v>0.91563484570090603</v>
      </c>
      <c r="E37" s="10">
        <v>0.99902000000000002</v>
      </c>
      <c r="F37" s="10"/>
    </row>
    <row r="38" spans="1:6">
      <c r="A38" s="10">
        <v>37</v>
      </c>
      <c r="B38" s="10">
        <v>40</v>
      </c>
      <c r="C38" s="10">
        <v>23.000173290905298</v>
      </c>
      <c r="D38" s="10">
        <v>0.92015303906720503</v>
      </c>
      <c r="E38" s="10">
        <v>0.99912999999999996</v>
      </c>
      <c r="F38" s="10"/>
    </row>
    <row r="39" spans="1:6">
      <c r="A39" s="10">
        <v>38</v>
      </c>
      <c r="B39" s="10">
        <v>40</v>
      </c>
      <c r="C39" s="10">
        <v>23.1075801684613</v>
      </c>
      <c r="D39" s="10">
        <v>0.90692088998568399</v>
      </c>
      <c r="E39" s="10">
        <v>0.99870000000000003</v>
      </c>
      <c r="F39" s="10"/>
    </row>
    <row r="40" spans="1:6">
      <c r="A40" s="10">
        <v>39</v>
      </c>
      <c r="B40" s="10">
        <v>40</v>
      </c>
      <c r="C40" s="10">
        <v>23.087716793392001</v>
      </c>
      <c r="D40" s="10">
        <v>0.895001083582599</v>
      </c>
      <c r="E40" s="10">
        <v>0.99888999999999994</v>
      </c>
      <c r="F40" s="10"/>
    </row>
    <row r="41" spans="1:6">
      <c r="A41" s="10">
        <v>40</v>
      </c>
      <c r="B41" s="10">
        <v>40</v>
      </c>
      <c r="C41" s="10">
        <v>23.1626074590794</v>
      </c>
      <c r="D41" s="10">
        <v>0.907529028048494</v>
      </c>
      <c r="E41" s="10">
        <v>0.99885000000000002</v>
      </c>
      <c r="F41" s="10"/>
    </row>
    <row r="42" spans="1:6">
      <c r="A42" s="10">
        <v>41</v>
      </c>
      <c r="B42" s="10" t="s">
        <v>7</v>
      </c>
      <c r="C42" s="10">
        <v>34.341922787482297</v>
      </c>
      <c r="D42" s="10">
        <v>0.58353977343076002</v>
      </c>
      <c r="E42" s="10">
        <v>0.99816000000000005</v>
      </c>
      <c r="F42" s="10"/>
    </row>
    <row r="43" spans="1:6">
      <c r="A43" s="10">
        <v>42</v>
      </c>
      <c r="B43" s="10" t="s">
        <v>7</v>
      </c>
      <c r="C43" s="10">
        <v>34.9714714628698</v>
      </c>
      <c r="D43" s="10">
        <v>0.57066237749896198</v>
      </c>
      <c r="E43" s="10">
        <v>0.99726999999999999</v>
      </c>
      <c r="F43" s="10"/>
    </row>
    <row r="44" spans="1:6">
      <c r="A44" s="10">
        <v>43</v>
      </c>
      <c r="B44" s="10" t="s">
        <v>7</v>
      </c>
      <c r="C44" s="10">
        <v>32.441119289666098</v>
      </c>
      <c r="D44" s="10">
        <v>0.69380898713692196</v>
      </c>
      <c r="E44" s="10">
        <v>0.99934999999999996</v>
      </c>
      <c r="F44" s="10"/>
    </row>
    <row r="45" spans="1:6">
      <c r="A45" s="10">
        <v>44</v>
      </c>
      <c r="B45" s="10" t="s">
        <v>7</v>
      </c>
      <c r="C45" s="10">
        <v>36.009344463473099</v>
      </c>
      <c r="D45" s="10">
        <v>0.50576005301799098</v>
      </c>
      <c r="E45" s="10">
        <v>0.99453000000000003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31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24.525970141779801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31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24.701289211430201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31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24.667135688170301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31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24.570563609384902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32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23.238475959769598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32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23.2249009170101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32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23.241483206153099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32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23.170724765802401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20.269608364144201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20.227826800237999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20.305688229781701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20.2352966620799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20.406944381301599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20.229387564185998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20.313694525945898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20.2692882364552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20.960549285614899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21.062273142601001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21.094847978779299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20.902276052953301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20.860270612399901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20.9978830033217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20.9966839180256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20.898742928857999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25.018369808141699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25.028949184992399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25.059854310504399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25.048834757988299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22.7594535680362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23.001719925971798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22.993396805660002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23.101372650650902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21.108416182661301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21.117654736378402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21.056776953707299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21.000709532631301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23.000173290905298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23.1075801684613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23.087716793392001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23.1626074590794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21.489073378485301</v>
      </c>
      <c r="C42">
        <f>IF('18S2'!C42="", "", '18S2'!C42)</f>
        <v>20.169218046192</v>
      </c>
      <c r="D42">
        <f>IF(RNAseP!C42="", "", RNAseP!C42)</f>
        <v>34.341922787482297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22.0473386566985</v>
      </c>
      <c r="C43">
        <f>IF('18S2'!C43="", "", '18S2'!C43)</f>
        <v>20.506327621695601</v>
      </c>
      <c r="D43">
        <f>IF(RNAseP!C43="", "", RNAseP!C43)</f>
        <v>34.9714714628698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22.251367489275101</v>
      </c>
      <c r="C44">
        <f>IF('18S2'!C44="", "", '18S2'!C44)</f>
        <v>20.644415497102798</v>
      </c>
      <c r="D44">
        <f>IF(RNAseP!C44="", "", RNAseP!C44)</f>
        <v>32.441119289666098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22.422415343489899</v>
      </c>
      <c r="C45">
        <f>IF('18S2'!C45="", "", '18S2'!C45)</f>
        <v>20.7680052778319</v>
      </c>
      <c r="D45">
        <f>IF(RNAseP!C45="", "", RNAseP!C45)</f>
        <v>36.009344463473099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16" sqref="B16: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45791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 t="s">
        <v>49</v>
      </c>
      <c r="D8" s="26"/>
      <c r="E8" s="26"/>
      <c r="F8" s="26"/>
      <c r="G8" s="26"/>
    </row>
    <row r="9" spans="1:8">
      <c r="A9" s="24" t="s">
        <v>50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51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52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53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54</v>
      </c>
      <c r="C15" s="13" t="s">
        <v>55</v>
      </c>
      <c r="D15" s="14" t="s">
        <v>9</v>
      </c>
      <c r="E15" s="15" t="s">
        <v>10</v>
      </c>
      <c r="F15" s="16" t="s">
        <v>11</v>
      </c>
      <c r="G15" s="23" t="s">
        <v>56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31</v>
      </c>
      <c r="B16" s="11">
        <v>2402800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24,6 +/- 0,1</v>
      </c>
      <c r="G16" s="18" t="s">
        <v>57</v>
      </c>
    </row>
    <row r="17" spans="1:12">
      <c r="A17" s="21" cm="1">
        <f t="array" ref="A17">IF(INDEX(Analysis!A:A,MATCH(0,COUNTIF($A$14:A16,Analysis!A:A),0))="","",INDEX(Analysis!A:A,MATCH(0,COUNTIF($A$14:A16,Analysis!A:A),0)))</f>
        <v>32</v>
      </c>
      <c r="B17" s="11">
        <v>2402825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23,2 +/- 0</v>
      </c>
      <c r="G17" s="18" t="s">
        <v>57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33</v>
      </c>
      <c r="B18" s="11">
        <v>2401082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20,3 +/- 0</v>
      </c>
      <c r="G18" s="18" t="s">
        <v>57</v>
      </c>
    </row>
    <row r="19" spans="1:12">
      <c r="A19" s="21" cm="1">
        <f t="array" ref="A19">IF(INDEX(Analysis!A:A,MATCH(0,COUNTIF($A$14:A18,Analysis!A:A),0))="","",INDEX(Analysis!A:A,MATCH(0,COUNTIF($A$14:A18,Analysis!A:A),0)))</f>
        <v>34</v>
      </c>
      <c r="B19" s="11">
        <v>2402834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20,3 +/- 0,1</v>
      </c>
      <c r="G19" s="18" t="s">
        <v>57</v>
      </c>
    </row>
    <row r="20" spans="1:12">
      <c r="A20" s="21" cm="1">
        <f t="array" ref="A20">IF(INDEX(Analysis!A:A,MATCH(0,COUNTIF($A$14:A19,Analysis!A:A),0))="","",INDEX(Analysis!A:A,MATCH(0,COUNTIF($A$14:A19,Analysis!A:A),0)))</f>
        <v>35</v>
      </c>
      <c r="B20" s="11">
        <v>2402776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 +/- 0,1</v>
      </c>
      <c r="G20" s="18" t="s">
        <v>57</v>
      </c>
    </row>
    <row r="21" spans="1:12">
      <c r="A21" s="21" cm="1">
        <f t="array" ref="A21">IF(INDEX(Analysis!A:A,MATCH(0,COUNTIF($A$14:A20,Analysis!A:A),0))="","",INDEX(Analysis!A:A,MATCH(0,COUNTIF($A$14:A20,Analysis!A:A),0)))</f>
        <v>36</v>
      </c>
      <c r="B21" s="11">
        <v>2500019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20,9 +/- 0,1</v>
      </c>
      <c r="G21" s="18" t="s">
        <v>57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37</v>
      </c>
      <c r="B22" s="11">
        <v>2402586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 +/- 0</v>
      </c>
      <c r="G22" s="18" t="s">
        <v>57</v>
      </c>
    </row>
    <row r="23" spans="1:12">
      <c r="A23" s="21" cm="1">
        <f t="array" ref="A23">IF(INDEX(Analysis!A:A,MATCH(0,COUNTIF($A$14:A22,Analysis!A:A),0))="","",INDEX(Analysis!A:A,MATCH(0,COUNTIF($A$14:A22,Analysis!A:A),0)))</f>
        <v>38</v>
      </c>
      <c r="B23" s="11">
        <v>2402831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 +/- 0,1</v>
      </c>
      <c r="G23" s="18" t="s">
        <v>57</v>
      </c>
    </row>
    <row r="24" spans="1:12">
      <c r="A24" s="21" cm="1">
        <f t="array" ref="A24">IF(INDEX(Analysis!A:A,MATCH(0,COUNTIF($A$14:A23,Analysis!A:A),0))="","",INDEX(Analysis!A:A,MATCH(0,COUNTIF($A$14:A23,Analysis!A:A),0)))</f>
        <v>39</v>
      </c>
      <c r="B24" s="11">
        <v>2400780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21,1 +/- 0,1</v>
      </c>
      <c r="G24" s="18" t="s">
        <v>57</v>
      </c>
    </row>
    <row r="25" spans="1:12">
      <c r="A25" s="21" cm="1">
        <f t="array" ref="A25">IF(INDEX(Analysis!A:A,MATCH(0,COUNTIF($A$14:A24,Analysis!A:A),0))="","",INDEX(Analysis!A:A,MATCH(0,COUNTIF($A$14:A24,Analysis!A:A),0)))</f>
        <v>40</v>
      </c>
      <c r="B25" s="11">
        <v>2400818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  <c r="G25" s="18" t="s">
        <v>57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+/- 1,5</v>
      </c>
      <c r="G26" s="18" t="s">
        <v>57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57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58</v>
      </c>
      <c r="B29" s="13" t="s">
        <v>59</v>
      </c>
      <c r="C29" s="31" t="s">
        <v>60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61</v>
      </c>
      <c r="B30" s="18" t="s">
        <v>62</v>
      </c>
      <c r="C30" s="30" t="s">
        <v>63</v>
      </c>
      <c r="D30" s="30"/>
      <c r="E30" s="20"/>
    </row>
    <row r="31" spans="1:12">
      <c r="A31" s="18" t="s">
        <v>20</v>
      </c>
      <c r="B31" s="18" t="s">
        <v>21</v>
      </c>
      <c r="C31" s="30" t="s">
        <v>64</v>
      </c>
      <c r="D31" s="30"/>
      <c r="E31" s="20"/>
    </row>
    <row r="32" spans="1:12">
      <c r="A32" s="18" t="s">
        <v>22</v>
      </c>
      <c r="B32" s="18" t="s">
        <v>65</v>
      </c>
      <c r="C32" s="30" t="s">
        <v>66</v>
      </c>
      <c r="D32" s="30"/>
      <c r="E32" s="20"/>
    </row>
    <row r="33" spans="1:5">
      <c r="A33" s="18" t="s">
        <v>67</v>
      </c>
      <c r="B33" s="18" t="s">
        <v>68</v>
      </c>
      <c r="C33" s="30" t="s">
        <v>69</v>
      </c>
      <c r="D33" s="30"/>
      <c r="E33" s="20"/>
    </row>
    <row r="34" spans="1:5">
      <c r="A34" s="18" t="s">
        <v>17</v>
      </c>
      <c r="B34" s="18" t="s">
        <v>70</v>
      </c>
      <c r="C34" s="30" t="s">
        <v>71</v>
      </c>
      <c r="D34" s="30"/>
      <c r="E34" s="20"/>
    </row>
    <row r="35" spans="1:5">
      <c r="A35" s="18" t="s">
        <v>72</v>
      </c>
      <c r="B35" s="18" t="s">
        <v>73</v>
      </c>
      <c r="C35" s="30" t="s">
        <v>74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75</v>
      </c>
      <c r="C1" s="2" t="s">
        <v>76</v>
      </c>
      <c r="D1" s="2" t="s">
        <v>55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24,6 +/- 0,1</v>
      </c>
    </row>
    <row r="3" spans="1:11">
      <c r="A3" s="3">
        <f>Report!A17</f>
        <v>32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23,2 +/- 0</v>
      </c>
    </row>
    <row r="4" spans="1:11">
      <c r="A4" s="3">
        <f>Report!A18</f>
        <v>33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20,3 +/- 0</v>
      </c>
    </row>
    <row r="5" spans="1:11">
      <c r="A5" s="3">
        <f>Report!A19</f>
        <v>34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20,3 +/- 0,1</v>
      </c>
    </row>
    <row r="6" spans="1:11">
      <c r="A6" s="3">
        <f>Report!A20</f>
        <v>35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 +/- 0,1</v>
      </c>
    </row>
    <row r="7" spans="1:11">
      <c r="A7" s="3">
        <f>Report!A21</f>
        <v>36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20,9 +/- 0,1</v>
      </c>
      <c r="K7" s="4"/>
    </row>
    <row r="8" spans="1:11">
      <c r="A8" s="3">
        <f>Report!A22</f>
        <v>37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 +/- 0</v>
      </c>
    </row>
    <row r="9" spans="1:11">
      <c r="A9" s="3">
        <f>Report!A23</f>
        <v>38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 +/- 0,1</v>
      </c>
    </row>
    <row r="10" spans="1:11">
      <c r="A10" s="3">
        <f>Report!A24</f>
        <v>39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21,1 +/- 0,1</v>
      </c>
    </row>
    <row r="11" spans="1:11">
      <c r="A11" s="3">
        <f>Report!A25</f>
        <v>40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2025-05-19T11:54:11+00:00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B90F3-3EB9-455F-903F-D901B48F8B25}"/>
</file>

<file path=customXml/itemProps2.xml><?xml version="1.0" encoding="utf-8"?>
<ds:datastoreItem xmlns:ds="http://schemas.openxmlformats.org/officeDocument/2006/customXml" ds:itemID="{5D648A87-D76E-4683-99E1-018AAC643F88}"/>
</file>

<file path=customXml/itemProps3.xml><?xml version="1.0" encoding="utf-8"?>
<ds:datastoreItem xmlns:ds="http://schemas.openxmlformats.org/officeDocument/2006/customXml" ds:itemID="{EF9AF3D4-E755-466F-B623-4C1ACE9CE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2025-07-18T09:44:01Z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