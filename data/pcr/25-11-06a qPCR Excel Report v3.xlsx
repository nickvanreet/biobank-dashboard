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D3A7896E-238C-43B5-89E6-FC6F6E1135E4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295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<sst xmlns="http://schemas.openxmlformats.org/spreadsheetml/2006/main" count="410" uniqueCount="75">
  <si>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</si>
  <si>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</si>
  <si>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</si>
  <si>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</si>
  <si>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</si>
  <si>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</si>
  <si>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</si>
  <si>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</si>
  <si>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</si>
  <si>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</si>
  <si>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</si>
  <si>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</si>
  <si>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</si>
  <si>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</si>
  <si>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</si>
  <si>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</si>
  <si>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</si>
  <si>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</si>
  <si>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</si>
  <si>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</si>
  <si>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</si>
  <si>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</si>
  <si>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</si>
  <si>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</si>
  <si>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</si>
  <si>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</si>
  <si>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</si>
  <si>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</si>
  <si>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</si>
  <si>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</si>
  <si>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</si>
  <si>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</si>
  <si>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</si>
  <si>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</si>
  <si>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</si>
  <si>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</si>
  <si>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</si>
  <si>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</si>
  <si>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</si>
  <si>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</si>
  <si>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</si>
  <si>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</si>
  <si>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</si>
  <si>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</si>
  <si>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</si>
  <si>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2025-11-06 10.16.21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</si>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</sst>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403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403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403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403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404</v>
      </c>
      <c r="C6" s="8">
        <v>31.110144356134601</v>
      </c>
      <c r="D6" s="8">
        <v>0.883382424299612</v>
      </c>
      <c r="E6" s="8">
        <v>0.99965000000000004</v>
      </c>
      <c r="F6" s="8"/>
    </row>
    <row r="7" spans="1:6">
      <c r="A7" s="8">
        <v>6</v>
      </c>
      <c r="B7" s="8">
        <v>404</v>
      </c>
      <c r="C7" s="8">
        <v>32.122575235747597</v>
      </c>
      <c r="D7" s="8">
        <v>0.79922388711944703</v>
      </c>
      <c r="E7" s="8">
        <v>0.99997000000000003</v>
      </c>
      <c r="F7" s="8"/>
    </row>
    <row r="8" spans="1:6">
      <c r="A8" s="8">
        <v>7</v>
      </c>
      <c r="B8" s="8">
        <v>404</v>
      </c>
      <c r="C8" s="8">
        <v>31.048480616497301</v>
      </c>
      <c r="D8" s="8">
        <v>0.91080370166202496</v>
      </c>
      <c r="E8" s="8">
        <v>0.99966999999999995</v>
      </c>
      <c r="F8" s="8"/>
    </row>
    <row r="9" spans="1:6">
      <c r="A9" s="8">
        <v>8</v>
      </c>
      <c r="B9" s="8">
        <v>404</v>
      </c>
      <c r="C9" s="8">
        <v>32.190947832474201</v>
      </c>
      <c r="D9" s="8">
        <v>0.82492463831282103</v>
      </c>
      <c r="E9" s="8">
        <v>0.99943000000000004</v>
      </c>
      <c r="F9" s="8"/>
    </row>
    <row r="10" spans="1:6">
      <c r="A10" s="8">
        <v>9</v>
      </c>
      <c r="B10" s="8">
        <v>405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405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405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405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406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406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406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406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407</v>
      </c>
      <c r="C18" s="8">
        <v>34.680328982456402</v>
      </c>
      <c r="D18" s="8">
        <v>0.72040635600436898</v>
      </c>
      <c r="E18" s="8">
        <v>0.99860000000000004</v>
      </c>
      <c r="F18" s="8"/>
    </row>
    <row r="19" spans="1:6">
      <c r="A19" s="8">
        <v>18</v>
      </c>
      <c r="B19" s="8">
        <v>407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407</v>
      </c>
      <c r="C20" s="8">
        <v>33.9228230683456</v>
      </c>
      <c r="D20" s="8">
        <v>0.69128856034338004</v>
      </c>
      <c r="E20" s="8">
        <v>0.99961</v>
      </c>
      <c r="F20" s="8"/>
    </row>
    <row r="21" spans="1:6">
      <c r="A21" s="8">
        <v>20</v>
      </c>
      <c r="B21" s="8">
        <v>407</v>
      </c>
      <c r="C21" s="8">
        <v>33.762517136222002</v>
      </c>
      <c r="D21" s="8">
        <v>0.65321870851006003</v>
      </c>
      <c r="E21" s="8">
        <v>0.99875000000000003</v>
      </c>
      <c r="F21" s="8"/>
    </row>
    <row r="22" spans="1:6">
      <c r="A22" s="8">
        <v>21</v>
      </c>
      <c r="B22" s="8">
        <v>408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408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408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408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409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409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409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409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410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410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410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410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411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411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411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411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412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412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412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412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21.697727459802699</v>
      </c>
      <c r="D42" s="8">
        <v>0.90543405698424995</v>
      </c>
      <c r="E42" s="8">
        <v>0.99995999999999996</v>
      </c>
      <c r="F42" s="8"/>
    </row>
    <row r="43" spans="1:6">
      <c r="A43" s="8">
        <v>42</v>
      </c>
      <c r="B43" s="8" t="s">
        <v>7</v>
      </c>
      <c r="C43" s="8">
        <v>23.453010769108801</v>
      </c>
      <c r="D43" s="8">
        <v>0.97425464296014097</v>
      </c>
      <c r="E43" s="8">
        <v>0.99936999999999998</v>
      </c>
      <c r="F43" s="8"/>
    </row>
    <row r="44" spans="1:6">
      <c r="A44" s="8">
        <v>43</v>
      </c>
      <c r="B44" s="8" t="s">
        <v>7</v>
      </c>
      <c r="C44" s="8">
        <v>24.417303386779398</v>
      </c>
      <c r="D44" s="8">
        <v>0.89579426926804495</v>
      </c>
      <c r="E44" s="8">
        <v>0.99956</v>
      </c>
      <c r="F44" s="8"/>
    </row>
    <row r="45" spans="1:6">
      <c r="A45" s="8">
        <v>44</v>
      </c>
      <c r="B45" s="8" t="s">
        <v>7</v>
      </c>
      <c r="C45" s="8">
        <v>24.084880691825401</v>
      </c>
      <c r="D45" s="8">
        <v>0.815384938947876</v>
      </c>
      <c r="E45" s="8">
        <v>0.99997000000000003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403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403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403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403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404</v>
      </c>
      <c r="C6" s="9">
        <v>37.399063151810402</v>
      </c>
      <c r="D6" s="9">
        <v>0.55145649985279199</v>
      </c>
      <c r="E6" s="9">
        <v>0.99722999999999995</v>
      </c>
      <c r="F6" s="9"/>
    </row>
    <row r="7" spans="1:6">
      <c r="A7" s="9">
        <v>6</v>
      </c>
      <c r="B7" s="9">
        <v>404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404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404</v>
      </c>
      <c r="C9" s="9">
        <v>34.917109782195602</v>
      </c>
      <c r="D9" s="9">
        <v>0.79035596065440405</v>
      </c>
      <c r="E9" s="9">
        <v>0.99811000000000005</v>
      </c>
      <c r="F9" s="9"/>
    </row>
    <row r="10" spans="1:6">
      <c r="A10" s="9">
        <v>9</v>
      </c>
      <c r="B10" s="9">
        <v>405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405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405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405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406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406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406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406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407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407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407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407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408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408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408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408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409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409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409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409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410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410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410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410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411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411</v>
      </c>
      <c r="C35" s="9">
        <v>38.245704808338701</v>
      </c>
      <c r="D35" s="9">
        <v>0.423327242925017</v>
      </c>
      <c r="E35" s="9">
        <v>0.99372000000000005</v>
      </c>
      <c r="F35" s="9"/>
    </row>
    <row r="36" spans="1:6">
      <c r="A36" s="9">
        <v>35</v>
      </c>
      <c r="B36" s="9">
        <v>411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411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412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412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412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412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19.700651912412599</v>
      </c>
      <c r="D42" s="9">
        <v>0.98208484846163002</v>
      </c>
      <c r="E42" s="9">
        <v>0.99907999999999997</v>
      </c>
      <c r="F42" s="9"/>
    </row>
    <row r="43" spans="1:6">
      <c r="A43" s="9">
        <v>42</v>
      </c>
      <c r="B43" s="9" t="s">
        <v>7</v>
      </c>
      <c r="C43" s="9">
        <v>20.4597193001531</v>
      </c>
      <c r="D43" s="9">
        <v>0.99523247471488796</v>
      </c>
      <c r="E43" s="9">
        <v>0.99909000000000003</v>
      </c>
      <c r="F43" s="9"/>
    </row>
    <row r="44" spans="1:6">
      <c r="A44" s="9">
        <v>43</v>
      </c>
      <c r="B44" s="9" t="s">
        <v>7</v>
      </c>
      <c r="C44" s="9">
        <v>20.590525563878099</v>
      </c>
      <c r="D44" s="9">
        <v>0.98594087726587398</v>
      </c>
      <c r="E44" s="9">
        <v>0.99912000000000001</v>
      </c>
      <c r="F44" s="9"/>
    </row>
    <row r="45" spans="1:6">
      <c r="A45" s="9">
        <v>44</v>
      </c>
      <c r="B45" s="9" t="s">
        <v>7</v>
      </c>
      <c r="C45" s="9">
        <v>20.727917685936799</v>
      </c>
      <c r="D45" s="9">
        <v>0.97761798208786199</v>
      </c>
      <c r="E45" s="9">
        <v>0.99899000000000004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403</v>
      </c>
      <c r="C2" s="10">
        <v>23.661317293303501</v>
      </c>
      <c r="D2" s="10">
        <v>0.95017331287437501</v>
      </c>
      <c r="E2" s="10">
        <v>0.99887999999999999</v>
      </c>
      <c r="F2" s="10"/>
    </row>
    <row r="3" spans="1:6">
      <c r="A3" s="10">
        <v>2</v>
      </c>
      <c r="B3" s="10">
        <v>403</v>
      </c>
      <c r="C3" s="10">
        <v>23.719321576133499</v>
      </c>
      <c r="D3" s="10">
        <v>0.95021768510123705</v>
      </c>
      <c r="E3" s="10">
        <v>0.99880999999999998</v>
      </c>
      <c r="F3" s="10"/>
    </row>
    <row r="4" spans="1:6">
      <c r="A4" s="10">
        <v>3</v>
      </c>
      <c r="B4" s="10">
        <v>403</v>
      </c>
      <c r="C4" s="10">
        <v>23.890096467474901</v>
      </c>
      <c r="D4" s="10">
        <v>0.93366695053988302</v>
      </c>
      <c r="E4" s="10">
        <v>0.99912999999999996</v>
      </c>
      <c r="F4" s="10"/>
    </row>
    <row r="5" spans="1:6">
      <c r="A5" s="10">
        <v>4</v>
      </c>
      <c r="B5" s="10">
        <v>403</v>
      </c>
      <c r="C5" s="10">
        <v>23.754746419797499</v>
      </c>
      <c r="D5" s="10">
        <v>0.93091738441239502</v>
      </c>
      <c r="E5" s="10">
        <v>0.99905999999999995</v>
      </c>
      <c r="F5" s="10"/>
    </row>
    <row r="6" spans="1:6">
      <c r="A6" s="10">
        <v>5</v>
      </c>
      <c r="B6" s="10">
        <v>404</v>
      </c>
      <c r="C6" s="10">
        <v>26.0464109244373</v>
      </c>
      <c r="D6" s="10">
        <v>0.92320556033010703</v>
      </c>
      <c r="E6" s="10">
        <v>0.99894000000000005</v>
      </c>
      <c r="F6" s="10"/>
    </row>
    <row r="7" spans="1:6">
      <c r="A7" s="10">
        <v>6</v>
      </c>
      <c r="B7" s="10">
        <v>404</v>
      </c>
      <c r="C7" s="10">
        <v>26.015003460026499</v>
      </c>
      <c r="D7" s="10">
        <v>0.91184025757046205</v>
      </c>
      <c r="E7" s="10">
        <v>0.99936000000000003</v>
      </c>
      <c r="F7" s="10"/>
    </row>
    <row r="8" spans="1:6">
      <c r="A8" s="10">
        <v>7</v>
      </c>
      <c r="B8" s="10">
        <v>404</v>
      </c>
      <c r="C8" s="10">
        <v>26.039702144162501</v>
      </c>
      <c r="D8" s="10">
        <v>0.90506403102659905</v>
      </c>
      <c r="E8" s="10">
        <v>0.99939999999999996</v>
      </c>
      <c r="F8" s="10"/>
    </row>
    <row r="9" spans="1:6">
      <c r="A9" s="10">
        <v>8</v>
      </c>
      <c r="B9" s="10">
        <v>404</v>
      </c>
      <c r="C9" s="10">
        <v>26.127479588885901</v>
      </c>
      <c r="D9" s="10">
        <v>0.91450084447250302</v>
      </c>
      <c r="E9" s="10">
        <v>0.99905999999999995</v>
      </c>
      <c r="F9" s="10"/>
    </row>
    <row r="10" spans="1:6">
      <c r="A10" s="10">
        <v>9</v>
      </c>
      <c r="B10" s="10">
        <v>405</v>
      </c>
      <c r="C10" s="10">
        <v>23.668553492755802</v>
      </c>
      <c r="D10" s="10">
        <v>0.92878108249915503</v>
      </c>
      <c r="E10" s="10">
        <v>0.99919999999999998</v>
      </c>
      <c r="F10" s="10"/>
    </row>
    <row r="11" spans="1:6">
      <c r="A11" s="10">
        <v>10</v>
      </c>
      <c r="B11" s="10">
        <v>405</v>
      </c>
      <c r="C11" s="10">
        <v>23.502951850737301</v>
      </c>
      <c r="D11" s="10">
        <v>0.90300266638621995</v>
      </c>
      <c r="E11" s="10">
        <v>0.99936999999999998</v>
      </c>
      <c r="F11" s="10"/>
    </row>
    <row r="12" spans="1:6">
      <c r="A12" s="10">
        <v>11</v>
      </c>
      <c r="B12" s="10">
        <v>405</v>
      </c>
      <c r="C12" s="10">
        <v>23.551766116113701</v>
      </c>
      <c r="D12" s="10">
        <v>0.93017650594940404</v>
      </c>
      <c r="E12" s="10">
        <v>0.99912000000000001</v>
      </c>
      <c r="F12" s="10"/>
    </row>
    <row r="13" spans="1:6">
      <c r="A13" s="10">
        <v>12</v>
      </c>
      <c r="B13" s="10">
        <v>405</v>
      </c>
      <c r="C13" s="10">
        <v>23.514839987411602</v>
      </c>
      <c r="D13" s="10">
        <v>0.95688243230780901</v>
      </c>
      <c r="E13" s="10">
        <v>0.99878</v>
      </c>
      <c r="F13" s="10"/>
    </row>
    <row r="14" spans="1:6">
      <c r="A14" s="10">
        <v>13</v>
      </c>
      <c r="B14" s="10">
        <v>406</v>
      </c>
      <c r="C14" s="10">
        <v>25.235699795336402</v>
      </c>
      <c r="D14" s="10">
        <v>0.89301503530907</v>
      </c>
      <c r="E14" s="10">
        <v>0.99946000000000002</v>
      </c>
      <c r="F14" s="10"/>
    </row>
    <row r="15" spans="1:6">
      <c r="A15" s="10">
        <v>14</v>
      </c>
      <c r="B15" s="10">
        <v>406</v>
      </c>
      <c r="C15" s="10">
        <v>25.156216435591599</v>
      </c>
      <c r="D15" s="10">
        <v>0.88025380160949396</v>
      </c>
      <c r="E15" s="10">
        <v>0.99941000000000002</v>
      </c>
      <c r="F15" s="10"/>
    </row>
    <row r="16" spans="1:6">
      <c r="A16" s="10">
        <v>15</v>
      </c>
      <c r="B16" s="10">
        <v>406</v>
      </c>
      <c r="C16" s="10">
        <v>24.970016809014801</v>
      </c>
      <c r="D16" s="10">
        <v>0.89463613315915702</v>
      </c>
      <c r="E16" s="10">
        <v>0.99950000000000006</v>
      </c>
      <c r="F16" s="10"/>
    </row>
    <row r="17" spans="1:6">
      <c r="A17" s="10">
        <v>16</v>
      </c>
      <c r="B17" s="10">
        <v>406</v>
      </c>
      <c r="C17" s="10">
        <v>25.121056845527001</v>
      </c>
      <c r="D17" s="10">
        <v>0.87868005998949905</v>
      </c>
      <c r="E17" s="10">
        <v>0.99946999999999997</v>
      </c>
      <c r="F17" s="10"/>
    </row>
    <row r="18" spans="1:6">
      <c r="A18" s="10">
        <v>17</v>
      </c>
      <c r="B18" s="10">
        <v>407</v>
      </c>
      <c r="C18" s="10">
        <v>27.0949272853575</v>
      </c>
      <c r="D18" s="10">
        <v>0.90112421077764204</v>
      </c>
      <c r="E18" s="10">
        <v>0.99917</v>
      </c>
      <c r="F18" s="10"/>
    </row>
    <row r="19" spans="1:6">
      <c r="A19" s="10">
        <v>18</v>
      </c>
      <c r="B19" s="10">
        <v>407</v>
      </c>
      <c r="C19" s="10">
        <v>26.993500201927201</v>
      </c>
      <c r="D19" s="10">
        <v>0.907788484138493</v>
      </c>
      <c r="E19" s="10">
        <v>0.99938000000000005</v>
      </c>
      <c r="F19" s="10"/>
    </row>
    <row r="20" spans="1:6">
      <c r="A20" s="10">
        <v>19</v>
      </c>
      <c r="B20" s="10">
        <v>407</v>
      </c>
      <c r="C20" s="10">
        <v>26.927218558482199</v>
      </c>
      <c r="D20" s="10">
        <v>0.895827192995171</v>
      </c>
      <c r="E20" s="10">
        <v>0.99948000000000004</v>
      </c>
      <c r="F20" s="10"/>
    </row>
    <row r="21" spans="1:6">
      <c r="A21" s="10">
        <v>20</v>
      </c>
      <c r="B21" s="10">
        <v>407</v>
      </c>
      <c r="C21" s="10">
        <v>26.955161743335299</v>
      </c>
      <c r="D21" s="10">
        <v>0.88416718539999095</v>
      </c>
      <c r="E21" s="10">
        <v>0.99958000000000002</v>
      </c>
      <c r="F21" s="10"/>
    </row>
    <row r="22" spans="1:6">
      <c r="A22" s="10">
        <v>21</v>
      </c>
      <c r="B22" s="10">
        <v>408</v>
      </c>
      <c r="C22" s="10">
        <v>27.483544009457301</v>
      </c>
      <c r="D22" s="10">
        <v>0.92958774656839005</v>
      </c>
      <c r="E22" s="10">
        <v>0.99904000000000004</v>
      </c>
      <c r="F22" s="10"/>
    </row>
    <row r="23" spans="1:6">
      <c r="A23" s="10">
        <v>22</v>
      </c>
      <c r="B23" s="10">
        <v>408</v>
      </c>
      <c r="C23" s="10">
        <v>27.391513904977501</v>
      </c>
      <c r="D23" s="10">
        <v>0.91861506081160105</v>
      </c>
      <c r="E23" s="10">
        <v>0.99924999999999997</v>
      </c>
      <c r="F23" s="10"/>
    </row>
    <row r="24" spans="1:6">
      <c r="A24" s="10">
        <v>23</v>
      </c>
      <c r="B24" s="10">
        <v>408</v>
      </c>
      <c r="C24" s="10">
        <v>27.410261928699601</v>
      </c>
      <c r="D24" s="10">
        <v>0.94316366366483095</v>
      </c>
      <c r="E24" s="10">
        <v>0.99887000000000004</v>
      </c>
      <c r="F24" s="10"/>
    </row>
    <row r="25" spans="1:6">
      <c r="A25" s="10">
        <v>24</v>
      </c>
      <c r="B25" s="10">
        <v>408</v>
      </c>
      <c r="C25" s="10">
        <v>27.450126628343298</v>
      </c>
      <c r="D25" s="10">
        <v>0.93443063944938398</v>
      </c>
      <c r="E25" s="10">
        <v>0.99911000000000005</v>
      </c>
      <c r="F25" s="10"/>
    </row>
    <row r="26" spans="1:6">
      <c r="A26" s="10">
        <v>25</v>
      </c>
      <c r="B26" s="10">
        <v>409</v>
      </c>
      <c r="C26" s="10">
        <v>22.1148610688448</v>
      </c>
      <c r="D26" s="10">
        <v>0.77952044255105701</v>
      </c>
      <c r="E26" s="10">
        <v>0.99904999999999999</v>
      </c>
      <c r="F26" s="10"/>
    </row>
    <row r="27" spans="1:6">
      <c r="A27" s="10">
        <v>26</v>
      </c>
      <c r="B27" s="10">
        <v>409</v>
      </c>
      <c r="C27" s="10">
        <v>23.294394552119702</v>
      </c>
      <c r="D27" s="10">
        <v>0.69498837548598202</v>
      </c>
      <c r="E27" s="10">
        <v>0.99912999999999996</v>
      </c>
      <c r="F27" s="10"/>
    </row>
    <row r="28" spans="1:6">
      <c r="A28" s="10">
        <v>27</v>
      </c>
      <c r="B28" s="10">
        <v>409</v>
      </c>
      <c r="C28" s="10">
        <v>22.895620254031499</v>
      </c>
      <c r="D28" s="10">
        <v>0.67960109728631202</v>
      </c>
      <c r="E28" s="10">
        <v>0.99941000000000002</v>
      </c>
      <c r="F28" s="10"/>
    </row>
    <row r="29" spans="1:6">
      <c r="A29" s="10">
        <v>28</v>
      </c>
      <c r="B29" s="10">
        <v>409</v>
      </c>
      <c r="C29" s="10">
        <v>22.958923962533198</v>
      </c>
      <c r="D29" s="10">
        <v>0.65746329970735096</v>
      </c>
      <c r="E29" s="10">
        <v>0.99965000000000004</v>
      </c>
      <c r="F29" s="10"/>
    </row>
    <row r="30" spans="1:6">
      <c r="A30" s="10">
        <v>29</v>
      </c>
      <c r="B30" s="10">
        <v>410</v>
      </c>
      <c r="C30" s="10">
        <v>24.2188135913309</v>
      </c>
      <c r="D30" s="10">
        <v>0.89478352110678006</v>
      </c>
      <c r="E30" s="10">
        <v>0.99941000000000002</v>
      </c>
      <c r="F30" s="10"/>
    </row>
    <row r="31" spans="1:6">
      <c r="A31" s="10">
        <v>30</v>
      </c>
      <c r="B31" s="10">
        <v>410</v>
      </c>
      <c r="C31" s="10">
        <v>24.039336817121399</v>
      </c>
      <c r="D31" s="10">
        <v>0.89263745789854998</v>
      </c>
      <c r="E31" s="10">
        <v>0.99946999999999997</v>
      </c>
      <c r="F31" s="10"/>
    </row>
    <row r="32" spans="1:6">
      <c r="A32" s="10">
        <v>31</v>
      </c>
      <c r="B32" s="10">
        <v>410</v>
      </c>
      <c r="C32" s="10">
        <v>24.0550148830024</v>
      </c>
      <c r="D32" s="10">
        <v>0.88840585110133197</v>
      </c>
      <c r="E32" s="10">
        <v>0.99950000000000006</v>
      </c>
      <c r="F32" s="10"/>
    </row>
    <row r="33" spans="1:6">
      <c r="A33" s="10">
        <v>32</v>
      </c>
      <c r="B33" s="10">
        <v>410</v>
      </c>
      <c r="C33" s="10">
        <v>24.008237145114901</v>
      </c>
      <c r="D33" s="10">
        <v>0.88978238861115</v>
      </c>
      <c r="E33" s="10">
        <v>0.99946999999999997</v>
      </c>
      <c r="F33" s="10"/>
    </row>
    <row r="34" spans="1:6">
      <c r="A34" s="10">
        <v>33</v>
      </c>
      <c r="B34" s="10">
        <v>411</v>
      </c>
      <c r="C34" s="10">
        <v>22.976595145102401</v>
      </c>
      <c r="D34" s="10">
        <v>0.91585501015110005</v>
      </c>
      <c r="E34" s="10">
        <v>0.99934000000000001</v>
      </c>
      <c r="F34" s="10"/>
    </row>
    <row r="35" spans="1:6">
      <c r="A35" s="10">
        <v>34</v>
      </c>
      <c r="B35" s="10">
        <v>411</v>
      </c>
      <c r="C35" s="10">
        <v>23.002877205256802</v>
      </c>
      <c r="D35" s="10">
        <v>0.920555531006227</v>
      </c>
      <c r="E35" s="10">
        <v>0.99926000000000004</v>
      </c>
      <c r="F35" s="10"/>
    </row>
    <row r="36" spans="1:6">
      <c r="A36" s="10">
        <v>35</v>
      </c>
      <c r="B36" s="10">
        <v>411</v>
      </c>
      <c r="C36" s="10">
        <v>23.026086742923901</v>
      </c>
      <c r="D36" s="10">
        <v>0.92366896317124003</v>
      </c>
      <c r="E36" s="10">
        <v>0.99895999999999996</v>
      </c>
      <c r="F36" s="10"/>
    </row>
    <row r="37" spans="1:6">
      <c r="A37" s="10">
        <v>36</v>
      </c>
      <c r="B37" s="10">
        <v>411</v>
      </c>
      <c r="C37" s="10">
        <v>22.894678166049101</v>
      </c>
      <c r="D37" s="10">
        <v>0.90612956793627097</v>
      </c>
      <c r="E37" s="10">
        <v>0.99939</v>
      </c>
      <c r="F37" s="10"/>
    </row>
    <row r="38" spans="1:6">
      <c r="A38" s="10">
        <v>37</v>
      </c>
      <c r="B38" s="10">
        <v>412</v>
      </c>
      <c r="C38" s="10">
        <v>24.060828455786901</v>
      </c>
      <c r="D38" s="10">
        <v>0.92299711530874395</v>
      </c>
      <c r="E38" s="10">
        <v>0.99902000000000002</v>
      </c>
      <c r="F38" s="10"/>
    </row>
    <row r="39" spans="1:6">
      <c r="A39" s="10">
        <v>38</v>
      </c>
      <c r="B39" s="10">
        <v>412</v>
      </c>
      <c r="C39" s="10">
        <v>23.9903548058785</v>
      </c>
      <c r="D39" s="10">
        <v>0.92274326031341702</v>
      </c>
      <c r="E39" s="10">
        <v>0.99914000000000003</v>
      </c>
      <c r="F39" s="10"/>
    </row>
    <row r="40" spans="1:6">
      <c r="A40" s="10">
        <v>39</v>
      </c>
      <c r="B40" s="10">
        <v>412</v>
      </c>
      <c r="C40" s="10">
        <v>23.910802114350801</v>
      </c>
      <c r="D40" s="10">
        <v>0.91711921433225896</v>
      </c>
      <c r="E40" s="10">
        <v>0.99922999999999995</v>
      </c>
      <c r="F40" s="10"/>
    </row>
    <row r="41" spans="1:6">
      <c r="A41" s="10">
        <v>40</v>
      </c>
      <c r="B41" s="10">
        <v>412</v>
      </c>
      <c r="C41" s="10">
        <v>24.103061740430501</v>
      </c>
      <c r="D41" s="10">
        <v>0.91167676413739196</v>
      </c>
      <c r="E41" s="10">
        <v>0.99904999999999999</v>
      </c>
      <c r="F41" s="10"/>
    </row>
    <row r="42" spans="1:6">
      <c r="A42" s="10">
        <v>41</v>
      </c>
      <c r="B42" s="10" t="s">
        <v>7</v>
      </c>
      <c r="C42" s="10">
        <v>34.006292295612703</v>
      </c>
      <c r="D42" s="10">
        <v>0.72453349280227797</v>
      </c>
      <c r="E42" s="10">
        <v>0.99919999999999998</v>
      </c>
      <c r="F42" s="10"/>
    </row>
    <row r="43" spans="1:6">
      <c r="A43" s="10">
        <v>42</v>
      </c>
      <c r="B43" s="10" t="s">
        <v>7</v>
      </c>
      <c r="C43" s="10">
        <v>35.3622699617599</v>
      </c>
      <c r="D43" s="10">
        <v>0.71262784838590199</v>
      </c>
      <c r="E43" s="10">
        <v>0.99946000000000002</v>
      </c>
      <c r="F43" s="10"/>
    </row>
    <row r="44" spans="1:6">
      <c r="A44" s="10">
        <v>43</v>
      </c>
      <c r="B44" s="10" t="s">
        <v>7</v>
      </c>
      <c r="C44" s="10">
        <v>35.570674152176899</v>
      </c>
      <c r="D44" s="10">
        <v>0.70143368779965398</v>
      </c>
      <c r="E44" s="10">
        <v>0.99946000000000002</v>
      </c>
      <c r="F44" s="10"/>
    </row>
    <row r="45" spans="1:6">
      <c r="A45" s="10">
        <v>44</v>
      </c>
      <c r="B45" s="10" t="s">
        <v>7</v>
      </c>
      <c r="C45" s="10">
        <v>37.130148176246401</v>
      </c>
      <c r="D45" s="10">
        <v>0.626790868402475</v>
      </c>
      <c r="E45" s="10">
        <v>0.99939999999999996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38.303979286129596</v>
      </c>
      <c r="D49" s="10">
        <v>0.93061598729296502</v>
      </c>
      <c r="E49" s="10">
        <v>0.99648000000000003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403</v>
      </c>
      <c r="B2">
        <f>IF('177T'!C2="", "", '177T'!C2)</f>
        <v>-1</v>
      </c>
      <c r="C2">
        <f>IF('18S2'!C2="", "", '18S2'!C2)</f>
        <v>-1</v>
      </c>
      <c r="D2">
        <f>IF(RNAseP!C2="", "", RNAseP!C2)</f>
        <v>23.661317293303501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403</v>
      </c>
      <c r="B3">
        <f>IF('177T'!C3="", "", '177T'!C3)</f>
        <v>-1</v>
      </c>
      <c r="C3">
        <f>IF('18S2'!C3="", "", '18S2'!C3)</f>
        <v>-1</v>
      </c>
      <c r="D3">
        <f>IF(RNAseP!C3="", "", RNAseP!C3)</f>
        <v>23.719321576133499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403</v>
      </c>
      <c r="B4">
        <f>IF('177T'!C4="", "", '177T'!C4)</f>
        <v>-1</v>
      </c>
      <c r="C4">
        <f>IF('18S2'!C4="", "", '18S2'!C4)</f>
        <v>-1</v>
      </c>
      <c r="D4">
        <f>IF(RNAseP!C4="", "", RNAseP!C4)</f>
        <v>23.890096467474901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403</v>
      </c>
      <c r="B5">
        <f>IF('177T'!C5="", "", '177T'!C5)</f>
        <v>-1</v>
      </c>
      <c r="C5">
        <f>IF('18S2'!C5="", "", '18S2'!C5)</f>
        <v>-1</v>
      </c>
      <c r="D5">
        <f>IF(RNAseP!C5="", "", RNAseP!C5)</f>
        <v>23.754746419797499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404</v>
      </c>
      <c r="B6">
        <f>IF('177T'!C6="", "", '177T'!C6)</f>
        <v>31.110144356134601</v>
      </c>
      <c r="C6">
        <f>IF('18S2'!C6="", "", '18S2'!C6)</f>
        <v>37.399063151810402</v>
      </c>
      <c r="D6">
        <f>IF(RNAseP!C6="", "", RNAseP!C6)</f>
        <v>26.0464109244373</v>
      </c>
      <c r="E6" s="3" t="str">
        <f>IF(B6=-1, "-1", IF(B6&lt;VLOOKUP("177T", Cutoff!$A$1:$B$4, 2, FALSE), "1", "0"))</f>
        <v>1</v>
      </c>
      <c r="F6" s="3" t="str">
        <f>IF(C6=-1, "-1", IF(C6&lt;VLOOKUP("18S2", Cutoff!$A$1:$B$4, 2, FALSE), "1", "0"))</f>
        <v>0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P</v>
      </c>
      <c r="I6" t="str" cm="1">
        <f t="array" ref="I6">INDEX(Decision!$E$1:$E$28, MATCH(E6&amp;F6&amp;G6, Decision!$A$1:$A$28&amp;Decision!$B$1:$B$28&amp;Decision!$C$1:$C$28, 0))</f>
        <v>DNA case &amp; RNA suspect</v>
      </c>
    </row>
    <row r="7" spans="1:9">
      <c r="A7">
        <f>IF(AND('177T'!B7 = '18S2'!B7, '177T'!B7 = RNAseP!B7, '177T'!B7 &lt;&gt; ""), '177T'!B7, IF('177T'!B7 = "", "", "Mismatch"))</f>
        <v>404</v>
      </c>
      <c r="B7">
        <f>IF('177T'!C7="", "", '177T'!C7)</f>
        <v>32.122575235747597</v>
      </c>
      <c r="C7">
        <f>IF('18S2'!C7="", "", '18S2'!C7)</f>
        <v>-1</v>
      </c>
      <c r="D7">
        <f>IF(RNAseP!C7="", "", RNAseP!C7)</f>
        <v>26.015003460026499</v>
      </c>
      <c r="E7" s="3" t="str">
        <f>IF(B7=-1, "-1", IF(B7&lt;VLOOKUP("177T", Cutoff!$A$1:$B$4, 2, FALSE), "1", "0"))</f>
        <v>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P</v>
      </c>
      <c r="I7" t="str" cm="1">
        <f t="array" ref="I7">INDEX(Decision!$E$1:$E$28, MATCH(E7&amp;F7&amp;G7, Decision!$A$1:$A$28&amp;Decision!$B$1:$B$28&amp;Decision!$C$1:$C$28, 0))</f>
        <v>DNA case</v>
      </c>
    </row>
    <row r="8" spans="1:9">
      <c r="A8">
        <f>IF(AND('177T'!B8 = '18S2'!B8, '177T'!B8 = RNAseP!B8, '177T'!B8 &lt;&gt; ""), '177T'!B8, IF('177T'!B8 = "", "", "Mismatch"))</f>
        <v>404</v>
      </c>
      <c r="B8">
        <f>IF('177T'!C8="", "", '177T'!C8)</f>
        <v>31.048480616497301</v>
      </c>
      <c r="C8">
        <f>IF('18S2'!C8="", "", '18S2'!C8)</f>
        <v>-1</v>
      </c>
      <c r="D8">
        <f>IF(RNAseP!C8="", "", RNAseP!C8)</f>
        <v>26.039702144162501</v>
      </c>
      <c r="E8" s="3" t="str">
        <f>IF(B8=-1, "-1", IF(B8&lt;VLOOKUP("177T", Cutoff!$A$1:$B$4, 2, FALSE), "1", "0"))</f>
        <v>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P</v>
      </c>
      <c r="I8" t="str" cm="1">
        <f t="array" ref="I8">INDEX(Decision!$E$1:$E$28, MATCH(E8&amp;F8&amp;G8, Decision!$A$1:$A$28&amp;Decision!$B$1:$B$28&amp;Decision!$C$1:$C$28, 0))</f>
        <v>DNA case</v>
      </c>
    </row>
    <row r="9" spans="1:9">
      <c r="A9">
        <f>IF(AND('177T'!B9 = '18S2'!B9, '177T'!B9 = RNAseP!B9, '177T'!B9 &lt;&gt; ""), '177T'!B9, IF('177T'!B9 = "", "", "Mismatch"))</f>
        <v>404</v>
      </c>
      <c r="B9">
        <f>IF('177T'!C9="", "", '177T'!C9)</f>
        <v>32.190947832474201</v>
      </c>
      <c r="C9">
        <f>IF('18S2'!C9="", "", '18S2'!C9)</f>
        <v>34.917109782195602</v>
      </c>
      <c r="D9">
        <f>IF(RNAseP!C9="", "", RNAseP!C9)</f>
        <v>26.127479588885901</v>
      </c>
      <c r="E9" s="3" t="str">
        <f>IF(B9=-1, "-1", IF(B9&lt;VLOOKUP("177T", Cutoff!$A$1:$B$4, 2, FALSE), "1", "0"))</f>
        <v>1</v>
      </c>
      <c r="F9" s="3" t="str">
        <f>IF(C9=-1, "-1", IF(C9&lt;VLOOKUP("18S2", Cutoff!$A$1:$B$4, 2, FALSE), "1", "0"))</f>
        <v>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P</v>
      </c>
      <c r="I9" t="str" cm="1">
        <f t="array" ref="I9">INDEX(Decision!$E$1:$E$28, MATCH(E9&amp;F9&amp;G9, Decision!$A$1:$A$28&amp;Decision!$B$1:$B$28&amp;Decision!$C$1:$C$28, 0))</f>
        <v>TNA case</v>
      </c>
    </row>
    <row r="10" spans="1:9">
      <c r="A10">
        <f>IF(AND('177T'!B10 = '18S2'!B10, '177T'!B10 = RNAseP!B10, '177T'!B10 &lt;&gt; ""), '177T'!B10, IF('177T'!B10 = "", "", "Mismatch"))</f>
        <v>405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23.668553492755802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405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23.502951850737301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405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23.551766116113701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405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23.514839987411602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406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25.235699795336402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406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25.156216435591599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406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24.970016809014801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406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25.121056845527001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407</v>
      </c>
      <c r="B18">
        <f>IF('177T'!C18="", "", '177T'!C18)</f>
        <v>34.680328982456402</v>
      </c>
      <c r="C18">
        <f>IF('18S2'!C18="", "", '18S2'!C18)</f>
        <v>-1</v>
      </c>
      <c r="D18">
        <f>IF(RNAseP!C18="", "", RNAseP!C18)</f>
        <v>27.0949272853575</v>
      </c>
      <c r="E18" s="3" t="str">
        <f>IF(B18=-1, "-1", IF(B18&lt;VLOOKUP("177T", Cutoff!$A$1:$B$4, 2, FALSE), "1", "0"))</f>
        <v>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P</v>
      </c>
      <c r="I18" t="str" cm="1">
        <f t="array" ref="I18">INDEX(Decision!$E$1:$E$28, MATCH(E18&amp;F18&amp;G18, Decision!$A$1:$A$28&amp;Decision!$B$1:$B$28&amp;Decision!$C$1:$C$28, 0))</f>
        <v>DNA case</v>
      </c>
    </row>
    <row r="19" spans="1:9">
      <c r="A19">
        <f>IF(AND('177T'!B19 = '18S2'!B19, '177T'!B19 = RNAseP!B19, '177T'!B19 &lt;&gt; ""), '177T'!B19, IF('177T'!B19 = "", "", "Mismatch"))</f>
        <v>407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26.993500201927201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407</v>
      </c>
      <c r="B20">
        <f>IF('177T'!C20="", "", '177T'!C20)</f>
        <v>33.9228230683456</v>
      </c>
      <c r="C20">
        <f>IF('18S2'!C20="", "", '18S2'!C20)</f>
        <v>-1</v>
      </c>
      <c r="D20">
        <f>IF(RNAseP!C20="", "", RNAseP!C20)</f>
        <v>26.927218558482199</v>
      </c>
      <c r="E20" s="3" t="str">
        <f>IF(B20=-1, "-1", IF(B20&lt;VLOOKUP("177T", Cutoff!$A$1:$B$4, 2, FALSE), "1", "0"))</f>
        <v>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P</v>
      </c>
      <c r="I20" t="str" cm="1">
        <f t="array" ref="I20">INDEX(Decision!$E$1:$E$28, MATCH(E20&amp;F20&amp;G20, Decision!$A$1:$A$28&amp;Decision!$B$1:$B$28&amp;Decision!$C$1:$C$28, 0))</f>
        <v>DNA case</v>
      </c>
    </row>
    <row r="21" spans="1:9">
      <c r="A21">
        <f>IF(AND('177T'!B21 = '18S2'!B21, '177T'!B21 = RNAseP!B21, '177T'!B21 &lt;&gt; ""), '177T'!B21, IF('177T'!B21 = "", "", "Mismatch"))</f>
        <v>407</v>
      </c>
      <c r="B21">
        <f>IF('177T'!C21="", "", '177T'!C21)</f>
        <v>33.762517136222002</v>
      </c>
      <c r="C21">
        <f>IF('18S2'!C21="", "", '18S2'!C21)</f>
        <v>-1</v>
      </c>
      <c r="D21">
        <f>IF(RNAseP!C21="", "", RNAseP!C21)</f>
        <v>26.955161743335299</v>
      </c>
      <c r="E21" s="3" t="str">
        <f>IF(B21=-1, "-1", IF(B21&lt;VLOOKUP("177T", Cutoff!$A$1:$B$4, 2, FALSE), "1", "0"))</f>
        <v>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P</v>
      </c>
      <c r="I21" t="str" cm="1">
        <f t="array" ref="I21">INDEX(Decision!$E$1:$E$28, MATCH(E21&amp;F21&amp;G21, Decision!$A$1:$A$28&amp;Decision!$B$1:$B$28&amp;Decision!$C$1:$C$28, 0))</f>
        <v>DNA case</v>
      </c>
    </row>
    <row r="22" spans="1:9">
      <c r="A22">
        <f>IF(AND('177T'!B22 = '18S2'!B22, '177T'!B22 = RNAseP!B22, '177T'!B22 &lt;&gt; ""), '177T'!B22, IF('177T'!B22 = "", "", "Mismatch"))</f>
        <v>408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27.483544009457301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408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27.391513904977501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408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27.410261928699601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408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27.450126628343298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409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22.1148610688448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409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23.294394552119702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409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22.895620254031499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409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22.958923962533198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410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24.2188135913309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410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24.039336817121399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410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24.0550148830024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410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24.008237145114901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411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22.976595145102401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411</v>
      </c>
      <c r="B35">
        <f>IF('177T'!C35="", "", '177T'!C35)</f>
        <v>-1</v>
      </c>
      <c r="C35">
        <f>IF('18S2'!C35="", "", '18S2'!C35)</f>
        <v>38.245704808338701</v>
      </c>
      <c r="D35">
        <f>IF(RNAseP!C35="", "", RNAseP!C35)</f>
        <v>23.002877205256802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0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S</v>
      </c>
      <c r="I35" t="str" cm="1">
        <f t="array" ref="I35">INDEX(Decision!$E$1:$E$28, MATCH(E35&amp;F35&amp;G35, Decision!$A$1:$A$28&amp;Decision!$B$1:$B$28&amp;Decision!$C$1:$C$28, 0))</f>
        <v>RNA suspect</v>
      </c>
    </row>
    <row r="36" spans="1:9">
      <c r="A36">
        <f>IF(AND('177T'!B36 = '18S2'!B36, '177T'!B36 = RNAseP!B36, '177T'!B36 &lt;&gt; ""), '177T'!B36, IF('177T'!B36 = "", "", "Mismatch"))</f>
        <v>411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23.026086742923901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411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22.894678166049101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412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24.060828455786901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412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23.9903548058785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412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23.910802114350801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412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24.103061740430501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21.697727459802699</v>
      </c>
      <c r="C42">
        <f>IF('18S2'!C42="", "", '18S2'!C42)</f>
        <v>19.700651912412599</v>
      </c>
      <c r="D42">
        <f>IF(RNAseP!C42="", "", RNAseP!C42)</f>
        <v>34.006292295612703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23.453010769108801</v>
      </c>
      <c r="C43">
        <f>IF('18S2'!C43="", "", '18S2'!C43)</f>
        <v>20.4597193001531</v>
      </c>
      <c r="D43">
        <f>IF(RNAseP!C43="", "", RNAseP!C43)</f>
        <v>35.3622699617599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24.417303386779398</v>
      </c>
      <c r="C44">
        <f>IF('18S2'!C44="", "", '18S2'!C44)</f>
        <v>20.590525563878099</v>
      </c>
      <c r="D44">
        <f>IF(RNAseP!C44="", "", RNAseP!C44)</f>
        <v>35.570674152176899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24.084880691825401</v>
      </c>
      <c r="C45">
        <f>IF('18S2'!C45="", "", '18S2'!C45)</f>
        <v>20.727917685936799</v>
      </c>
      <c r="D45">
        <f>IF(RNAseP!C45="", "", RNAseP!C45)</f>
        <v>37.130148176246401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38.303979286129596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45967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6">
        <v>45771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403</v>
      </c>
      <c r="B16" s="11">
        <v>2500739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23,8 +/- 0,1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404</v>
      </c>
      <c r="B17" s="11">
        <v>2500155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P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>31,6 +/- 0,6</v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>36,2 +/- 1,8</v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26,1 +/- 0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405</v>
      </c>
      <c r="B18" s="11">
        <v>2500899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23,6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406</v>
      </c>
      <c r="B19" s="11">
        <v>2500835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25,1 +/- 0,1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407</v>
      </c>
      <c r="B20" s="11">
        <v>2500830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P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>34,1 +/- 0,5</v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27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408</v>
      </c>
      <c r="B21" s="11">
        <v>2500808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27,4 +/- 0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409</v>
      </c>
      <c r="B22" s="11">
        <v>2500996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22,8 +/- 0,5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410</v>
      </c>
      <c r="B23" s="11">
        <v>2500804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24,1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411</v>
      </c>
      <c r="B24" s="11">
        <v>2500923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>38,2</v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 +/- 0,1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412</v>
      </c>
      <c r="B25" s="11">
        <v>2402981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24 +/- 0,1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23,4 +/- 1,2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20,4 +/- 0,5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35,5 +/- 1,3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38,3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31" t="s">
        <v>58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30" t="s">
        <v>61</v>
      </c>
      <c r="D30" s="30"/>
      <c r="E30" s="20"/>
    </row>
    <row r="31" spans="1:12">
      <c r="A31" s="18" t="s">
        <v>20</v>
      </c>
      <c r="B31" s="18" t="s">
        <v>21</v>
      </c>
      <c r="C31" s="30" t="s">
        <v>62</v>
      </c>
      <c r="D31" s="30"/>
      <c r="E31" s="20"/>
    </row>
    <row r="32" spans="1:12">
      <c r="A32" s="18" t="s">
        <v>22</v>
      </c>
      <c r="B32" s="18" t="s">
        <v>63</v>
      </c>
      <c r="C32" s="30" t="s">
        <v>64</v>
      </c>
      <c r="D32" s="30"/>
      <c r="E32" s="20"/>
    </row>
    <row r="33" spans="1:5">
      <c r="A33" s="18" t="s">
        <v>65</v>
      </c>
      <c r="B33" s="18" t="s">
        <v>66</v>
      </c>
      <c r="C33" s="30" t="s">
        <v>67</v>
      </c>
      <c r="D33" s="30"/>
      <c r="E33" s="20"/>
    </row>
    <row r="34" spans="1:5">
      <c r="A34" s="18" t="s">
        <v>17</v>
      </c>
      <c r="B34" s="18" t="s">
        <v>68</v>
      </c>
      <c r="C34" s="30" t="s">
        <v>69</v>
      </c>
      <c r="D34" s="30"/>
      <c r="E34" s="20"/>
    </row>
    <row r="35" spans="1:5">
      <c r="A35" s="18" t="s">
        <v>70</v>
      </c>
      <c r="B35" s="18" t="s">
        <v>71</v>
      </c>
      <c r="C35" s="30" t="s">
        <v>72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403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23,8 +/- 0,1</v>
      </c>
    </row>
    <row r="3" spans="1:11">
      <c r="A3" s="3">
        <f>Report!A17</f>
        <v>404</v>
      </c>
      <c r="B3" s="3" t="str" cm="1">
        <f t="array" ref="B3">_xlfn.TEXTJOIN(", ", TRUE, IF(Analysis!$A$2:$A$82=A3, Analysis!$H$2:$H$82, ""))</f>
        <v>P, P, P, P</v>
      </c>
      <c r="C3" s="3" t="str" cm="1">
        <f t="array" ref="C3">_xlfn.TEXTJOIN(", ", TRUE, IF(Analysis!$A$2:$A$82=A3, Analysis!$I$2:$I$82, ""))</f>
        <v>DNA case &amp; RNA suspect, DNA case, DNA case, TNA case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P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>31,6 +/- 0,6</v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>36,2 +/- 1,8</v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26,1 +/- 0</v>
      </c>
    </row>
    <row r="4" spans="1:11">
      <c r="A4" s="3">
        <f>Report!A18</f>
        <v>405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23,6 +/- 0,1</v>
      </c>
    </row>
    <row r="5" spans="1:11">
      <c r="A5" s="3">
        <f>Report!A19</f>
        <v>406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25,1 +/- 0,1</v>
      </c>
    </row>
    <row r="6" spans="1:11">
      <c r="A6" s="3">
        <f>Report!A20</f>
        <v>407</v>
      </c>
      <c r="B6" s="3" t="str" cm="1">
        <f t="array" ref="B6">_xlfn.TEXTJOIN(", ", TRUE, IF(Analysis!$A$2:$A$82=A6, Analysis!$H$2:$H$82, ""))</f>
        <v>P, N, P, P</v>
      </c>
      <c r="C6" s="3" t="str" cm="1">
        <f t="array" ref="C6">_xlfn.TEXTJOIN(", ", TRUE, IF(Analysis!$A$2:$A$82=A6, Analysis!$I$2:$I$82, ""))</f>
        <v>DNA case, negative, DNA case, DNA case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P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>34,1 +/- 0,5</v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27 +/- 0,1</v>
      </c>
    </row>
    <row r="7" spans="1:11">
      <c r="A7" s="3">
        <f>Report!A21</f>
        <v>408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27,4 +/- 0</v>
      </c>
      <c r="K7" s="4"/>
    </row>
    <row r="8" spans="1:11">
      <c r="A8" s="3">
        <f>Report!A22</f>
        <v>409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22,8 +/- 0,5</v>
      </c>
    </row>
    <row r="9" spans="1:11">
      <c r="A9" s="3">
        <f>Report!A23</f>
        <v>410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24,1 +/- 0,1</v>
      </c>
    </row>
    <row r="10" spans="1:11">
      <c r="A10" s="3">
        <f>Report!A24</f>
        <v>411</v>
      </c>
      <c r="B10" s="3" t="str" cm="1">
        <f t="array" ref="B10">_xlfn.TEXTJOIN(", ", TRUE, IF(Analysis!$A$2:$A$82=A10, Analysis!$H$2:$H$82, ""))</f>
        <v>N, S, N, N</v>
      </c>
      <c r="C10" s="3" t="str" cm="1">
        <f t="array" ref="C10">_xlfn.TEXTJOIN(", ", TRUE, IF(Analysis!$A$2:$A$82=A10, Analysis!$I$2:$I$82, ""))</f>
        <v>negative, RNA suspect,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>38,2</v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 +/- 0,1</v>
      </c>
    </row>
    <row r="11" spans="1:11">
      <c r="A11" s="3">
        <f>Report!A25</f>
        <v>412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24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23,4 +/- 1,2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20,4 +/- 0,5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35,5 +/- 1,3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F</v>
      </c>
      <c r="C13" s="3" t="str" cm="1">
        <f t="array" ref="C13">_xlfn.TEXTJOIN(", ", TRUE, IF(Analysis!$A$2:$A$82=A13, Analysis!$I$2:$I$82, ""))</f>
        <v>clean, clean, clean,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38,3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2025-11-07T06:32:33+00:00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AE6395-D886-41CA-983D-54F8E3453532}"/>
</file>

<file path=customXml/itemProps2.xml><?xml version="1.0" encoding="utf-8"?>
<ds:datastoreItem xmlns:ds="http://schemas.openxmlformats.org/officeDocument/2006/customXml" ds:itemID="{949C373E-5A25-462C-958B-45D0093AF19E}"/>
</file>

<file path=customXml/itemProps3.xml><?xml version="1.0" encoding="utf-8"?>
<ds:datastoreItem xmlns:ds="http://schemas.openxmlformats.org/officeDocument/2006/customXml" ds:itemID="{6E460FD0-DB7E-43AC-A69F-81514AAB5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2025-11-07T10:34:20Z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