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B1224352-745C-430D-A2E1-5164D0F1C9DF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295" yWindow="0" windowWidth="14610" windowHeight="155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<sst xmlns="http://schemas.openxmlformats.org/spreadsheetml/2006/main" count="419" uniqueCount="75">
  <si>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</si>
  <si>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</si>
  <si>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</si>
  <si>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</si>
  <si>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</si>
  <si>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</si>
  <si>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</si>
  <si>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</si>
  <si>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</si>
  <si>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</si>
  <si>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</si>
  <si>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</si>
  <si>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</si>
  <si>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</si>
  <si>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</si>
  <si>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</si>
  <si>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</si>
  <si>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</si>
  <si>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</si>
  <si>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</si>
  <si>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</si>
  <si>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</si>
  <si>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</si>
  <si>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</si>
  <si>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</si>
  <si>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</si>
  <si>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</si>
  <si>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</si>
  <si>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</si>
  <si>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</si>
  <si>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</si>
  <si>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</si>
  <si>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</si>
  <si>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</si>
  <si>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</si>
  <si>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</si>
  <si>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</si>
  <si>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</si>
  <si>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</si>
  <si>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</si>
  <si>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</si>
  <si>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</si>
  <si>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</si>
  <si>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LOUIS</t>
  </si>
  <si>
    <t>Qrun file name</t>
  </si>
  <si>
    <t>2025-11-05 14.17.50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</si>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</sst>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393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393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393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393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394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394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394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394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395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395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395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395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396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396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396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396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397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397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397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397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398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398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398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398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399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399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399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399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400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400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400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400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401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401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401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401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402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402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402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402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24.088525553921301</v>
      </c>
      <c r="D42" s="8">
        <v>0.95458256033491296</v>
      </c>
      <c r="E42" s="8">
        <v>0.99917999999999996</v>
      </c>
      <c r="F42" s="8"/>
    </row>
    <row r="43" spans="1:6">
      <c r="A43" s="8">
        <v>42</v>
      </c>
      <c r="B43" s="8" t="s">
        <v>7</v>
      </c>
      <c r="C43" s="8">
        <v>23.3336978223148</v>
      </c>
      <c r="D43" s="8">
        <v>0.924980489640434</v>
      </c>
      <c r="E43" s="8">
        <v>0.99963999999999997</v>
      </c>
      <c r="F43" s="8"/>
    </row>
    <row r="44" spans="1:6">
      <c r="A44" s="8">
        <v>43</v>
      </c>
      <c r="B44" s="8" t="s">
        <v>7</v>
      </c>
      <c r="C44" s="8">
        <v>23.398005685829499</v>
      </c>
      <c r="D44" s="8">
        <v>0.84169362591955299</v>
      </c>
      <c r="E44" s="8">
        <v>0.99994000000000005</v>
      </c>
      <c r="F44" s="8"/>
    </row>
    <row r="45" spans="1:6">
      <c r="A45" s="8">
        <v>44</v>
      </c>
      <c r="B45" s="8" t="s">
        <v>7</v>
      </c>
      <c r="C45" s="8">
        <v>23.211108709172098</v>
      </c>
      <c r="D45" s="8">
        <v>0.839198492870732</v>
      </c>
      <c r="E45" s="8">
        <v>0.99990000000000001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393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393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393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393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394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394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394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394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395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395</v>
      </c>
      <c r="C11" s="9">
        <v>37.499816014993002</v>
      </c>
      <c r="D11" s="9">
        <v>0.44206032966627201</v>
      </c>
      <c r="E11" s="9">
        <v>0.99883999999999995</v>
      </c>
      <c r="F11" s="9"/>
    </row>
    <row r="12" spans="1:6">
      <c r="A12" s="9">
        <v>11</v>
      </c>
      <c r="B12" s="9">
        <v>395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395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396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396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396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396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397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397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397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397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398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398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398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398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399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399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399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399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400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400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400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400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401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401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401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401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402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402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402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402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20.1469134825388</v>
      </c>
      <c r="D42" s="9">
        <v>0.98387892901628704</v>
      </c>
      <c r="E42" s="9">
        <v>0.99860000000000004</v>
      </c>
      <c r="F42" s="9"/>
    </row>
    <row r="43" spans="1:6">
      <c r="A43" s="9">
        <v>42</v>
      </c>
      <c r="B43" s="9" t="s">
        <v>7</v>
      </c>
      <c r="C43" s="9">
        <v>20.027999140207399</v>
      </c>
      <c r="D43" s="9">
        <v>0.99001388625079401</v>
      </c>
      <c r="E43" s="9">
        <v>0.99843000000000004</v>
      </c>
      <c r="F43" s="9"/>
    </row>
    <row r="44" spans="1:6">
      <c r="A44" s="9">
        <v>43</v>
      </c>
      <c r="B44" s="9" t="s">
        <v>7</v>
      </c>
      <c r="C44" s="9">
        <v>19.999978481051802</v>
      </c>
      <c r="D44" s="9">
        <v>0.97228651646922504</v>
      </c>
      <c r="E44" s="9">
        <v>0.99885000000000002</v>
      </c>
      <c r="F44" s="9"/>
    </row>
    <row r="45" spans="1:6">
      <c r="A45" s="9">
        <v>44</v>
      </c>
      <c r="B45" s="9" t="s">
        <v>7</v>
      </c>
      <c r="C45" s="9">
        <v>20.035992847165399</v>
      </c>
      <c r="D45" s="9">
        <v>0.97156684856144404</v>
      </c>
      <c r="E45" s="9">
        <v>0.99872000000000005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393</v>
      </c>
      <c r="C2" s="10">
        <v>24.551176555587698</v>
      </c>
      <c r="D2" s="10">
        <v>0.97073722863907097</v>
      </c>
      <c r="E2" s="10">
        <v>0.99951000000000001</v>
      </c>
      <c r="F2" s="10"/>
    </row>
    <row r="3" spans="1:6">
      <c r="A3" s="10">
        <v>2</v>
      </c>
      <c r="B3" s="10">
        <v>393</v>
      </c>
      <c r="C3" s="10">
        <v>24.522618283137199</v>
      </c>
      <c r="D3" s="10">
        <v>0.95958581599290604</v>
      </c>
      <c r="E3" s="10">
        <v>0.99948999999999999</v>
      </c>
      <c r="F3" s="10"/>
    </row>
    <row r="4" spans="1:6">
      <c r="A4" s="10">
        <v>3</v>
      </c>
      <c r="B4" s="10">
        <v>393</v>
      </c>
      <c r="C4" s="10">
        <v>24.6187555663303</v>
      </c>
      <c r="D4" s="10">
        <v>0.96244498804739598</v>
      </c>
      <c r="E4" s="10">
        <v>0.99924000000000002</v>
      </c>
      <c r="F4" s="10"/>
    </row>
    <row r="5" spans="1:6">
      <c r="A5" s="10">
        <v>4</v>
      </c>
      <c r="B5" s="10">
        <v>393</v>
      </c>
      <c r="C5" s="10">
        <v>24.4612891597416</v>
      </c>
      <c r="D5" s="10">
        <v>0.95850664819027098</v>
      </c>
      <c r="E5" s="10">
        <v>0.99956999999999996</v>
      </c>
      <c r="F5" s="10"/>
    </row>
    <row r="6" spans="1:6">
      <c r="A6" s="10">
        <v>5</v>
      </c>
      <c r="B6" s="10">
        <v>394</v>
      </c>
      <c r="C6" s="10">
        <v>21.5561367974774</v>
      </c>
      <c r="D6" s="10">
        <v>0.99114599458742703</v>
      </c>
      <c r="E6" s="10">
        <v>0.99905999999999995</v>
      </c>
      <c r="F6" s="10"/>
    </row>
    <row r="7" spans="1:6">
      <c r="A7" s="10">
        <v>6</v>
      </c>
      <c r="B7" s="10">
        <v>394</v>
      </c>
      <c r="C7" s="10">
        <v>21.438592891815599</v>
      </c>
      <c r="D7" s="10">
        <v>0.98444566949781298</v>
      </c>
      <c r="E7" s="10">
        <v>0.99938000000000005</v>
      </c>
      <c r="F7" s="10"/>
    </row>
    <row r="8" spans="1:6">
      <c r="A8" s="10">
        <v>7</v>
      </c>
      <c r="B8" s="10">
        <v>394</v>
      </c>
      <c r="C8" s="10">
        <v>21.4897219611608</v>
      </c>
      <c r="D8" s="10">
        <v>1.00202078750276</v>
      </c>
      <c r="E8" s="10">
        <v>0.99926999999999999</v>
      </c>
      <c r="F8" s="10"/>
    </row>
    <row r="9" spans="1:6">
      <c r="A9" s="10">
        <v>8</v>
      </c>
      <c r="B9" s="10">
        <v>394</v>
      </c>
      <c r="C9" s="10">
        <v>21.481000332715301</v>
      </c>
      <c r="D9" s="10">
        <v>0.97515682723667196</v>
      </c>
      <c r="E9" s="10">
        <v>0.99946000000000002</v>
      </c>
      <c r="F9" s="10"/>
    </row>
    <row r="10" spans="1:6">
      <c r="A10" s="10">
        <v>9</v>
      </c>
      <c r="B10" s="10">
        <v>395</v>
      </c>
      <c r="C10" s="10">
        <v>23.041657449185099</v>
      </c>
      <c r="D10" s="10">
        <v>1.0116043246753399</v>
      </c>
      <c r="E10" s="10">
        <v>0.99865999999999999</v>
      </c>
      <c r="F10" s="10"/>
    </row>
    <row r="11" spans="1:6">
      <c r="A11" s="10">
        <v>10</v>
      </c>
      <c r="B11" s="10">
        <v>395</v>
      </c>
      <c r="C11" s="10">
        <v>23.039739788463301</v>
      </c>
      <c r="D11" s="10">
        <v>0.954736560629738</v>
      </c>
      <c r="E11" s="10">
        <v>0.99919000000000002</v>
      </c>
      <c r="F11" s="10"/>
    </row>
    <row r="12" spans="1:6">
      <c r="A12" s="10">
        <v>11</v>
      </c>
      <c r="B12" s="10">
        <v>395</v>
      </c>
      <c r="C12" s="10">
        <v>23.112202604245802</v>
      </c>
      <c r="D12" s="10">
        <v>1.0135473581783201</v>
      </c>
      <c r="E12" s="10">
        <v>0.99855000000000005</v>
      </c>
      <c r="F12" s="10"/>
    </row>
    <row r="13" spans="1:6">
      <c r="A13" s="10">
        <v>12</v>
      </c>
      <c r="B13" s="10">
        <v>395</v>
      </c>
      <c r="C13" s="10">
        <v>23.055052740964499</v>
      </c>
      <c r="D13" s="10">
        <v>1.01880052809622</v>
      </c>
      <c r="E13" s="10">
        <v>0.99860000000000004</v>
      </c>
      <c r="F13" s="10"/>
    </row>
    <row r="14" spans="1:6">
      <c r="A14" s="10">
        <v>13</v>
      </c>
      <c r="B14" s="10">
        <v>396</v>
      </c>
      <c r="C14" s="10">
        <v>20.569306515622401</v>
      </c>
      <c r="D14" s="10">
        <v>1.0020273262941599</v>
      </c>
      <c r="E14" s="10">
        <v>0.99895999999999996</v>
      </c>
      <c r="F14" s="10"/>
    </row>
    <row r="15" spans="1:6">
      <c r="A15" s="10">
        <v>14</v>
      </c>
      <c r="B15" s="10">
        <v>396</v>
      </c>
      <c r="C15" s="10">
        <v>20.624321208248599</v>
      </c>
      <c r="D15" s="10">
        <v>0.968213394616527</v>
      </c>
      <c r="E15" s="10">
        <v>0.99907000000000001</v>
      </c>
      <c r="F15" s="10"/>
    </row>
    <row r="16" spans="1:6">
      <c r="A16" s="10">
        <v>15</v>
      </c>
      <c r="B16" s="10">
        <v>396</v>
      </c>
      <c r="C16" s="10">
        <v>20.559935770803399</v>
      </c>
      <c r="D16" s="10">
        <v>0.99332908895087202</v>
      </c>
      <c r="E16" s="10">
        <v>0.99895</v>
      </c>
      <c r="F16" s="10"/>
    </row>
    <row r="17" spans="1:6">
      <c r="A17" s="10">
        <v>16</v>
      </c>
      <c r="B17" s="10">
        <v>396</v>
      </c>
      <c r="C17" s="10">
        <v>20.610721923945999</v>
      </c>
      <c r="D17" s="10">
        <v>0.96272901970266</v>
      </c>
      <c r="E17" s="10">
        <v>0.99922</v>
      </c>
      <c r="F17" s="10"/>
    </row>
    <row r="18" spans="1:6">
      <c r="A18" s="10">
        <v>17</v>
      </c>
      <c r="B18" s="10">
        <v>397</v>
      </c>
      <c r="C18" s="10">
        <v>20.772225571755101</v>
      </c>
      <c r="D18" s="10">
        <v>0.96488710128008803</v>
      </c>
      <c r="E18" s="10">
        <v>0.99904999999999999</v>
      </c>
      <c r="F18" s="10"/>
    </row>
    <row r="19" spans="1:6">
      <c r="A19" s="10">
        <v>18</v>
      </c>
      <c r="B19" s="10">
        <v>397</v>
      </c>
      <c r="C19" s="10">
        <v>20.762198080948401</v>
      </c>
      <c r="D19" s="10">
        <v>0.94205797331785801</v>
      </c>
      <c r="E19" s="10">
        <v>0.99916000000000005</v>
      </c>
      <c r="F19" s="10"/>
    </row>
    <row r="20" spans="1:6">
      <c r="A20" s="10">
        <v>19</v>
      </c>
      <c r="B20" s="10">
        <v>397</v>
      </c>
      <c r="C20" s="10">
        <v>20.785473365588999</v>
      </c>
      <c r="D20" s="10">
        <v>0.96833095683363202</v>
      </c>
      <c r="E20" s="10">
        <v>0.99890999999999996</v>
      </c>
      <c r="F20" s="10"/>
    </row>
    <row r="21" spans="1:6">
      <c r="A21" s="10">
        <v>20</v>
      </c>
      <c r="B21" s="10">
        <v>397</v>
      </c>
      <c r="C21" s="10">
        <v>20.623504142516602</v>
      </c>
      <c r="D21" s="10">
        <v>0.94968707875965297</v>
      </c>
      <c r="E21" s="10">
        <v>0.99936000000000003</v>
      </c>
      <c r="F21" s="10"/>
    </row>
    <row r="22" spans="1:6">
      <c r="A22" s="10">
        <v>21</v>
      </c>
      <c r="B22" s="10">
        <v>398</v>
      </c>
      <c r="C22" s="10">
        <v>21.989832289137599</v>
      </c>
      <c r="D22" s="10">
        <v>0.84033723847605302</v>
      </c>
      <c r="E22" s="10">
        <v>0.99948000000000004</v>
      </c>
      <c r="F22" s="10"/>
    </row>
    <row r="23" spans="1:6">
      <c r="A23" s="10">
        <v>22</v>
      </c>
      <c r="B23" s="10">
        <v>398</v>
      </c>
      <c r="C23" s="10">
        <v>22.056997012547701</v>
      </c>
      <c r="D23" s="10">
        <v>0.85441304435171805</v>
      </c>
      <c r="E23" s="10">
        <v>0.99936000000000003</v>
      </c>
      <c r="F23" s="10"/>
    </row>
    <row r="24" spans="1:6">
      <c r="A24" s="10">
        <v>23</v>
      </c>
      <c r="B24" s="10">
        <v>398</v>
      </c>
      <c r="C24" s="10">
        <v>22.016930298321299</v>
      </c>
      <c r="D24" s="10">
        <v>0.86318896499815301</v>
      </c>
      <c r="E24" s="10">
        <v>0.99916000000000005</v>
      </c>
      <c r="F24" s="10"/>
    </row>
    <row r="25" spans="1:6">
      <c r="A25" s="10">
        <v>24</v>
      </c>
      <c r="B25" s="10">
        <v>398</v>
      </c>
      <c r="C25" s="10">
        <v>21.966365104071699</v>
      </c>
      <c r="D25" s="10">
        <v>0.84892057708546997</v>
      </c>
      <c r="E25" s="10">
        <v>0.99944</v>
      </c>
      <c r="F25" s="10"/>
    </row>
    <row r="26" spans="1:6">
      <c r="A26" s="10">
        <v>25</v>
      </c>
      <c r="B26" s="10">
        <v>399</v>
      </c>
      <c r="C26" s="10">
        <v>21.2211980567611</v>
      </c>
      <c r="D26" s="10">
        <v>0.97663336311197302</v>
      </c>
      <c r="E26" s="10">
        <v>0.99883</v>
      </c>
      <c r="F26" s="10"/>
    </row>
    <row r="27" spans="1:6">
      <c r="A27" s="10">
        <v>26</v>
      </c>
      <c r="B27" s="10">
        <v>399</v>
      </c>
      <c r="C27" s="10">
        <v>21.189128433613298</v>
      </c>
      <c r="D27" s="10">
        <v>0.93394580609108302</v>
      </c>
      <c r="E27" s="10">
        <v>0.99921000000000004</v>
      </c>
      <c r="F27" s="10"/>
    </row>
    <row r="28" spans="1:6">
      <c r="A28" s="10">
        <v>27</v>
      </c>
      <c r="B28" s="10">
        <v>399</v>
      </c>
      <c r="C28" s="10">
        <v>21.290526316842602</v>
      </c>
      <c r="D28" s="10">
        <v>0.97514283396174595</v>
      </c>
      <c r="E28" s="10">
        <v>0.99892999999999998</v>
      </c>
      <c r="F28" s="10"/>
    </row>
    <row r="29" spans="1:6">
      <c r="A29" s="10">
        <v>28</v>
      </c>
      <c r="B29" s="10">
        <v>399</v>
      </c>
      <c r="C29" s="10">
        <v>21.142674857330999</v>
      </c>
      <c r="D29" s="10">
        <v>0.960395129739813</v>
      </c>
      <c r="E29" s="10">
        <v>0.99885000000000002</v>
      </c>
      <c r="F29" s="10"/>
    </row>
    <row r="30" spans="1:6">
      <c r="A30" s="10">
        <v>29</v>
      </c>
      <c r="B30" s="10">
        <v>400</v>
      </c>
      <c r="C30" s="10">
        <v>25.3406685049051</v>
      </c>
      <c r="D30" s="10">
        <v>0.93938509933618797</v>
      </c>
      <c r="E30" s="10">
        <v>0.99922999999999995</v>
      </c>
      <c r="F30" s="10"/>
    </row>
    <row r="31" spans="1:6">
      <c r="A31" s="10">
        <v>30</v>
      </c>
      <c r="B31" s="10">
        <v>400</v>
      </c>
      <c r="C31" s="10">
        <v>25.289134980385899</v>
      </c>
      <c r="D31" s="10">
        <v>0.93150743561656102</v>
      </c>
      <c r="E31" s="10">
        <v>0.99916000000000005</v>
      </c>
      <c r="F31" s="10"/>
    </row>
    <row r="32" spans="1:6">
      <c r="A32" s="10">
        <v>31</v>
      </c>
      <c r="B32" s="10">
        <v>400</v>
      </c>
      <c r="C32" s="10">
        <v>25.107010276722001</v>
      </c>
      <c r="D32" s="10">
        <v>0.88725799781749703</v>
      </c>
      <c r="E32" s="10">
        <v>0.99939</v>
      </c>
      <c r="F32" s="10"/>
    </row>
    <row r="33" spans="1:6">
      <c r="A33" s="10">
        <v>32</v>
      </c>
      <c r="B33" s="10">
        <v>400</v>
      </c>
      <c r="C33" s="10">
        <v>25.119717381405799</v>
      </c>
      <c r="D33" s="10">
        <v>0.88914428497159803</v>
      </c>
      <c r="E33" s="10">
        <v>0.99941999999999998</v>
      </c>
      <c r="F33" s="10"/>
    </row>
    <row r="34" spans="1:6">
      <c r="A34" s="10">
        <v>33</v>
      </c>
      <c r="B34" s="10">
        <v>401</v>
      </c>
      <c r="C34" s="10">
        <v>21.9882315749303</v>
      </c>
      <c r="D34" s="10">
        <v>0.93598449422505303</v>
      </c>
      <c r="E34" s="10">
        <v>0.99922999999999995</v>
      </c>
      <c r="F34" s="10"/>
    </row>
    <row r="35" spans="1:6">
      <c r="A35" s="10">
        <v>34</v>
      </c>
      <c r="B35" s="10">
        <v>401</v>
      </c>
      <c r="C35" s="10">
        <v>22.069075986460401</v>
      </c>
      <c r="D35" s="10">
        <v>0.93248347165854195</v>
      </c>
      <c r="E35" s="10">
        <v>0.99924999999999997</v>
      </c>
      <c r="F35" s="10"/>
    </row>
    <row r="36" spans="1:6">
      <c r="A36" s="10">
        <v>35</v>
      </c>
      <c r="B36" s="10">
        <v>401</v>
      </c>
      <c r="C36" s="10">
        <v>22.281119664206098</v>
      </c>
      <c r="D36" s="10">
        <v>0.99427387080969198</v>
      </c>
      <c r="E36" s="10">
        <v>0.99895</v>
      </c>
      <c r="F36" s="10"/>
    </row>
    <row r="37" spans="1:6">
      <c r="A37" s="10">
        <v>36</v>
      </c>
      <c r="B37" s="10">
        <v>401</v>
      </c>
      <c r="C37" s="10">
        <v>22.058552593635302</v>
      </c>
      <c r="D37" s="10">
        <v>0.91637437960466706</v>
      </c>
      <c r="E37" s="10">
        <v>0.99944</v>
      </c>
      <c r="F37" s="10"/>
    </row>
    <row r="38" spans="1:6">
      <c r="A38" s="10">
        <v>37</v>
      </c>
      <c r="B38" s="10">
        <v>402</v>
      </c>
      <c r="C38" s="10">
        <v>22.752888700159399</v>
      </c>
      <c r="D38" s="10">
        <v>0.96025452995940297</v>
      </c>
      <c r="E38" s="10">
        <v>0.99911000000000005</v>
      </c>
      <c r="F38" s="10"/>
    </row>
    <row r="39" spans="1:6">
      <c r="A39" s="10">
        <v>38</v>
      </c>
      <c r="B39" s="10">
        <v>402</v>
      </c>
      <c r="C39" s="10">
        <v>22.824147397895999</v>
      </c>
      <c r="D39" s="10">
        <v>0.93535409129401903</v>
      </c>
      <c r="E39" s="10">
        <v>0.99924000000000002</v>
      </c>
      <c r="F39" s="10"/>
    </row>
    <row r="40" spans="1:6">
      <c r="A40" s="10">
        <v>39</v>
      </c>
      <c r="B40" s="10">
        <v>402</v>
      </c>
      <c r="C40" s="10">
        <v>22.663419109046799</v>
      </c>
      <c r="D40" s="10">
        <v>0.961563028709153</v>
      </c>
      <c r="E40" s="10">
        <v>0.99919000000000002</v>
      </c>
      <c r="F40" s="10"/>
    </row>
    <row r="41" spans="1:6">
      <c r="A41" s="10">
        <v>40</v>
      </c>
      <c r="B41" s="10">
        <v>402</v>
      </c>
      <c r="C41" s="10">
        <v>22.726188668312599</v>
      </c>
      <c r="D41" s="10">
        <v>0.94967102352438904</v>
      </c>
      <c r="E41" s="10">
        <v>0.99919000000000002</v>
      </c>
      <c r="F41" s="10"/>
    </row>
    <row r="42" spans="1:6">
      <c r="A42" s="10">
        <v>41</v>
      </c>
      <c r="B42" s="10" t="s">
        <v>7</v>
      </c>
      <c r="C42" s="10">
        <v>37.231626759439003</v>
      </c>
      <c r="D42" s="10">
        <v>0.58809413193778404</v>
      </c>
      <c r="E42" s="10">
        <v>0.99929999999999997</v>
      </c>
      <c r="F42" s="10"/>
    </row>
    <row r="43" spans="1:6">
      <c r="A43" s="10">
        <v>42</v>
      </c>
      <c r="B43" s="10" t="s">
        <v>7</v>
      </c>
      <c r="C43" s="10">
        <v>33.759756795380099</v>
      </c>
      <c r="D43" s="10">
        <v>0.73834022863238402</v>
      </c>
      <c r="E43" s="10">
        <v>0.99922999999999995</v>
      </c>
      <c r="F43" s="10"/>
    </row>
    <row r="44" spans="1:6">
      <c r="A44" s="10">
        <v>43</v>
      </c>
      <c r="B44" s="10" t="s">
        <v>7</v>
      </c>
      <c r="C44" s="10">
        <v>35.286006785845501</v>
      </c>
      <c r="D44" s="10">
        <v>0.66247317964352803</v>
      </c>
      <c r="E44" s="10">
        <v>0.99961</v>
      </c>
      <c r="F44" s="10"/>
    </row>
    <row r="45" spans="1:6">
      <c r="A45" s="10">
        <v>44</v>
      </c>
      <c r="B45" s="10" t="s">
        <v>7</v>
      </c>
      <c r="C45" s="10">
        <v>35.9499358548168</v>
      </c>
      <c r="D45" s="10">
        <v>0.63858178644159302</v>
      </c>
      <c r="E45" s="10">
        <v>0.99977000000000005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38.545256803178503</v>
      </c>
      <c r="D48" s="10">
        <v>0.60759171366457998</v>
      </c>
      <c r="E48" s="10">
        <v>0.96569000000000005</v>
      </c>
      <c r="F48" s="10"/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393</v>
      </c>
      <c r="B2">
        <f>IF('177T'!C2="", "", '177T'!C2)</f>
        <v>-1</v>
      </c>
      <c r="C2">
        <f>IF('18S2'!C2="", "", '18S2'!C2)</f>
        <v>-1</v>
      </c>
      <c r="D2">
        <f>IF(RNAseP!C2="", "", RNAseP!C2)</f>
        <v>24.551176555587698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393</v>
      </c>
      <c r="B3">
        <f>IF('177T'!C3="", "", '177T'!C3)</f>
        <v>-1</v>
      </c>
      <c r="C3">
        <f>IF('18S2'!C3="", "", '18S2'!C3)</f>
        <v>-1</v>
      </c>
      <c r="D3">
        <f>IF(RNAseP!C3="", "", RNAseP!C3)</f>
        <v>24.522618283137199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393</v>
      </c>
      <c r="B4">
        <f>IF('177T'!C4="", "", '177T'!C4)</f>
        <v>-1</v>
      </c>
      <c r="C4">
        <f>IF('18S2'!C4="", "", '18S2'!C4)</f>
        <v>-1</v>
      </c>
      <c r="D4">
        <f>IF(RNAseP!C4="", "", RNAseP!C4)</f>
        <v>24.6187555663303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393</v>
      </c>
      <c r="B5">
        <f>IF('177T'!C5="", "", '177T'!C5)</f>
        <v>-1</v>
      </c>
      <c r="C5">
        <f>IF('18S2'!C5="", "", '18S2'!C5)</f>
        <v>-1</v>
      </c>
      <c r="D5">
        <f>IF(RNAseP!C5="", "", RNAseP!C5)</f>
        <v>24.4612891597416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394</v>
      </c>
      <c r="B6">
        <f>IF('177T'!C6="", "", '177T'!C6)</f>
        <v>-1</v>
      </c>
      <c r="C6">
        <f>IF('18S2'!C6="", "", '18S2'!C6)</f>
        <v>-1</v>
      </c>
      <c r="D6">
        <f>IF(RNAseP!C6="", "", RNAseP!C6)</f>
        <v>21.5561367974774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394</v>
      </c>
      <c r="B7">
        <f>IF('177T'!C7="", "", '177T'!C7)</f>
        <v>-1</v>
      </c>
      <c r="C7">
        <f>IF('18S2'!C7="", "", '18S2'!C7)</f>
        <v>-1</v>
      </c>
      <c r="D7">
        <f>IF(RNAseP!C7="", "", RNAseP!C7)</f>
        <v>21.438592891815599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394</v>
      </c>
      <c r="B8">
        <f>IF('177T'!C8="", "", '177T'!C8)</f>
        <v>-1</v>
      </c>
      <c r="C8">
        <f>IF('18S2'!C8="", "", '18S2'!C8)</f>
        <v>-1</v>
      </c>
      <c r="D8">
        <f>IF(RNAseP!C8="", "", RNAseP!C8)</f>
        <v>21.4897219611608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394</v>
      </c>
      <c r="B9">
        <f>IF('177T'!C9="", "", '177T'!C9)</f>
        <v>-1</v>
      </c>
      <c r="C9">
        <f>IF('18S2'!C9="", "", '18S2'!C9)</f>
        <v>-1</v>
      </c>
      <c r="D9">
        <f>IF(RNAseP!C9="", "", RNAseP!C9)</f>
        <v>21.481000332715301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395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23.041657449185099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395</v>
      </c>
      <c r="B11">
        <f>IF('177T'!C11="", "", '177T'!C11)</f>
        <v>-1</v>
      </c>
      <c r="C11">
        <f>IF('18S2'!C11="", "", '18S2'!C11)</f>
        <v>37.499816014993002</v>
      </c>
      <c r="D11">
        <f>IF(RNAseP!C11="", "", RNAseP!C11)</f>
        <v>23.039739788463301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0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S</v>
      </c>
      <c r="I11" t="str" cm="1">
        <f t="array" ref="I11">INDEX(Decision!$E$1:$E$28, MATCH(E11&amp;F11&amp;G11, Decision!$A$1:$A$28&amp;Decision!$B$1:$B$28&amp;Decision!$C$1:$C$28, 0))</f>
        <v>RNA suspect</v>
      </c>
    </row>
    <row r="12" spans="1:9">
      <c r="A12">
        <f>IF(AND('177T'!B12 = '18S2'!B12, '177T'!B12 = RNAseP!B12, '177T'!B12 &lt;&gt; ""), '177T'!B12, IF('177T'!B12 = "", "", "Mismatch"))</f>
        <v>395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23.112202604245802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395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23.055052740964499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396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20.569306515622401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396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20.624321208248599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396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20.559935770803399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396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20.610721923945999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397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20.772225571755101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397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20.762198080948401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397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20.785473365588999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397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20.623504142516602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398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21.989832289137599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398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22.056997012547701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398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22.016930298321299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398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21.966365104071699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399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21.2211980567611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399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21.189128433613298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399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21.290526316842602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399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21.142674857330999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400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25.3406685049051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400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25.289134980385899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400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25.107010276722001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400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25.119717381405799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401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21.9882315749303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401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22.069075986460401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401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22.281119664206098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401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22.058552593635302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402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22.752888700159399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402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22.824147397895999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402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22.663419109046799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402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22.726188668312599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24.088525553921301</v>
      </c>
      <c r="C42">
        <f>IF('18S2'!C42="", "", '18S2'!C42)</f>
        <v>20.1469134825388</v>
      </c>
      <c r="D42">
        <f>IF(RNAseP!C42="", "", RNAseP!C42)</f>
        <v>37.231626759439003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23.3336978223148</v>
      </c>
      <c r="C43">
        <f>IF('18S2'!C43="", "", '18S2'!C43)</f>
        <v>20.027999140207399</v>
      </c>
      <c r="D43">
        <f>IF(RNAseP!C43="", "", RNAseP!C43)</f>
        <v>33.759756795380099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23.398005685829499</v>
      </c>
      <c r="C44">
        <f>IF('18S2'!C44="", "", '18S2'!C44)</f>
        <v>19.999978481051802</v>
      </c>
      <c r="D44">
        <f>IF(RNAseP!C44="", "", RNAseP!C44)</f>
        <v>35.286006785845501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23.211108709172098</v>
      </c>
      <c r="C45">
        <f>IF('18S2'!C45="", "", '18S2'!C45)</f>
        <v>20.035992847165399</v>
      </c>
      <c r="D45">
        <f>IF(RNAseP!C45="", "", RNAseP!C45)</f>
        <v>35.9499358548168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38.545256803178503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C1" workbookViewId="0">
      <selection activeCell="C5" sqref="C5:G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45966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0">
        <v>45771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393</v>
      </c>
      <c r="B16" s="11">
        <v>2500619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24,5 +/- 0,1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394</v>
      </c>
      <c r="B17" s="11">
        <v>2501210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21,5 +/- 0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395</v>
      </c>
      <c r="B18" s="11">
        <v>2501259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>37,5</v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23,1 +/- 0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396</v>
      </c>
      <c r="B19" s="11">
        <v>2501204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20,6 +/- 0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397</v>
      </c>
      <c r="B20" s="11">
        <v>2501249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20,7 +/- 0,1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398</v>
      </c>
      <c r="B21" s="11">
        <v>2500107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 +/- 0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399</v>
      </c>
      <c r="B22" s="11">
        <v>2500015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21,2 +/- 0,1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400</v>
      </c>
      <c r="B23" s="11">
        <v>2500592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25,2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401</v>
      </c>
      <c r="B24" s="11">
        <v>2500737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22,1 +/- 0,1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402</v>
      </c>
      <c r="B25" s="11">
        <v>2500735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22,7 +/- 0,1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23,5 +/- 0,4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20,1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35,6 +/- 1,4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38,5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25" t="s">
        <v>58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24" t="s">
        <v>61</v>
      </c>
      <c r="D30" s="24"/>
      <c r="E30" s="20"/>
    </row>
    <row r="31" spans="1:12">
      <c r="A31" s="18" t="s">
        <v>20</v>
      </c>
      <c r="B31" s="18" t="s">
        <v>21</v>
      </c>
      <c r="C31" s="24" t="s">
        <v>62</v>
      </c>
      <c r="D31" s="24"/>
      <c r="E31" s="20"/>
    </row>
    <row r="32" spans="1:12">
      <c r="A32" s="18" t="s">
        <v>22</v>
      </c>
      <c r="B32" s="18" t="s">
        <v>63</v>
      </c>
      <c r="C32" s="24" t="s">
        <v>64</v>
      </c>
      <c r="D32" s="24"/>
      <c r="E32" s="20"/>
    </row>
    <row r="33" spans="1:5">
      <c r="A33" s="18" t="s">
        <v>65</v>
      </c>
      <c r="B33" s="18" t="s">
        <v>66</v>
      </c>
      <c r="C33" s="24" t="s">
        <v>67</v>
      </c>
      <c r="D33" s="24"/>
      <c r="E33" s="20"/>
    </row>
    <row r="34" spans="1:5">
      <c r="A34" s="18" t="s">
        <v>17</v>
      </c>
      <c r="B34" s="18" t="s">
        <v>68</v>
      </c>
      <c r="C34" s="24" t="s">
        <v>69</v>
      </c>
      <c r="D34" s="24"/>
      <c r="E34" s="20"/>
    </row>
    <row r="35" spans="1:5">
      <c r="A35" s="18" t="s">
        <v>70</v>
      </c>
      <c r="B35" s="18" t="s">
        <v>71</v>
      </c>
      <c r="C35" s="24" t="s">
        <v>72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393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24,5 +/- 0,1</v>
      </c>
    </row>
    <row r="3" spans="1:11">
      <c r="A3" s="3">
        <f>Report!A17</f>
        <v>394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21,5 +/- 0</v>
      </c>
    </row>
    <row r="4" spans="1:11">
      <c r="A4" s="3">
        <f>Report!A18</f>
        <v>395</v>
      </c>
      <c r="B4" s="3" t="str" cm="1">
        <f t="array" ref="B4">_xlfn.TEXTJOIN(", ", TRUE, IF(Analysis!$A$2:$A$82=A4, Analysis!$H$2:$H$82, ""))</f>
        <v>N, S, N, N</v>
      </c>
      <c r="C4" s="3" t="str" cm="1">
        <f t="array" ref="C4">_xlfn.TEXTJOIN(", ", TRUE, IF(Analysis!$A$2:$A$82=A4, Analysis!$I$2:$I$82, ""))</f>
        <v>negative, RNA suspect,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>37,5</v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23,1 +/- 0</v>
      </c>
    </row>
    <row r="5" spans="1:11">
      <c r="A5" s="3">
        <f>Report!A19</f>
        <v>396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20,6 +/- 0</v>
      </c>
    </row>
    <row r="6" spans="1:11">
      <c r="A6" s="3">
        <f>Report!A20</f>
        <v>397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20,7 +/- 0,1</v>
      </c>
    </row>
    <row r="7" spans="1:11">
      <c r="A7" s="3">
        <f>Report!A21</f>
        <v>398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 +/- 0</v>
      </c>
      <c r="K7" s="4"/>
    </row>
    <row r="8" spans="1:11">
      <c r="A8" s="3">
        <f>Report!A22</f>
        <v>399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21,2 +/- 0,1</v>
      </c>
    </row>
    <row r="9" spans="1:11">
      <c r="A9" s="3">
        <f>Report!A23</f>
        <v>400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25,2 +/- 0,1</v>
      </c>
    </row>
    <row r="10" spans="1:11">
      <c r="A10" s="3">
        <f>Report!A24</f>
        <v>401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22,1 +/- 0,1</v>
      </c>
    </row>
    <row r="11" spans="1:11">
      <c r="A11" s="3">
        <f>Report!A25</f>
        <v>402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22,7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23,5 +/- 0,4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20,1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35,6 +/- 1,4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F, OK</v>
      </c>
      <c r="C13" s="3" t="str" cm="1">
        <f t="array" ref="C13">_xlfn.TEXTJOIN(", ", TRUE, IF(Analysis!$A$2:$A$82=A13, Analysis!$I$2:$I$82, ""))</f>
        <v>clean, clean, RNAseP,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38,5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2025-11-07T06:32:11+00:00</Uploaded>
  </documentManagement>
</p:properties>
</file>

<file path=customXml/itemProps1.xml><?xml version="1.0" encoding="utf-8"?>
<ds:datastoreItem xmlns:ds="http://schemas.openxmlformats.org/officeDocument/2006/customXml" ds:itemID="{5F38AF0A-9575-43A6-B10A-32342A41F37C}"/>
</file>

<file path=customXml/itemProps2.xml><?xml version="1.0" encoding="utf-8"?>
<ds:datastoreItem xmlns:ds="http://schemas.openxmlformats.org/officeDocument/2006/customXml" ds:itemID="{B8368417-3106-4B57-9F2F-068F770C551B}"/>
</file>

<file path=customXml/itemProps3.xml><?xml version="1.0" encoding="utf-8"?>
<ds:datastoreItem xmlns:ds="http://schemas.openxmlformats.org/officeDocument/2006/customXml" ds:itemID="{501495CA-6514-45C8-93B3-A3A17972A6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2025-11-07T10:34:19Z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