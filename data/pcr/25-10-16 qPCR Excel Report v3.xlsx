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24226"/>
  <mc:AlternateContent xmlns:mc="http://schemas.openxmlformats.org/markup-compatibility/2006">
    <mc:Choice Requires="x15">
      <x15ac:absPath xmlns:x15ac="http://schemas.microsoft.com/office/spreadsheetml/2010/11/ac" url="\\BIOMOL\Users\USER\Desktop\03 - Biologie Moleculaire\0302 - Résultats qPCR\"/>
    </mc:Choice>
  </mc:AlternateContent>
  <xr:revisionPtr revIDLastSave="0" documentId="13_ncr:1_{7907EA48-3400-489C-9361-E465286319F5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-110" yWindow="-110" windowWidth="19420" windowHeight="11500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E3" i="10" l="1" a="1"/>
  <c r="E3" i="10" s="1"/>
  <c r="F3" i="10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<sst xmlns="http://schemas.openxmlformats.org/spreadsheetml/2006/main" count="426" uniqueCount="76">
  <si>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</si>
  <si>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</si>
  <si>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</si>
  <si>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</si>
  <si>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</si>
  <si>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</si>
  <si>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</si>
  <si>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</si>
  <si>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</si>
  <si>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</si>
  <si>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</si>
  <si>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</si>
  <si>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</si>
  <si>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</si>
  <si>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</si>
  <si>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</si>
  <si>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</si>
  <si>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</si>
  <si>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</si>
  <si>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</si>
  <si>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</si>
  <si>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</si>
  <si>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</si>
  <si>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</si>
  <si>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</si>
  <si>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</si>
  <si>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</si>
  <si>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</si>
  <si>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</si>
  <si>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</si>
  <si>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</si>
  <si>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</si>
  <si>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</si>
  <si>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</si>
  <si>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</si>
  <si>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</si>
  <si>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</si>
  <si>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</si>
  <si>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</si>
  <si>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</si>
  <si>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</si>
  <si>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</si>
  <si>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</si>
  <si>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DIEUDO</t>
  </si>
  <si>
    <t>Qrun file name</t>
  </si>
  <si>
    <t>2025-10-16 11.51.01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</si>
  <si>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</si>
  <si>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</si>
  <si>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</si>
  <si>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</si>
  <si>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</si>
  <si>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</si>
  <si>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</si>
  <si>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</si>
  <si>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</si>
  <si>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</si>
  <si>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V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</si>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</sst>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Standa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4.4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266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266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266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266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267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267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267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267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268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268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268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268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269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269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269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269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270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270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270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270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271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271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271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271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272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272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272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272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273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273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273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273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274</v>
      </c>
      <c r="C34" s="8">
        <v>28.776598569476299</v>
      </c>
      <c r="D34" s="8">
        <v>0.67106505014356799</v>
      </c>
      <c r="E34" s="8">
        <v>0.99990999999999997</v>
      </c>
      <c r="F34" s="8"/>
    </row>
    <row r="35" spans="1:6">
      <c r="A35" s="8">
        <v>34</v>
      </c>
      <c r="B35" s="8">
        <v>274</v>
      </c>
      <c r="C35" s="8">
        <v>30.1570258171338</v>
      </c>
      <c r="D35" s="8">
        <v>0.61090310826059302</v>
      </c>
      <c r="E35" s="8">
        <v>0.99983</v>
      </c>
      <c r="F35" s="8"/>
    </row>
    <row r="36" spans="1:6">
      <c r="A36" s="8">
        <v>35</v>
      </c>
      <c r="B36" s="8">
        <v>274</v>
      </c>
      <c r="C36" s="8">
        <v>29.573860413118201</v>
      </c>
      <c r="D36" s="8">
        <v>0.63170178825081802</v>
      </c>
      <c r="E36" s="8">
        <v>0.99978</v>
      </c>
      <c r="F36" s="8"/>
    </row>
    <row r="37" spans="1:6">
      <c r="A37" s="8">
        <v>36</v>
      </c>
      <c r="B37" s="8">
        <v>274</v>
      </c>
      <c r="C37" s="8">
        <v>29.5314732634404</v>
      </c>
      <c r="D37" s="8">
        <v>0.68827652774839698</v>
      </c>
      <c r="E37" s="8">
        <v>0.99983999999999995</v>
      </c>
      <c r="F37" s="8"/>
    </row>
    <row r="38" spans="1:6">
      <c r="A38" s="8">
        <v>37</v>
      </c>
      <c r="B38" s="8">
        <v>275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275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275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275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23.782668620225099</v>
      </c>
      <c r="D42" s="8">
        <v>0.86138398390358895</v>
      </c>
      <c r="E42" s="8">
        <v>0.99995999999999996</v>
      </c>
      <c r="F42" s="8"/>
    </row>
    <row r="43" spans="1:6">
      <c r="A43" s="8">
        <v>42</v>
      </c>
      <c r="B43" s="8" t="s">
        <v>7</v>
      </c>
      <c r="C43" s="8">
        <v>22.739207567501701</v>
      </c>
      <c r="D43" s="8">
        <v>0.89486398575678205</v>
      </c>
      <c r="E43" s="8">
        <v>0.99980999999999998</v>
      </c>
      <c r="F43" s="8"/>
    </row>
    <row r="44" spans="1:6">
      <c r="A44" s="8">
        <v>43</v>
      </c>
      <c r="B44" s="8" t="s">
        <v>7</v>
      </c>
      <c r="C44" s="8">
        <v>23.135977726046999</v>
      </c>
      <c r="D44" s="8">
        <v>0.78239764955467594</v>
      </c>
      <c r="E44" s="8">
        <v>0.99999000000000005</v>
      </c>
      <c r="F44" s="8"/>
    </row>
    <row r="45" spans="1:6">
      <c r="A45" s="8">
        <v>44</v>
      </c>
      <c r="B45" s="8" t="s">
        <v>7</v>
      </c>
      <c r="C45" s="8">
        <v>23.5073875175136</v>
      </c>
      <c r="D45" s="8">
        <v>0.90154833078295804</v>
      </c>
      <c r="E45" s="8">
        <v>0.99960000000000004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workbookViewId="0">
      <selection sqref="A1:F49"/>
    </sheetView>
  </sheetViews>
  <sheetFormatPr defaultColWidth="9.140625" defaultRowHeight="14.4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266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266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266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266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267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267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267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267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268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268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268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268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269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269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269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269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270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270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270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270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271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271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271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271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272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272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272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272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273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273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273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273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274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274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274</v>
      </c>
      <c r="C36" s="9">
        <v>37.405848679597803</v>
      </c>
      <c r="D36" s="9">
        <v>0.44448976611603702</v>
      </c>
      <c r="E36" s="9">
        <v>0.99770999999999999</v>
      </c>
      <c r="F36" s="9"/>
    </row>
    <row r="37" spans="1:6">
      <c r="A37" s="9">
        <v>36</v>
      </c>
      <c r="B37" s="9">
        <v>274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275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275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275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275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21.130123951520901</v>
      </c>
      <c r="D42" s="9">
        <v>0.84250274927213997</v>
      </c>
      <c r="E42" s="9">
        <v>0.99880999999999998</v>
      </c>
      <c r="F42" s="9"/>
    </row>
    <row r="43" spans="1:6">
      <c r="A43" s="9">
        <v>42</v>
      </c>
      <c r="B43" s="9" t="s">
        <v>7</v>
      </c>
      <c r="C43" s="9">
        <v>21.007656316629902</v>
      </c>
      <c r="D43" s="9">
        <v>0.83612933270622403</v>
      </c>
      <c r="E43" s="9">
        <v>0.99855000000000005</v>
      </c>
      <c r="F43" s="9"/>
    </row>
    <row r="44" spans="1:6">
      <c r="A44" s="9">
        <v>43</v>
      </c>
      <c r="B44" s="9" t="s">
        <v>7</v>
      </c>
      <c r="C44" s="9">
        <v>21.155016577491502</v>
      </c>
      <c r="D44" s="9">
        <v>0.827414402667763</v>
      </c>
      <c r="E44" s="9">
        <v>0.99878</v>
      </c>
      <c r="F44" s="9"/>
    </row>
    <row r="45" spans="1:6">
      <c r="A45" s="9">
        <v>44</v>
      </c>
      <c r="B45" s="9" t="s">
        <v>7</v>
      </c>
      <c r="C45" s="9">
        <v>20.966155291954799</v>
      </c>
      <c r="D45" s="9">
        <v>0.84612816693134596</v>
      </c>
      <c r="E45" s="9">
        <v>0.99822999999999995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4.4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266</v>
      </c>
      <c r="C2" s="10">
        <v>22.549286229346201</v>
      </c>
      <c r="D2" s="10">
        <v>0.940263406076839</v>
      </c>
      <c r="E2" s="10">
        <v>0.99939999999999996</v>
      </c>
      <c r="F2" s="10"/>
    </row>
    <row r="3" spans="1:6">
      <c r="A3" s="10">
        <v>2</v>
      </c>
      <c r="B3" s="10">
        <v>266</v>
      </c>
      <c r="C3" s="10">
        <v>22.4838192978475</v>
      </c>
      <c r="D3" s="10">
        <v>0.93209670046148696</v>
      </c>
      <c r="E3" s="10">
        <v>0.99941000000000002</v>
      </c>
      <c r="F3" s="10"/>
    </row>
    <row r="4" spans="1:6">
      <c r="A4" s="10">
        <v>3</v>
      </c>
      <c r="B4" s="10">
        <v>266</v>
      </c>
      <c r="C4" s="10">
        <v>22.3931609564379</v>
      </c>
      <c r="D4" s="10">
        <v>0.96082506305178705</v>
      </c>
      <c r="E4" s="10">
        <v>0.99931000000000003</v>
      </c>
      <c r="F4" s="10"/>
    </row>
    <row r="5" spans="1:6">
      <c r="A5" s="10">
        <v>4</v>
      </c>
      <c r="B5" s="10">
        <v>266</v>
      </c>
      <c r="C5" s="10">
        <v>22.4706507374996</v>
      </c>
      <c r="D5" s="10">
        <v>0.96234972789281503</v>
      </c>
      <c r="E5" s="10">
        <v>0.99933000000000005</v>
      </c>
      <c r="F5" s="10"/>
    </row>
    <row r="6" spans="1:6">
      <c r="A6" s="10">
        <v>5</v>
      </c>
      <c r="B6" s="10">
        <v>267</v>
      </c>
      <c r="C6" s="10">
        <v>22.993245943094799</v>
      </c>
      <c r="D6" s="10">
        <v>0.905281289425381</v>
      </c>
      <c r="E6" s="10">
        <v>0.99956</v>
      </c>
      <c r="F6" s="10"/>
    </row>
    <row r="7" spans="1:6">
      <c r="A7" s="10">
        <v>6</v>
      </c>
      <c r="B7" s="10">
        <v>267</v>
      </c>
      <c r="C7" s="10">
        <v>22.9754672360984</v>
      </c>
      <c r="D7" s="10">
        <v>0.92738359193356201</v>
      </c>
      <c r="E7" s="10">
        <v>0.99926000000000004</v>
      </c>
      <c r="F7" s="10"/>
    </row>
    <row r="8" spans="1:6">
      <c r="A8" s="10">
        <v>7</v>
      </c>
      <c r="B8" s="10">
        <v>267</v>
      </c>
      <c r="C8" s="10">
        <v>22.997119855940198</v>
      </c>
      <c r="D8" s="10">
        <v>0.92928285467808902</v>
      </c>
      <c r="E8" s="10">
        <v>0.99914000000000003</v>
      </c>
      <c r="F8" s="10"/>
    </row>
    <row r="9" spans="1:6">
      <c r="A9" s="10">
        <v>8</v>
      </c>
      <c r="B9" s="10">
        <v>267</v>
      </c>
      <c r="C9" s="10">
        <v>23.009927908312498</v>
      </c>
      <c r="D9" s="10">
        <v>0.93621655489857503</v>
      </c>
      <c r="E9" s="10">
        <v>0.99912000000000001</v>
      </c>
      <c r="F9" s="10"/>
    </row>
    <row r="10" spans="1:6">
      <c r="A10" s="10">
        <v>9</v>
      </c>
      <c r="B10" s="10">
        <v>268</v>
      </c>
      <c r="C10" s="10">
        <v>22.364926938648299</v>
      </c>
      <c r="D10" s="10">
        <v>0.95777810715290901</v>
      </c>
      <c r="E10" s="10">
        <v>0.99938000000000005</v>
      </c>
      <c r="F10" s="10"/>
    </row>
    <row r="11" spans="1:6">
      <c r="A11" s="10">
        <v>10</v>
      </c>
      <c r="B11" s="10">
        <v>268</v>
      </c>
      <c r="C11" s="10">
        <v>22.0838673842999</v>
      </c>
      <c r="D11" s="10">
        <v>0.88798495973979996</v>
      </c>
      <c r="E11" s="10">
        <v>0.99951999999999996</v>
      </c>
      <c r="F11" s="10"/>
    </row>
    <row r="12" spans="1:6">
      <c r="A12" s="10">
        <v>11</v>
      </c>
      <c r="B12" s="10">
        <v>268</v>
      </c>
      <c r="C12" s="10">
        <v>22.2971417852259</v>
      </c>
      <c r="D12" s="10">
        <v>0.95787008828875897</v>
      </c>
      <c r="E12" s="10">
        <v>0.99907000000000001</v>
      </c>
      <c r="F12" s="10"/>
    </row>
    <row r="13" spans="1:6">
      <c r="A13" s="10">
        <v>12</v>
      </c>
      <c r="B13" s="10">
        <v>268</v>
      </c>
      <c r="C13" s="10">
        <v>22.255414334912299</v>
      </c>
      <c r="D13" s="10">
        <v>0.96219420005777501</v>
      </c>
      <c r="E13" s="10">
        <v>0.99902000000000002</v>
      </c>
      <c r="F13" s="10"/>
    </row>
    <row r="14" spans="1:6">
      <c r="A14" s="10">
        <v>13</v>
      </c>
      <c r="B14" s="10">
        <v>269</v>
      </c>
      <c r="C14" s="10">
        <v>21.150683354538099</v>
      </c>
      <c r="D14" s="10">
        <v>0.89619614515918899</v>
      </c>
      <c r="E14" s="10">
        <v>0.99944</v>
      </c>
      <c r="F14" s="10"/>
    </row>
    <row r="15" spans="1:6">
      <c r="A15" s="10">
        <v>14</v>
      </c>
      <c r="B15" s="10">
        <v>269</v>
      </c>
      <c r="C15" s="10">
        <v>20.967067842531499</v>
      </c>
      <c r="D15" s="10">
        <v>0.84938887969593602</v>
      </c>
      <c r="E15" s="10">
        <v>0.99966999999999995</v>
      </c>
      <c r="F15" s="10"/>
    </row>
    <row r="16" spans="1:6">
      <c r="A16" s="10">
        <v>15</v>
      </c>
      <c r="B16" s="10">
        <v>269</v>
      </c>
      <c r="C16" s="10">
        <v>21.050922131346699</v>
      </c>
      <c r="D16" s="10">
        <v>0.877513477138123</v>
      </c>
      <c r="E16" s="10">
        <v>0.99938000000000005</v>
      </c>
      <c r="F16" s="10"/>
    </row>
    <row r="17" spans="1:6">
      <c r="A17" s="10">
        <v>16</v>
      </c>
      <c r="B17" s="10">
        <v>269</v>
      </c>
      <c r="C17" s="10">
        <v>21.012666196378301</v>
      </c>
      <c r="D17" s="10">
        <v>0.85118859368365896</v>
      </c>
      <c r="E17" s="10">
        <v>0.99961999999999995</v>
      </c>
      <c r="F17" s="10"/>
    </row>
    <row r="18" spans="1:6">
      <c r="A18" s="10">
        <v>17</v>
      </c>
      <c r="B18" s="10">
        <v>270</v>
      </c>
      <c r="C18" s="10">
        <v>22.3744480867664</v>
      </c>
      <c r="D18" s="10">
        <v>0.95829808485127699</v>
      </c>
      <c r="E18" s="10">
        <v>0.99944</v>
      </c>
      <c r="F18" s="10"/>
    </row>
    <row r="19" spans="1:6">
      <c r="A19" s="10">
        <v>18</v>
      </c>
      <c r="B19" s="10">
        <v>270</v>
      </c>
      <c r="C19" s="10">
        <v>22.2299342464453</v>
      </c>
      <c r="D19" s="10">
        <v>0.95494867464204303</v>
      </c>
      <c r="E19" s="10">
        <v>0.99897999999999998</v>
      </c>
      <c r="F19" s="10"/>
    </row>
    <row r="20" spans="1:6">
      <c r="A20" s="10">
        <v>19</v>
      </c>
      <c r="B20" s="10">
        <v>270</v>
      </c>
      <c r="C20" s="10">
        <v>22.371192588966899</v>
      </c>
      <c r="D20" s="10">
        <v>0.98021340286353698</v>
      </c>
      <c r="E20" s="10">
        <v>0.99921000000000004</v>
      </c>
      <c r="F20" s="10"/>
    </row>
    <row r="21" spans="1:6">
      <c r="A21" s="10">
        <v>20</v>
      </c>
      <c r="B21" s="10">
        <v>270</v>
      </c>
      <c r="C21" s="10">
        <v>22.1739084058039</v>
      </c>
      <c r="D21" s="10">
        <v>0.90791779889831603</v>
      </c>
      <c r="E21" s="10">
        <v>0.99938000000000005</v>
      </c>
      <c r="F21" s="10"/>
    </row>
    <row r="22" spans="1:6">
      <c r="A22" s="10">
        <v>21</v>
      </c>
      <c r="B22" s="10">
        <v>271</v>
      </c>
      <c r="C22" s="10">
        <v>23.728040221574702</v>
      </c>
      <c r="D22" s="10">
        <v>0.92865612245171802</v>
      </c>
      <c r="E22" s="10">
        <v>0.99934999999999996</v>
      </c>
      <c r="F22" s="10"/>
    </row>
    <row r="23" spans="1:6">
      <c r="A23" s="10">
        <v>22</v>
      </c>
      <c r="B23" s="10">
        <v>271</v>
      </c>
      <c r="C23" s="10">
        <v>23.491558211522999</v>
      </c>
      <c r="D23" s="10">
        <v>0.92179372536540705</v>
      </c>
      <c r="E23" s="10">
        <v>0.99960000000000004</v>
      </c>
      <c r="F23" s="10"/>
    </row>
    <row r="24" spans="1:6">
      <c r="A24" s="10">
        <v>23</v>
      </c>
      <c r="B24" s="10">
        <v>271</v>
      </c>
      <c r="C24" s="10">
        <v>23.562384840148301</v>
      </c>
      <c r="D24" s="10">
        <v>0.93576655754994897</v>
      </c>
      <c r="E24" s="10">
        <v>0.99946999999999997</v>
      </c>
      <c r="F24" s="10"/>
    </row>
    <row r="25" spans="1:6">
      <c r="A25" s="10">
        <v>24</v>
      </c>
      <c r="B25" s="10">
        <v>271</v>
      </c>
      <c r="C25" s="10">
        <v>23.522906829542599</v>
      </c>
      <c r="D25" s="10">
        <v>0.91241535825286402</v>
      </c>
      <c r="E25" s="10">
        <v>0.99961</v>
      </c>
      <c r="F25" s="10"/>
    </row>
    <row r="26" spans="1:6">
      <c r="A26" s="10">
        <v>25</v>
      </c>
      <c r="B26" s="10">
        <v>272</v>
      </c>
      <c r="C26" s="10">
        <v>24.486808640749299</v>
      </c>
      <c r="D26" s="10">
        <v>0.93229975170676405</v>
      </c>
      <c r="E26" s="10">
        <v>0.99965999999999999</v>
      </c>
      <c r="F26" s="10"/>
    </row>
    <row r="27" spans="1:6">
      <c r="A27" s="10">
        <v>26</v>
      </c>
      <c r="B27" s="10">
        <v>272</v>
      </c>
      <c r="C27" s="10">
        <v>24.3232700214777</v>
      </c>
      <c r="D27" s="10">
        <v>0.94861537398528895</v>
      </c>
      <c r="E27" s="10">
        <v>0.99941999999999998</v>
      </c>
      <c r="F27" s="10"/>
    </row>
    <row r="28" spans="1:6">
      <c r="A28" s="10">
        <v>27</v>
      </c>
      <c r="B28" s="10">
        <v>272</v>
      </c>
      <c r="C28" s="10">
        <v>24.3359270387636</v>
      </c>
      <c r="D28" s="10">
        <v>0.95225841992620497</v>
      </c>
      <c r="E28" s="10">
        <v>0.99941000000000002</v>
      </c>
      <c r="F28" s="10"/>
    </row>
    <row r="29" spans="1:6">
      <c r="A29" s="10">
        <v>28</v>
      </c>
      <c r="B29" s="10">
        <v>272</v>
      </c>
      <c r="C29" s="10">
        <v>24.417565648783899</v>
      </c>
      <c r="D29" s="10">
        <v>0.95797614837401801</v>
      </c>
      <c r="E29" s="10">
        <v>0.99933000000000005</v>
      </c>
      <c r="F29" s="10"/>
    </row>
    <row r="30" spans="1:6">
      <c r="A30" s="10">
        <v>29</v>
      </c>
      <c r="B30" s="10">
        <v>273</v>
      </c>
      <c r="C30" s="10">
        <v>18.7313737593071</v>
      </c>
      <c r="D30" s="10">
        <v>0.93563412197368601</v>
      </c>
      <c r="E30" s="10">
        <v>0.99887999999999999</v>
      </c>
      <c r="F30" s="10"/>
    </row>
    <row r="31" spans="1:6">
      <c r="A31" s="10">
        <v>30</v>
      </c>
      <c r="B31" s="10">
        <v>273</v>
      </c>
      <c r="C31" s="10">
        <v>18.8229665625101</v>
      </c>
      <c r="D31" s="10">
        <v>0.90749054298106002</v>
      </c>
      <c r="E31" s="10">
        <v>0.99922999999999995</v>
      </c>
      <c r="F31" s="10"/>
    </row>
    <row r="32" spans="1:6">
      <c r="A32" s="10">
        <v>31</v>
      </c>
      <c r="B32" s="10">
        <v>273</v>
      </c>
      <c r="C32" s="10">
        <v>18.8136607774547</v>
      </c>
      <c r="D32" s="10">
        <v>0.923795159249436</v>
      </c>
      <c r="E32" s="10">
        <v>0.99900999999999995</v>
      </c>
      <c r="F32" s="10"/>
    </row>
    <row r="33" spans="1:6">
      <c r="A33" s="10">
        <v>32</v>
      </c>
      <c r="B33" s="10">
        <v>273</v>
      </c>
      <c r="C33" s="10">
        <v>18.7491676571813</v>
      </c>
      <c r="D33" s="10">
        <v>0.917791649342104</v>
      </c>
      <c r="E33" s="10">
        <v>0.99914999999999998</v>
      </c>
      <c r="F33" s="10"/>
    </row>
    <row r="34" spans="1:6">
      <c r="A34" s="10">
        <v>33</v>
      </c>
      <c r="B34" s="10">
        <v>274</v>
      </c>
      <c r="C34" s="10">
        <v>21.8896731289664</v>
      </c>
      <c r="D34" s="10">
        <v>0.87256196716525702</v>
      </c>
      <c r="E34" s="10">
        <v>0.99963999999999997</v>
      </c>
      <c r="F34" s="10"/>
    </row>
    <row r="35" spans="1:6">
      <c r="A35" s="10">
        <v>34</v>
      </c>
      <c r="B35" s="10">
        <v>274</v>
      </c>
      <c r="C35" s="10">
        <v>21.851033960351099</v>
      </c>
      <c r="D35" s="10">
        <v>0.882650485955633</v>
      </c>
      <c r="E35" s="10">
        <v>0.99956</v>
      </c>
      <c r="F35" s="10"/>
    </row>
    <row r="36" spans="1:6">
      <c r="A36" s="10">
        <v>35</v>
      </c>
      <c r="B36" s="10">
        <v>274</v>
      </c>
      <c r="C36" s="10">
        <v>21.882400166622499</v>
      </c>
      <c r="D36" s="10">
        <v>0.90813784927771002</v>
      </c>
      <c r="E36" s="10">
        <v>0.99924999999999997</v>
      </c>
      <c r="F36" s="10"/>
    </row>
    <row r="37" spans="1:6">
      <c r="A37" s="10">
        <v>36</v>
      </c>
      <c r="B37" s="10">
        <v>274</v>
      </c>
      <c r="C37" s="10">
        <v>21.921959554823399</v>
      </c>
      <c r="D37" s="10">
        <v>0.88509578625302399</v>
      </c>
      <c r="E37" s="10">
        <v>0.99946000000000002</v>
      </c>
      <c r="F37" s="10"/>
    </row>
    <row r="38" spans="1:6">
      <c r="A38" s="10">
        <v>37</v>
      </c>
      <c r="B38" s="10">
        <v>275</v>
      </c>
      <c r="C38" s="10">
        <v>22.5894389674481</v>
      </c>
      <c r="D38" s="10">
        <v>0.94969869457725098</v>
      </c>
      <c r="E38" s="10">
        <v>0.99946999999999997</v>
      </c>
      <c r="F38" s="10"/>
    </row>
    <row r="39" spans="1:6">
      <c r="A39" s="10">
        <v>38</v>
      </c>
      <c r="B39" s="10">
        <v>275</v>
      </c>
      <c r="C39" s="10">
        <v>22.4450222583487</v>
      </c>
      <c r="D39" s="10">
        <v>0.94265307893344896</v>
      </c>
      <c r="E39" s="10">
        <v>0.99939999999999996</v>
      </c>
      <c r="F39" s="10"/>
    </row>
    <row r="40" spans="1:6">
      <c r="A40" s="10">
        <v>39</v>
      </c>
      <c r="B40" s="10">
        <v>275</v>
      </c>
      <c r="C40" s="10">
        <v>22.424056151736501</v>
      </c>
      <c r="D40" s="10">
        <v>0.95310320234583601</v>
      </c>
      <c r="E40" s="10">
        <v>0.99931000000000003</v>
      </c>
      <c r="F40" s="10"/>
    </row>
    <row r="41" spans="1:6">
      <c r="A41" s="10">
        <v>40</v>
      </c>
      <c r="B41" s="10">
        <v>275</v>
      </c>
      <c r="C41" s="10">
        <v>22.318298555767299</v>
      </c>
      <c r="D41" s="10">
        <v>0.95860655515527005</v>
      </c>
      <c r="E41" s="10">
        <v>0.99919000000000002</v>
      </c>
      <c r="F41" s="10"/>
    </row>
    <row r="42" spans="1:6">
      <c r="A42" s="10">
        <v>41</v>
      </c>
      <c r="B42" s="10" t="s">
        <v>7</v>
      </c>
      <c r="C42" s="10">
        <v>35.608250302914399</v>
      </c>
      <c r="D42" s="10">
        <v>0.67357960421554497</v>
      </c>
      <c r="E42" s="10">
        <v>0.99955000000000005</v>
      </c>
      <c r="F42" s="10"/>
    </row>
    <row r="43" spans="1:6">
      <c r="A43" s="10">
        <v>42</v>
      </c>
      <c r="B43" s="10" t="s">
        <v>7</v>
      </c>
      <c r="C43" s="10">
        <v>36.972466574337801</v>
      </c>
      <c r="D43" s="10">
        <v>0.59200011392114804</v>
      </c>
      <c r="E43" s="10">
        <v>0.99946000000000002</v>
      </c>
      <c r="F43" s="10"/>
    </row>
    <row r="44" spans="1:6">
      <c r="A44" s="10">
        <v>43</v>
      </c>
      <c r="B44" s="10" t="s">
        <v>7</v>
      </c>
      <c r="C44" s="10">
        <v>35.802074428551798</v>
      </c>
      <c r="D44" s="10">
        <v>0.63810276906832597</v>
      </c>
      <c r="E44" s="10">
        <v>0.99944999999999995</v>
      </c>
      <c r="F44" s="10"/>
    </row>
    <row r="45" spans="1:6">
      <c r="A45" s="10">
        <v>44</v>
      </c>
      <c r="B45" s="10" t="s">
        <v>7</v>
      </c>
      <c r="C45" s="10">
        <v>35.3360861306397</v>
      </c>
      <c r="D45" s="10">
        <v>0.69640502593651998</v>
      </c>
      <c r="E45" s="10">
        <v>0.99919999999999998</v>
      </c>
      <c r="F45" s="10"/>
    </row>
    <row r="46" spans="1:6">
      <c r="A46" s="10">
        <v>45</v>
      </c>
      <c r="B46" s="10" t="s">
        <v>8</v>
      </c>
      <c r="C46" s="10">
        <v>38.048354284794598</v>
      </c>
      <c r="D46" s="10">
        <v>0.68306993882746703</v>
      </c>
      <c r="E46" s="10">
        <v>0.99495999999999996</v>
      </c>
      <c r="F46" s="10"/>
    </row>
    <row r="47" spans="1:6">
      <c r="A47" s="10">
        <v>46</v>
      </c>
      <c r="B47" s="10" t="s">
        <v>8</v>
      </c>
      <c r="C47" s="10">
        <v>-1</v>
      </c>
      <c r="D47" s="10">
        <v>-1</v>
      </c>
      <c r="E47" s="10"/>
      <c r="F47" s="10" t="s">
        <v>6</v>
      </c>
    </row>
    <row r="48" spans="1:6">
      <c r="A48" s="10">
        <v>47</v>
      </c>
      <c r="B48" s="10" t="s">
        <v>8</v>
      </c>
      <c r="C48" s="10">
        <v>38.344894509219998</v>
      </c>
      <c r="D48" s="10">
        <v>0.59699086831619497</v>
      </c>
      <c r="E48" s="10">
        <v>0.97052000000000005</v>
      </c>
      <c r="F48" s="10"/>
    </row>
    <row r="49" spans="1:6">
      <c r="A49" s="10">
        <v>48</v>
      </c>
      <c r="B49" s="10" t="s">
        <v>8</v>
      </c>
      <c r="C49" s="10">
        <v>-1</v>
      </c>
      <c r="D49" s="10">
        <v>-1</v>
      </c>
      <c r="E49" s="10"/>
      <c r="F49" s="10" t="s">
        <v>6</v>
      </c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4.4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266</v>
      </c>
      <c r="B2">
        <f>IF('177T'!C2="", "", '177T'!C2)</f>
        <v>-1</v>
      </c>
      <c r="C2">
        <f>IF('18S2'!C2="", "", '18S2'!C2)</f>
        <v>-1</v>
      </c>
      <c r="D2">
        <f>IF(RNAseP!C2="", "", RNAseP!C2)</f>
        <v>22.549286229346201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266</v>
      </c>
      <c r="B3">
        <f>IF('177T'!C3="", "", '177T'!C3)</f>
        <v>-1</v>
      </c>
      <c r="C3">
        <f>IF('18S2'!C3="", "", '18S2'!C3)</f>
        <v>-1</v>
      </c>
      <c r="D3">
        <f>IF(RNAseP!C3="", "", RNAseP!C3)</f>
        <v>22.4838192978475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266</v>
      </c>
      <c r="B4">
        <f>IF('177T'!C4="", "", '177T'!C4)</f>
        <v>-1</v>
      </c>
      <c r="C4">
        <f>IF('18S2'!C4="", "", '18S2'!C4)</f>
        <v>-1</v>
      </c>
      <c r="D4">
        <f>IF(RNAseP!C4="", "", RNAseP!C4)</f>
        <v>22.3931609564379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266</v>
      </c>
      <c r="B5">
        <f>IF('177T'!C5="", "", '177T'!C5)</f>
        <v>-1</v>
      </c>
      <c r="C5">
        <f>IF('18S2'!C5="", "", '18S2'!C5)</f>
        <v>-1</v>
      </c>
      <c r="D5">
        <f>IF(RNAseP!C5="", "", RNAseP!C5)</f>
        <v>22.4706507374996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267</v>
      </c>
      <c r="B6">
        <f>IF('177T'!C6="", "", '177T'!C6)</f>
        <v>-1</v>
      </c>
      <c r="C6">
        <f>IF('18S2'!C6="", "", '18S2'!C6)</f>
        <v>-1</v>
      </c>
      <c r="D6">
        <f>IF(RNAseP!C6="", "", RNAseP!C6)</f>
        <v>22.993245943094799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267</v>
      </c>
      <c r="B7">
        <f>IF('177T'!C7="", "", '177T'!C7)</f>
        <v>-1</v>
      </c>
      <c r="C7">
        <f>IF('18S2'!C7="", "", '18S2'!C7)</f>
        <v>-1</v>
      </c>
      <c r="D7">
        <f>IF(RNAseP!C7="", "", RNAseP!C7)</f>
        <v>22.9754672360984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267</v>
      </c>
      <c r="B8">
        <f>IF('177T'!C8="", "", '177T'!C8)</f>
        <v>-1</v>
      </c>
      <c r="C8">
        <f>IF('18S2'!C8="", "", '18S2'!C8)</f>
        <v>-1</v>
      </c>
      <c r="D8">
        <f>IF(RNAseP!C8="", "", RNAseP!C8)</f>
        <v>22.997119855940198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267</v>
      </c>
      <c r="B9">
        <f>IF('177T'!C9="", "", '177T'!C9)</f>
        <v>-1</v>
      </c>
      <c r="C9">
        <f>IF('18S2'!C9="", "", '18S2'!C9)</f>
        <v>-1</v>
      </c>
      <c r="D9">
        <f>IF(RNAseP!C9="", "", RNAseP!C9)</f>
        <v>23.009927908312498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268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22.364926938648299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268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22.0838673842999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268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22.2971417852259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268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22.255414334912299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269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21.150683354538099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269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20.967067842531499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269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21.050922131346699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269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21.012666196378301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270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22.3744480867664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270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22.2299342464453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270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22.371192588966899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270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22.1739084058039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271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23.728040221574702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271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23.491558211522999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271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23.562384840148301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271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23.522906829542599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272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24.486808640749299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272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24.3232700214777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272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24.3359270387636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272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24.417565648783899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273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18.7313737593071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273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18.8229665625101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273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18.8136607774547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273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18.7491676571813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274</v>
      </c>
      <c r="B34">
        <f>IF('177T'!C34="", "", '177T'!C34)</f>
        <v>28.776598569476299</v>
      </c>
      <c r="C34">
        <f>IF('18S2'!C34="", "", '18S2'!C34)</f>
        <v>-1</v>
      </c>
      <c r="D34">
        <f>IF(RNAseP!C34="", "", RNAseP!C34)</f>
        <v>21.8896731289664</v>
      </c>
      <c r="E34" s="3" t="str">
        <f>IF(B34=-1, "-1", IF(B34&lt;VLOOKUP("177T", Cutoff!$A$1:$B$4, 2, FALSE), "1", "0"))</f>
        <v>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P</v>
      </c>
      <c r="I34" t="str" cm="1">
        <f t="array" ref="I34">INDEX(Decision!$E$1:$E$28, MATCH(E34&amp;F34&amp;G34, Decision!$A$1:$A$28&amp;Decision!$B$1:$B$28&amp;Decision!$C$1:$C$28, 0))</f>
        <v>DNA case</v>
      </c>
    </row>
    <row r="35" spans="1:9">
      <c r="A35">
        <f>IF(AND('177T'!B35 = '18S2'!B35, '177T'!B35 = RNAseP!B35, '177T'!B35 &lt;&gt; ""), '177T'!B35, IF('177T'!B35 = "", "", "Mismatch"))</f>
        <v>274</v>
      </c>
      <c r="B35">
        <f>IF('177T'!C35="", "", '177T'!C35)</f>
        <v>30.1570258171338</v>
      </c>
      <c r="C35">
        <f>IF('18S2'!C35="", "", '18S2'!C35)</f>
        <v>-1</v>
      </c>
      <c r="D35">
        <f>IF(RNAseP!C35="", "", RNAseP!C35)</f>
        <v>21.851033960351099</v>
      </c>
      <c r="E35" s="3" t="str">
        <f>IF(B35=-1, "-1", IF(B35&lt;VLOOKUP("177T", Cutoff!$A$1:$B$4, 2, FALSE), "1", "0"))</f>
        <v>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P</v>
      </c>
      <c r="I35" t="str" cm="1">
        <f t="array" ref="I35">INDEX(Decision!$E$1:$E$28, MATCH(E35&amp;F35&amp;G35, Decision!$A$1:$A$28&amp;Decision!$B$1:$B$28&amp;Decision!$C$1:$C$28, 0))</f>
        <v>DNA case</v>
      </c>
    </row>
    <row r="36" spans="1:9">
      <c r="A36">
        <f>IF(AND('177T'!B36 = '18S2'!B36, '177T'!B36 = RNAseP!B36, '177T'!B36 &lt;&gt; ""), '177T'!B36, IF('177T'!B36 = "", "", "Mismatch"))</f>
        <v>274</v>
      </c>
      <c r="B36">
        <f>IF('177T'!C36="", "", '177T'!C36)</f>
        <v>29.573860413118201</v>
      </c>
      <c r="C36">
        <f>IF('18S2'!C36="", "", '18S2'!C36)</f>
        <v>37.405848679597803</v>
      </c>
      <c r="D36">
        <f>IF(RNAseP!C36="", "", RNAseP!C36)</f>
        <v>21.882400166622499</v>
      </c>
      <c r="E36" s="3" t="str">
        <f>IF(B36=-1, "-1", IF(B36&lt;VLOOKUP("177T", Cutoff!$A$1:$B$4, 2, FALSE), "1", "0"))</f>
        <v>1</v>
      </c>
      <c r="F36" s="3" t="str">
        <f>IF(C36=-1, "-1", IF(C36&lt;VLOOKUP("18S2", Cutoff!$A$1:$B$4, 2, FALSE), "1", "0"))</f>
        <v>0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P</v>
      </c>
      <c r="I36" t="str" cm="1">
        <f t="array" ref="I36">INDEX(Decision!$E$1:$E$28, MATCH(E36&amp;F36&amp;G36, Decision!$A$1:$A$28&amp;Decision!$B$1:$B$28&amp;Decision!$C$1:$C$28, 0))</f>
        <v>DNA case &amp; RNA suspect</v>
      </c>
    </row>
    <row r="37" spans="1:9">
      <c r="A37">
        <f>IF(AND('177T'!B37 = '18S2'!B37, '177T'!B37 = RNAseP!B37, '177T'!B37 &lt;&gt; ""), '177T'!B37, IF('177T'!B37 = "", "", "Mismatch"))</f>
        <v>274</v>
      </c>
      <c r="B37">
        <f>IF('177T'!C37="", "", '177T'!C37)</f>
        <v>29.5314732634404</v>
      </c>
      <c r="C37">
        <f>IF('18S2'!C37="", "", '18S2'!C37)</f>
        <v>-1</v>
      </c>
      <c r="D37">
        <f>IF(RNAseP!C37="", "", RNAseP!C37)</f>
        <v>21.921959554823399</v>
      </c>
      <c r="E37" s="3" t="str">
        <f>IF(B37=-1, "-1", IF(B37&lt;VLOOKUP("177T", Cutoff!$A$1:$B$4, 2, FALSE), "1", "0"))</f>
        <v>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P</v>
      </c>
      <c r="I37" t="str" cm="1">
        <f t="array" ref="I37">INDEX(Decision!$E$1:$E$28, MATCH(E37&amp;F37&amp;G37, Decision!$A$1:$A$28&amp;Decision!$B$1:$B$28&amp;Decision!$C$1:$C$28, 0))</f>
        <v>DNA case</v>
      </c>
    </row>
    <row r="38" spans="1:9">
      <c r="A38">
        <f>IF(AND('177T'!B38 = '18S2'!B38, '177T'!B38 = RNAseP!B38, '177T'!B38 &lt;&gt; ""), '177T'!B38, IF('177T'!B38 = "", "", "Mismatch"))</f>
        <v>275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22.5894389674481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275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22.4450222583487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275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22.424056151736501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275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22.318298555767299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23.782668620225099</v>
      </c>
      <c r="C42">
        <f>IF('18S2'!C42="", "", '18S2'!C42)</f>
        <v>21.130123951520901</v>
      </c>
      <c r="D42">
        <f>IF(RNAseP!C42="", "", RNAseP!C42)</f>
        <v>35.608250302914399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22.739207567501701</v>
      </c>
      <c r="C43">
        <f>IF('18S2'!C43="", "", '18S2'!C43)</f>
        <v>21.007656316629902</v>
      </c>
      <c r="D43">
        <f>IF(RNAseP!C43="", "", RNAseP!C43)</f>
        <v>36.972466574337801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23.135977726046999</v>
      </c>
      <c r="C44">
        <f>IF('18S2'!C44="", "", '18S2'!C44)</f>
        <v>21.155016577491502</v>
      </c>
      <c r="D44">
        <f>IF(RNAseP!C44="", "", RNAseP!C44)</f>
        <v>35.802074428551798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23.5073875175136</v>
      </c>
      <c r="C45">
        <f>IF('18S2'!C45="", "", '18S2'!C45)</f>
        <v>20.966155291954799</v>
      </c>
      <c r="D45">
        <f>IF(RNAseP!C45="", "", RNAseP!C45)</f>
        <v>35.3360861306397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38.048354284794598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0</v>
      </c>
      <c r="H46" s="3" t="str" cm="1">
        <f t="array" ref="H46">INDEX(DecisionC!$E$1:$E$56, MATCH(A46&amp;E46&amp;F46&amp;G46, DecisionC!$A$1:$A$56&amp;DecisionC!$B$1:$B$56&amp;DecisionC!$C$1:$C$56&amp;DecisionC!$D$1:$D$56, 0))</f>
        <v>F</v>
      </c>
      <c r="I46" s="3" t="str" cm="1">
        <f t="array" ref="I46">INDEX(DecisionC!$F$1:$F$56, MATCH(A46&amp;E46&amp;F46&amp;G46, DecisionC!$A$1:$A$56&amp;DecisionC!$B$1:$B$56&amp;DecisionC!$C$1:$C$56&amp;DecisionC!$D$1:$D$56, 0))</f>
        <v>RNAseP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-1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-1</v>
      </c>
      <c r="H47" s="3" t="str" cm="1">
        <f t="array" ref="H47">INDEX(DecisionC!$E$1:$E$56, MATCH(A47&amp;E47&amp;F47&amp;G47, DecisionC!$A$1:$A$56&amp;DecisionC!$B$1:$B$56&amp;DecisionC!$C$1:$C$56&amp;DecisionC!$D$1:$D$56, 0))</f>
        <v>OK</v>
      </c>
      <c r="I47" s="3" t="str" cm="1">
        <f t="array" ref="I47">INDEX(DecisionC!$F$1:$F$56, MATCH(A47&amp;E47&amp;F47&amp;G47, DecisionC!$A$1:$A$56&amp;DecisionC!$B$1:$B$56&amp;DecisionC!$C$1:$C$56&amp;DecisionC!$D$1:$D$56, 0))</f>
        <v>clean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38.344894509219998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0</v>
      </c>
      <c r="H48" s="3" t="str" cm="1">
        <f t="array" ref="H48">INDEX(DecisionC!$E$1:$E$56, MATCH(A48&amp;E48&amp;F48&amp;G48, DecisionC!$A$1:$A$56&amp;DecisionC!$B$1:$B$56&amp;DecisionC!$C$1:$C$56&amp;DecisionC!$D$1:$D$56, 0))</f>
        <v>F</v>
      </c>
      <c r="I48" s="3" t="str" cm="1">
        <f t="array" ref="I48">INDEX(DecisionC!$F$1:$F$56, MATCH(A48&amp;E48&amp;F48&amp;G48, DecisionC!$A$1:$A$56&amp;DecisionC!$B$1:$B$56&amp;DecisionC!$C$1:$C$56&amp;DecisionC!$D$1:$D$56, 0))</f>
        <v>RNAseP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-1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-1</v>
      </c>
      <c r="H49" s="3" t="str" cm="1">
        <f t="array" ref="H49">INDEX(DecisionC!$E$1:$E$56, MATCH(A49&amp;E49&amp;F49&amp;G49, DecisionC!$A$1:$A$56&amp;DecisionC!$B$1:$B$56&amp;DecisionC!$C$1:$C$56&amp;DecisionC!$D$1:$D$56, 0))</f>
        <v>OK</v>
      </c>
      <c r="I49" s="3" t="str" cm="1">
        <f t="array" ref="I49">INDEX(DecisionC!$F$1:$F$56, MATCH(A49&amp;E49&amp;F49&amp;G49, DecisionC!$A$1:$A$56&amp;DecisionC!$B$1:$B$56&amp;DecisionC!$C$1:$C$56&amp;DecisionC!$D$1:$D$56, 0))</f>
        <v>clean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4.4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4.4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4.4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topLeftCell="A9" workbookViewId="0">
      <selection activeCell="F27" sqref="F27"/>
    </sheetView>
  </sheetViews>
  <sheetFormatPr defaultColWidth="9.140625" defaultRowHeight="14.4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600000000000001">
      <c r="A1" s="28" t="s">
        <v>40</v>
      </c>
      <c r="B1" s="28"/>
    </row>
    <row r="3" spans="1:8">
      <c r="A3" s="24" t="s">
        <v>41</v>
      </c>
      <c r="B3" s="25"/>
      <c r="C3" s="26">
        <v>45946</v>
      </c>
      <c r="D3" s="26"/>
      <c r="E3" s="26"/>
      <c r="F3" s="26"/>
      <c r="G3" s="26"/>
    </row>
    <row r="4" spans="1:8">
      <c r="A4" s="24" t="s">
        <v>42</v>
      </c>
      <c r="B4" s="29"/>
      <c r="C4" s="27" t="s">
        <v>43</v>
      </c>
      <c r="D4" s="27"/>
      <c r="E4" s="27"/>
      <c r="F4" s="27"/>
      <c r="G4" s="27"/>
    </row>
    <row r="5" spans="1:8">
      <c r="A5" s="24" t="s">
        <v>44</v>
      </c>
      <c r="B5" s="25"/>
      <c r="C5" s="27" t="s">
        <v>45</v>
      </c>
      <c r="D5" s="27"/>
      <c r="E5" s="27"/>
      <c r="F5" s="27"/>
      <c r="G5" s="27"/>
    </row>
    <row r="6" spans="1:8">
      <c r="A6" s="24" t="s">
        <v>46</v>
      </c>
      <c r="B6" s="25"/>
      <c r="C6" s="27">
        <v>301</v>
      </c>
      <c r="D6" s="27"/>
      <c r="E6" s="27"/>
      <c r="F6" s="27"/>
      <c r="G6" s="27"/>
    </row>
    <row r="7" spans="1:8">
      <c r="A7" s="24" t="s">
        <v>47</v>
      </c>
      <c r="B7" s="25"/>
      <c r="C7" s="27">
        <v>66262118</v>
      </c>
      <c r="D7" s="27"/>
      <c r="E7" s="27"/>
      <c r="F7" s="27"/>
      <c r="G7" s="27"/>
    </row>
    <row r="8" spans="1:8">
      <c r="A8" s="24" t="s">
        <v>48</v>
      </c>
      <c r="B8" s="25"/>
      <c r="C8" s="26">
        <v>45771</v>
      </c>
      <c r="D8" s="26"/>
      <c r="E8" s="26"/>
      <c r="F8" s="26"/>
      <c r="G8" s="26"/>
    </row>
    <row r="9" spans="1:8">
      <c r="A9" s="24" t="s">
        <v>49</v>
      </c>
      <c r="B9" s="25"/>
      <c r="C9" s="26">
        <v>45771</v>
      </c>
      <c r="D9" s="26"/>
      <c r="E9" s="26"/>
      <c r="F9" s="26"/>
      <c r="G9" s="26"/>
    </row>
    <row r="10" spans="1:8">
      <c r="A10" s="24" t="s">
        <v>50</v>
      </c>
      <c r="B10" s="25"/>
      <c r="C10" s="26">
        <v>45771</v>
      </c>
      <c r="D10" s="26"/>
      <c r="E10" s="26"/>
      <c r="F10" s="26"/>
      <c r="G10" s="26"/>
    </row>
    <row r="11" spans="1:8">
      <c r="A11" s="24" t="s">
        <v>51</v>
      </c>
      <c r="B11" s="25"/>
      <c r="C11" s="26">
        <v>45771</v>
      </c>
      <c r="D11" s="27"/>
      <c r="E11" s="27"/>
      <c r="F11" s="27"/>
      <c r="G11" s="27"/>
    </row>
    <row r="12" spans="1:8">
      <c r="A12" s="24" t="s">
        <v>52</v>
      </c>
      <c r="B12" s="25"/>
      <c r="C12" s="26">
        <v>45674</v>
      </c>
      <c r="D12" s="27"/>
      <c r="E12" s="27"/>
      <c r="F12" s="27"/>
      <c r="G12" s="27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53</v>
      </c>
      <c r="C15" s="13" t="s">
        <v>54</v>
      </c>
      <c r="D15" s="14" t="s">
        <v>9</v>
      </c>
      <c r="E15" s="15" t="s">
        <v>10</v>
      </c>
      <c r="F15" s="16" t="s">
        <v>11</v>
      </c>
      <c r="G15" s="23" t="s">
        <v>55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266</v>
      </c>
      <c r="B16" s="11">
        <v>2501921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22,5 +/- 0,1</v>
      </c>
      <c r="G16" s="18" t="s">
        <v>56</v>
      </c>
    </row>
    <row r="17" spans="1:12">
      <c r="A17" s="21" cm="1">
        <f t="array" ref="A17">IF(INDEX(Analysis!A:A,MATCH(0,COUNTIF($A$14:A16,Analysis!A:A),0))="","",INDEX(Analysis!A:A,MATCH(0,COUNTIF($A$14:A16,Analysis!A:A),0)))</f>
        <v>267</v>
      </c>
      <c r="B17" s="11">
        <v>2501926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23 +/- 0</v>
      </c>
      <c r="G17" s="18" t="s">
        <v>56</v>
      </c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268</v>
      </c>
      <c r="B18" s="11">
        <v>2501931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22,3 +/- 0,1</v>
      </c>
      <c r="G18" s="18" t="s">
        <v>56</v>
      </c>
    </row>
    <row r="19" spans="1:12">
      <c r="A19" s="21" cm="1">
        <f t="array" ref="A19">IF(INDEX(Analysis!A:A,MATCH(0,COUNTIF($A$14:A18,Analysis!A:A),0))="","",INDEX(Analysis!A:A,MATCH(0,COUNTIF($A$14:A18,Analysis!A:A),0)))</f>
        <v>269</v>
      </c>
      <c r="B19" s="11">
        <v>2501937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21 +/- 0,1</v>
      </c>
      <c r="G19" s="18" t="s">
        <v>56</v>
      </c>
    </row>
    <row r="20" spans="1:12">
      <c r="A20" s="21" cm="1">
        <f t="array" ref="A20">IF(INDEX(Analysis!A:A,MATCH(0,COUNTIF($A$14:A19,Analysis!A:A),0))="","",INDEX(Analysis!A:A,MATCH(0,COUNTIF($A$14:A19,Analysis!A:A),0)))</f>
        <v>270</v>
      </c>
      <c r="B20" s="11">
        <v>2400821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22,3 +/- 0,1</v>
      </c>
      <c r="G20" s="18" t="s">
        <v>56</v>
      </c>
    </row>
    <row r="21" spans="1:12">
      <c r="A21" s="21" cm="1">
        <f t="array" ref="A21">IF(INDEX(Analysis!A:A,MATCH(0,COUNTIF($A$14:A20,Analysis!A:A),0))="","",INDEX(Analysis!A:A,MATCH(0,COUNTIF($A$14:A20,Analysis!A:A),0)))</f>
        <v>271</v>
      </c>
      <c r="B21" s="11">
        <v>2400822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23,6 +/- 0,1</v>
      </c>
      <c r="G21" s="18" t="s">
        <v>56</v>
      </c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272</v>
      </c>
      <c r="B22" s="11">
        <v>2501251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24,4 +/- 0,1</v>
      </c>
      <c r="G22" s="18" t="s">
        <v>56</v>
      </c>
    </row>
    <row r="23" spans="1:12">
      <c r="A23" s="21" cm="1">
        <f t="array" ref="A23">IF(INDEX(Analysis!A:A,MATCH(0,COUNTIF($A$14:A22,Analysis!A:A),0))="","",INDEX(Analysis!A:A,MATCH(0,COUNTIF($A$14:A22,Analysis!A:A),0)))</f>
        <v>273</v>
      </c>
      <c r="B23" s="11">
        <v>2501280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18,8 +/- 0</v>
      </c>
      <c r="G23" s="18" t="s">
        <v>56</v>
      </c>
    </row>
    <row r="24" spans="1:12">
      <c r="A24" s="21" cm="1">
        <f t="array" ref="A24">IF(INDEX(Analysis!A:A,MATCH(0,COUNTIF($A$14:A23,Analysis!A:A),0))="","",INDEX(Analysis!A:A,MATCH(0,COUNTIF($A$14:A23,Analysis!A:A),0)))</f>
        <v>274</v>
      </c>
      <c r="B24" s="11">
        <v>2501908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P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>29,5 +/- 0,6</v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>37,4</v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21,9 +/- 0</v>
      </c>
      <c r="G24" s="18" t="s">
        <v>56</v>
      </c>
    </row>
    <row r="25" spans="1:12">
      <c r="A25" s="21" cm="1">
        <f t="array" ref="A25">IF(INDEX(Analysis!A:A,MATCH(0,COUNTIF($A$14:A24,Analysis!A:A),0))="","",INDEX(Analysis!A:A,MATCH(0,COUNTIF($A$14:A24,Analysis!A:A),0)))</f>
        <v>275</v>
      </c>
      <c r="B25" s="11">
        <v>2401947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22,4 +/- 0,1</v>
      </c>
      <c r="G25" s="18" t="s">
        <v>56</v>
      </c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23,3 +/- 0,5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21,1 +/- 0,1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35,9 +/- 0,7</v>
      </c>
      <c r="G26" s="18" t="s">
        <v>56</v>
      </c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I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38,2 +/- 0,2</v>
      </c>
      <c r="G27" s="18" t="s">
        <v>56</v>
      </c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57</v>
      </c>
      <c r="B29" s="13" t="s">
        <v>58</v>
      </c>
      <c r="C29" s="31" t="s">
        <v>59</v>
      </c>
      <c r="D29" s="31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60</v>
      </c>
      <c r="B30" s="18" t="s">
        <v>61</v>
      </c>
      <c r="C30" s="30" t="s">
        <v>62</v>
      </c>
      <c r="D30" s="30"/>
      <c r="E30" s="20"/>
    </row>
    <row r="31" spans="1:12">
      <c r="A31" s="18" t="s">
        <v>20</v>
      </c>
      <c r="B31" s="18" t="s">
        <v>21</v>
      </c>
      <c r="C31" s="30" t="s">
        <v>63</v>
      </c>
      <c r="D31" s="30"/>
      <c r="E31" s="20"/>
    </row>
    <row r="32" spans="1:12">
      <c r="A32" s="18" t="s">
        <v>22</v>
      </c>
      <c r="B32" s="18" t="s">
        <v>64</v>
      </c>
      <c r="C32" s="30" t="s">
        <v>65</v>
      </c>
      <c r="D32" s="30"/>
      <c r="E32" s="20"/>
    </row>
    <row r="33" spans="1:5">
      <c r="A33" s="18" t="s">
        <v>66</v>
      </c>
      <c r="B33" s="18" t="s">
        <v>67</v>
      </c>
      <c r="C33" s="30" t="s">
        <v>68</v>
      </c>
      <c r="D33" s="30"/>
      <c r="E33" s="20"/>
    </row>
    <row r="34" spans="1:5">
      <c r="A34" s="18" t="s">
        <v>17</v>
      </c>
      <c r="B34" s="18" t="s">
        <v>69</v>
      </c>
      <c r="C34" s="30" t="s">
        <v>70</v>
      </c>
      <c r="D34" s="30"/>
      <c r="E34" s="20"/>
    </row>
    <row r="35" spans="1:5">
      <c r="A35" s="18" t="s">
        <v>71</v>
      </c>
      <c r="B35" s="18" t="s">
        <v>72</v>
      </c>
      <c r="C35" s="30" t="s">
        <v>73</v>
      </c>
      <c r="D35" s="30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C35:D35"/>
    <mergeCell ref="C29:D29"/>
    <mergeCell ref="C30:D30"/>
    <mergeCell ref="C31:D31"/>
    <mergeCell ref="C32:D32"/>
    <mergeCell ref="C33:D33"/>
    <mergeCell ref="C34:D34"/>
    <mergeCell ref="A1:B1"/>
    <mergeCell ref="A6:B6"/>
    <mergeCell ref="A10:B10"/>
    <mergeCell ref="A11:B11"/>
    <mergeCell ref="A5:B5"/>
    <mergeCell ref="A4:B4"/>
    <mergeCell ref="A3:B3"/>
    <mergeCell ref="C3:G3"/>
    <mergeCell ref="C4:G4"/>
    <mergeCell ref="C5:G5"/>
    <mergeCell ref="C6:G6"/>
    <mergeCell ref="C7:G7"/>
    <mergeCell ref="A12:B12"/>
    <mergeCell ref="A7:B7"/>
    <mergeCell ref="A8:B8"/>
    <mergeCell ref="A9:B9"/>
    <mergeCell ref="C8:G8"/>
    <mergeCell ref="C9:G9"/>
    <mergeCell ref="C10:G10"/>
    <mergeCell ref="C11:G11"/>
    <mergeCell ref="C12:G12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4.4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74</v>
      </c>
      <c r="C1" s="2" t="s">
        <v>75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266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22,5 +/- 0,1</v>
      </c>
    </row>
    <row r="3" spans="1:11">
      <c r="A3" s="3">
        <f>Report!A17</f>
        <v>267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23 +/- 0</v>
      </c>
    </row>
    <row r="4" spans="1:11">
      <c r="A4" s="3">
        <f>Report!A18</f>
        <v>268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22,3 +/- 0,1</v>
      </c>
    </row>
    <row r="5" spans="1:11">
      <c r="A5" s="3">
        <f>Report!A19</f>
        <v>269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21 +/- 0,1</v>
      </c>
    </row>
    <row r="6" spans="1:11">
      <c r="A6" s="3">
        <f>Report!A20</f>
        <v>270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22,3 +/- 0,1</v>
      </c>
    </row>
    <row r="7" spans="1:11">
      <c r="A7" s="3">
        <f>Report!A21</f>
        <v>271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23,6 +/- 0,1</v>
      </c>
      <c r="K7" s="4"/>
    </row>
    <row r="8" spans="1:11">
      <c r="A8" s="3">
        <f>Report!A22</f>
        <v>272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24,4 +/- 0,1</v>
      </c>
    </row>
    <row r="9" spans="1:11">
      <c r="A9" s="3">
        <f>Report!A23</f>
        <v>273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18,8 +/- 0</v>
      </c>
    </row>
    <row r="10" spans="1:11">
      <c r="A10" s="3">
        <f>Report!A24</f>
        <v>274</v>
      </c>
      <c r="B10" s="3" t="str" cm="1">
        <f t="array" ref="B10">_xlfn.TEXTJOIN(", ", TRUE, IF(Analysis!$A$2:$A$82=A10, Analysis!$H$2:$H$82, ""))</f>
        <v>P, P, P, P</v>
      </c>
      <c r="C10" s="3" t="str" cm="1">
        <f t="array" ref="C10">_xlfn.TEXTJOIN(", ", TRUE, IF(Analysis!$A$2:$A$82=A10, Analysis!$I$2:$I$82, ""))</f>
        <v>DNA case, DNA case, DNA case &amp; RNA suspect, DNA case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P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>29,5 +/- 0,6</v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>37,4</v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21,9 +/- 0</v>
      </c>
    </row>
    <row r="11" spans="1:11">
      <c r="A11" s="3">
        <f>Report!A25</f>
        <v>275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22,4 +/- 0,1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23,3 +/- 0,5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21,1 +/- 0,1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35,9 +/- 0,7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F, OK, F, OK</v>
      </c>
      <c r="C13" s="3" t="str" cm="1">
        <f t="array" ref="C13">_xlfn.TEXTJOIN(", ", TRUE, IF(Analysis!$A$2:$A$82=A13, Analysis!$I$2:$I$82, ""))</f>
        <v>RNAseP, clean, RNAseP, clean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Tie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38,2 +/- 0,2</v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2025-10-17T07:52:35+00:00</Uploaded>
  </documentManagement>
</p:properties>
</file>

<file path=customXml/itemProps1.xml><?xml version="1.0" encoding="utf-8"?>
<ds:datastoreItem xmlns:ds="http://schemas.openxmlformats.org/officeDocument/2006/customXml" ds:itemID="{9DFD1D99-1C0B-4D86-BB48-AE6EDA49DD7C}"/>
</file>

<file path=customXml/itemProps2.xml><?xml version="1.0" encoding="utf-8"?>
<ds:datastoreItem xmlns:ds="http://schemas.openxmlformats.org/officeDocument/2006/customXml" ds:itemID="{1CB5828D-3175-469B-B7E7-2872F92ECD54}"/>
</file>

<file path=customXml/itemProps3.xml><?xml version="1.0" encoding="utf-8"?>
<ds:datastoreItem xmlns:ds="http://schemas.openxmlformats.org/officeDocument/2006/customXml" ds:itemID="{0C597D38-9511-4831-8758-78FA5EEFDE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Stijn Roge</cp:lastModifiedBy>
  <cp:revision/>
  <dcterms:created xsi:type="dcterms:W3CDTF">2024-04-13T12:12:20Z</dcterms:created>
  <dcterms:modified xsi:type="dcterms:W3CDTF">2025-10-17T15:41:09Z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