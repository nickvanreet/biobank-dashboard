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B9929549-FE90-4A8D-B1CD-27852CB12D7D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3120" yWindow="3120" windowWidth="21600" windowHeight="1063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<sst xmlns="http://schemas.openxmlformats.org/spreadsheetml/2006/main" count="433" uniqueCount="76">
  <si>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</si>
  <si>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</si>
  <si>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</si>
  <si>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</si>
  <si>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</si>
  <si>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</si>
  <si>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</si>
  <si>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</si>
  <si>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</si>
  <si>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</si>
  <si>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</si>
  <si>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</si>
  <si>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</si>
  <si>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</si>
  <si>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</si>
  <si>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</si>
  <si>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</si>
  <si>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</si>
  <si>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</si>
  <si>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</si>
  <si>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</si>
  <si>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</si>
  <si>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</si>
  <si>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</si>
  <si>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</si>
  <si>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</si>
  <si>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</si>
  <si>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</si>
  <si>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</si>
  <si>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</si>
  <si>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</si>
  <si>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</si>
  <si>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</si>
  <si>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</si>
  <si>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</si>
  <si>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</si>
  <si>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</si>
  <si>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</si>
  <si>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</si>
  <si>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</si>
  <si>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</si>
  <si>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</si>
  <si>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</si>
  <si>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LC,DK,HM</t>
  </si>
  <si>
    <t>Qrun file name</t>
  </si>
  <si>
    <t>2025-10-02 14.02.16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</si>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</sst>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176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176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176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176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177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177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177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177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178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178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178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178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179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179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179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179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180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180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180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180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181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181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181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181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182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182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182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182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183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183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183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183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184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184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184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184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185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185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185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185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23.753202471003899</v>
      </c>
      <c r="D42" s="8">
        <v>0.87053546848096897</v>
      </c>
      <c r="E42" s="8">
        <v>0.99936999999999998</v>
      </c>
      <c r="F42" s="8"/>
    </row>
    <row r="43" spans="1:6">
      <c r="A43" s="8">
        <v>42</v>
      </c>
      <c r="B43" s="8" t="s">
        <v>7</v>
      </c>
      <c r="C43" s="8">
        <v>23.035106356451202</v>
      </c>
      <c r="D43" s="8">
        <v>0.77234715284194899</v>
      </c>
      <c r="E43" s="8">
        <v>1</v>
      </c>
      <c r="F43" s="8"/>
    </row>
    <row r="44" spans="1:6">
      <c r="A44" s="8">
        <v>43</v>
      </c>
      <c r="B44" s="8" t="s">
        <v>7</v>
      </c>
      <c r="C44" s="8">
        <v>23.294126065682899</v>
      </c>
      <c r="D44" s="8">
        <v>0.87565879225936405</v>
      </c>
      <c r="E44" s="8">
        <v>0.99956</v>
      </c>
      <c r="F44" s="8"/>
    </row>
    <row r="45" spans="1:6">
      <c r="A45" s="8">
        <v>44</v>
      </c>
      <c r="B45" s="8" t="s">
        <v>7</v>
      </c>
      <c r="C45" s="8">
        <v>26.281315978766202</v>
      </c>
      <c r="D45" s="8">
        <v>0.88988359278354001</v>
      </c>
      <c r="E45" s="8">
        <v>0.99909999999999999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176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176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176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176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177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177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177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177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178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178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178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178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179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179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179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179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180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180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180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180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181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181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181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181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182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182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182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182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183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183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183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183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184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184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184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184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185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185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185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185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21.181799309705202</v>
      </c>
      <c r="D42" s="9">
        <v>0.80383951307864798</v>
      </c>
      <c r="E42" s="9">
        <v>0.99792999999999998</v>
      </c>
      <c r="F42" s="9"/>
    </row>
    <row r="43" spans="1:6">
      <c r="A43" s="9">
        <v>42</v>
      </c>
      <c r="B43" s="9" t="s">
        <v>7</v>
      </c>
      <c r="C43" s="9">
        <v>21.133307199526602</v>
      </c>
      <c r="D43" s="9">
        <v>0.80109280852934295</v>
      </c>
      <c r="E43" s="9">
        <v>0.998</v>
      </c>
      <c r="F43" s="9"/>
    </row>
    <row r="44" spans="1:6">
      <c r="A44" s="9">
        <v>43</v>
      </c>
      <c r="B44" s="9" t="s">
        <v>7</v>
      </c>
      <c r="C44" s="9">
        <v>21.153501062051198</v>
      </c>
      <c r="D44" s="9">
        <v>0.80000202997970005</v>
      </c>
      <c r="E44" s="9">
        <v>0.99785000000000001</v>
      </c>
      <c r="F44" s="9"/>
    </row>
    <row r="45" spans="1:6">
      <c r="A45" s="9">
        <v>44</v>
      </c>
      <c r="B45" s="9" t="s">
        <v>7</v>
      </c>
      <c r="C45" s="9">
        <v>22.589222267063199</v>
      </c>
      <c r="D45" s="9">
        <v>0.79122861200970496</v>
      </c>
      <c r="E45" s="9">
        <v>0.99838000000000005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176</v>
      </c>
      <c r="C2" s="10">
        <v>23.275550754056599</v>
      </c>
      <c r="D2" s="10">
        <v>0.86074811460516698</v>
      </c>
      <c r="E2" s="10">
        <v>0.99887000000000004</v>
      </c>
      <c r="F2" s="10"/>
    </row>
    <row r="3" spans="1:6">
      <c r="A3" s="10">
        <v>2</v>
      </c>
      <c r="B3" s="10">
        <v>176</v>
      </c>
      <c r="C3" s="10">
        <v>23.2341594255502</v>
      </c>
      <c r="D3" s="10">
        <v>0.82520727364650004</v>
      </c>
      <c r="E3" s="10">
        <v>0.999</v>
      </c>
      <c r="F3" s="10"/>
    </row>
    <row r="4" spans="1:6">
      <c r="A4" s="10">
        <v>3</v>
      </c>
      <c r="B4" s="10">
        <v>176</v>
      </c>
      <c r="C4" s="10">
        <v>23.279871397765501</v>
      </c>
      <c r="D4" s="10">
        <v>0.862076247578758</v>
      </c>
      <c r="E4" s="10">
        <v>0.99883999999999995</v>
      </c>
      <c r="F4" s="10"/>
    </row>
    <row r="5" spans="1:6">
      <c r="A5" s="10">
        <v>4</v>
      </c>
      <c r="B5" s="10">
        <v>176</v>
      </c>
      <c r="C5" s="10">
        <v>23.247273522865399</v>
      </c>
      <c r="D5" s="10">
        <v>0.82892930912150498</v>
      </c>
      <c r="E5" s="10">
        <v>0.99885000000000002</v>
      </c>
      <c r="F5" s="10"/>
    </row>
    <row r="6" spans="1:6">
      <c r="A6" s="10">
        <v>5</v>
      </c>
      <c r="B6" s="10">
        <v>177</v>
      </c>
      <c r="C6" s="10">
        <v>24.206369822164302</v>
      </c>
      <c r="D6" s="10">
        <v>0.81772691171860301</v>
      </c>
      <c r="E6" s="10">
        <v>0.99885000000000002</v>
      </c>
      <c r="F6" s="10"/>
    </row>
    <row r="7" spans="1:6">
      <c r="A7" s="10">
        <v>6</v>
      </c>
      <c r="B7" s="10">
        <v>177</v>
      </c>
      <c r="C7" s="10">
        <v>24.163089638472201</v>
      </c>
      <c r="D7" s="10">
        <v>0.82403600353684303</v>
      </c>
      <c r="E7" s="10">
        <v>0.99843999999999999</v>
      </c>
      <c r="F7" s="10"/>
    </row>
    <row r="8" spans="1:6">
      <c r="A8" s="10">
        <v>7</v>
      </c>
      <c r="B8" s="10">
        <v>177</v>
      </c>
      <c r="C8" s="10">
        <v>24.131059922021102</v>
      </c>
      <c r="D8" s="10">
        <v>0.81607788292693995</v>
      </c>
      <c r="E8" s="10">
        <v>0.99878</v>
      </c>
      <c r="F8" s="10"/>
    </row>
    <row r="9" spans="1:6">
      <c r="A9" s="10">
        <v>8</v>
      </c>
      <c r="B9" s="10">
        <v>177</v>
      </c>
      <c r="C9" s="10">
        <v>24.419067423701101</v>
      </c>
      <c r="D9" s="10">
        <v>0.847029709159695</v>
      </c>
      <c r="E9" s="10">
        <v>0.99882000000000004</v>
      </c>
      <c r="F9" s="10"/>
    </row>
    <row r="10" spans="1:6">
      <c r="A10" s="10">
        <v>9</v>
      </c>
      <c r="B10" s="10">
        <v>178</v>
      </c>
      <c r="C10" s="10">
        <v>24.316266073262099</v>
      </c>
      <c r="D10" s="10">
        <v>0.84890341092924304</v>
      </c>
      <c r="E10" s="10">
        <v>0.99885000000000002</v>
      </c>
      <c r="F10" s="10"/>
    </row>
    <row r="11" spans="1:6">
      <c r="A11" s="10">
        <v>10</v>
      </c>
      <c r="B11" s="10">
        <v>178</v>
      </c>
      <c r="C11" s="10">
        <v>24.199005619988299</v>
      </c>
      <c r="D11" s="10">
        <v>0.82345488249087295</v>
      </c>
      <c r="E11" s="10">
        <v>0.99895999999999996</v>
      </c>
      <c r="F11" s="10"/>
    </row>
    <row r="12" spans="1:6">
      <c r="A12" s="10">
        <v>11</v>
      </c>
      <c r="B12" s="10">
        <v>178</v>
      </c>
      <c r="C12" s="10">
        <v>24.184487466501601</v>
      </c>
      <c r="D12" s="10">
        <v>0.82107824833496801</v>
      </c>
      <c r="E12" s="10">
        <v>0.99900999999999995</v>
      </c>
      <c r="F12" s="10"/>
    </row>
    <row r="13" spans="1:6">
      <c r="A13" s="10">
        <v>12</v>
      </c>
      <c r="B13" s="10">
        <v>178</v>
      </c>
      <c r="C13" s="10">
        <v>24.188092726144699</v>
      </c>
      <c r="D13" s="10">
        <v>0.81631458017998204</v>
      </c>
      <c r="E13" s="10">
        <v>0.999</v>
      </c>
      <c r="F13" s="10"/>
    </row>
    <row r="14" spans="1:6">
      <c r="A14" s="10">
        <v>13</v>
      </c>
      <c r="B14" s="10">
        <v>179</v>
      </c>
      <c r="C14" s="10">
        <v>22.2332173656762</v>
      </c>
      <c r="D14" s="10">
        <v>0.87421208136983597</v>
      </c>
      <c r="E14" s="10">
        <v>0.99838000000000005</v>
      </c>
      <c r="F14" s="10"/>
    </row>
    <row r="15" spans="1:6">
      <c r="A15" s="10">
        <v>14</v>
      </c>
      <c r="B15" s="10">
        <v>179</v>
      </c>
      <c r="C15" s="10">
        <v>22.162929355929698</v>
      </c>
      <c r="D15" s="10">
        <v>0.82309556579315901</v>
      </c>
      <c r="E15" s="10">
        <v>0.99894000000000005</v>
      </c>
      <c r="F15" s="10"/>
    </row>
    <row r="16" spans="1:6">
      <c r="A16" s="10">
        <v>15</v>
      </c>
      <c r="B16" s="10">
        <v>179</v>
      </c>
      <c r="C16" s="10">
        <v>22.1610988156751</v>
      </c>
      <c r="D16" s="10">
        <v>0.83511194526768295</v>
      </c>
      <c r="E16" s="10">
        <v>0.99868999999999997</v>
      </c>
      <c r="F16" s="10"/>
    </row>
    <row r="17" spans="1:6">
      <c r="A17" s="10">
        <v>16</v>
      </c>
      <c r="B17" s="10">
        <v>179</v>
      </c>
      <c r="C17" s="10">
        <v>22.132028943279501</v>
      </c>
      <c r="D17" s="10">
        <v>0.83003786650940004</v>
      </c>
      <c r="E17" s="10">
        <v>0.99873000000000001</v>
      </c>
      <c r="F17" s="10"/>
    </row>
    <row r="18" spans="1:6">
      <c r="A18" s="10">
        <v>17</v>
      </c>
      <c r="B18" s="10">
        <v>180</v>
      </c>
      <c r="C18" s="10">
        <v>26.427996953160001</v>
      </c>
      <c r="D18" s="10">
        <v>0.837470704298372</v>
      </c>
      <c r="E18" s="10">
        <v>0.99904999999999999</v>
      </c>
      <c r="F18" s="10"/>
    </row>
    <row r="19" spans="1:6">
      <c r="A19" s="10">
        <v>18</v>
      </c>
      <c r="B19" s="10">
        <v>180</v>
      </c>
      <c r="C19" s="10">
        <v>26.539804064044802</v>
      </c>
      <c r="D19" s="10">
        <v>0.83147369262222304</v>
      </c>
      <c r="E19" s="10">
        <v>0.99887999999999999</v>
      </c>
      <c r="F19" s="10"/>
    </row>
    <row r="20" spans="1:6">
      <c r="A20" s="10">
        <v>19</v>
      </c>
      <c r="B20" s="10">
        <v>180</v>
      </c>
      <c r="C20" s="10">
        <v>26.502989204983599</v>
      </c>
      <c r="D20" s="10">
        <v>0.82529597300747704</v>
      </c>
      <c r="E20" s="10">
        <v>0.99909000000000003</v>
      </c>
      <c r="F20" s="10"/>
    </row>
    <row r="21" spans="1:6">
      <c r="A21" s="10">
        <v>20</v>
      </c>
      <c r="B21" s="10">
        <v>180</v>
      </c>
      <c r="C21" s="10">
        <v>26.5323766531438</v>
      </c>
      <c r="D21" s="10">
        <v>0.82876741155748401</v>
      </c>
      <c r="E21" s="10">
        <v>0.99892999999999998</v>
      </c>
      <c r="F21" s="10"/>
    </row>
    <row r="22" spans="1:6">
      <c r="A22" s="10">
        <v>21</v>
      </c>
      <c r="B22" s="10">
        <v>181</v>
      </c>
      <c r="C22" s="10">
        <v>26.036182223504301</v>
      </c>
      <c r="D22" s="10">
        <v>0.81412464676841201</v>
      </c>
      <c r="E22" s="10">
        <v>0.99902000000000002</v>
      </c>
      <c r="F22" s="10"/>
    </row>
    <row r="23" spans="1:6">
      <c r="A23" s="10">
        <v>22</v>
      </c>
      <c r="B23" s="10">
        <v>181</v>
      </c>
      <c r="C23" s="10">
        <v>25.8963955851906</v>
      </c>
      <c r="D23" s="10">
        <v>0.82660102629972299</v>
      </c>
      <c r="E23" s="10">
        <v>0.99861999999999995</v>
      </c>
      <c r="F23" s="10"/>
    </row>
    <row r="24" spans="1:6">
      <c r="A24" s="10">
        <v>23</v>
      </c>
      <c r="B24" s="10">
        <v>181</v>
      </c>
      <c r="C24" s="10">
        <v>25.943701562584401</v>
      </c>
      <c r="D24" s="10">
        <v>0.82115239949297003</v>
      </c>
      <c r="E24" s="10">
        <v>0.99878</v>
      </c>
      <c r="F24" s="10"/>
    </row>
    <row r="25" spans="1:6">
      <c r="A25" s="10">
        <v>24</v>
      </c>
      <c r="B25" s="10">
        <v>181</v>
      </c>
      <c r="C25" s="10">
        <v>25.934866513399101</v>
      </c>
      <c r="D25" s="10">
        <v>0.82569050281467704</v>
      </c>
      <c r="E25" s="10">
        <v>0.99861</v>
      </c>
      <c r="F25" s="10"/>
    </row>
    <row r="26" spans="1:6">
      <c r="A26" s="10">
        <v>25</v>
      </c>
      <c r="B26" s="10">
        <v>182</v>
      </c>
      <c r="C26" s="10">
        <v>27.252196079077098</v>
      </c>
      <c r="D26" s="10">
        <v>0.78262712628451603</v>
      </c>
      <c r="E26" s="10">
        <v>0.99878</v>
      </c>
      <c r="F26" s="10"/>
    </row>
    <row r="27" spans="1:6">
      <c r="A27" s="10">
        <v>26</v>
      </c>
      <c r="B27" s="10">
        <v>182</v>
      </c>
      <c r="C27" s="10">
        <v>27.1351956337509</v>
      </c>
      <c r="D27" s="10">
        <v>0.80875444048248202</v>
      </c>
      <c r="E27" s="10">
        <v>0.99892000000000003</v>
      </c>
      <c r="F27" s="10"/>
    </row>
    <row r="28" spans="1:6">
      <c r="A28" s="10">
        <v>27</v>
      </c>
      <c r="B28" s="10">
        <v>182</v>
      </c>
      <c r="C28" s="10">
        <v>27.055543971444301</v>
      </c>
      <c r="D28" s="10">
        <v>0.82484009924644197</v>
      </c>
      <c r="E28" s="10">
        <v>0.99860000000000004</v>
      </c>
      <c r="F28" s="10"/>
    </row>
    <row r="29" spans="1:6">
      <c r="A29" s="10">
        <v>28</v>
      </c>
      <c r="B29" s="10">
        <v>182</v>
      </c>
      <c r="C29" s="10">
        <v>27.105263093584199</v>
      </c>
      <c r="D29" s="10">
        <v>0.81373761546180701</v>
      </c>
      <c r="E29" s="10">
        <v>0.99897999999999998</v>
      </c>
      <c r="F29" s="10"/>
    </row>
    <row r="30" spans="1:6">
      <c r="A30" s="10">
        <v>29</v>
      </c>
      <c r="B30" s="10">
        <v>183</v>
      </c>
      <c r="C30" s="10">
        <v>23.548530987818399</v>
      </c>
      <c r="D30" s="10">
        <v>0.85209326128679497</v>
      </c>
      <c r="E30" s="10">
        <v>0.99897999999999998</v>
      </c>
      <c r="F30" s="10"/>
    </row>
    <row r="31" spans="1:6">
      <c r="A31" s="10">
        <v>30</v>
      </c>
      <c r="B31" s="10">
        <v>183</v>
      </c>
      <c r="C31" s="10">
        <v>23.5031080852307</v>
      </c>
      <c r="D31" s="10">
        <v>0.84076186512168505</v>
      </c>
      <c r="E31" s="10">
        <v>0.99897000000000002</v>
      </c>
      <c r="F31" s="10"/>
    </row>
    <row r="32" spans="1:6">
      <c r="A32" s="10">
        <v>31</v>
      </c>
      <c r="B32" s="10">
        <v>183</v>
      </c>
      <c r="C32" s="10">
        <v>23.566699139519201</v>
      </c>
      <c r="D32" s="10">
        <v>0.83632435192938304</v>
      </c>
      <c r="E32" s="10">
        <v>0.99895</v>
      </c>
      <c r="F32" s="10"/>
    </row>
    <row r="33" spans="1:6">
      <c r="A33" s="10">
        <v>32</v>
      </c>
      <c r="B33" s="10">
        <v>183</v>
      </c>
      <c r="C33" s="10">
        <v>23.468505554716899</v>
      </c>
      <c r="D33" s="10">
        <v>0.84328024433564097</v>
      </c>
      <c r="E33" s="10">
        <v>0.99897999999999998</v>
      </c>
      <c r="F33" s="10"/>
    </row>
    <row r="34" spans="1:6">
      <c r="A34" s="10">
        <v>33</v>
      </c>
      <c r="B34" s="10">
        <v>184</v>
      </c>
      <c r="C34" s="10">
        <v>27.025511950639</v>
      </c>
      <c r="D34" s="10">
        <v>0.81380840937324195</v>
      </c>
      <c r="E34" s="10">
        <v>0.99895999999999996</v>
      </c>
      <c r="F34" s="10"/>
    </row>
    <row r="35" spans="1:6">
      <c r="A35" s="10">
        <v>34</v>
      </c>
      <c r="B35" s="10">
        <v>184</v>
      </c>
      <c r="C35" s="10">
        <v>26.989249064341401</v>
      </c>
      <c r="D35" s="10">
        <v>0.798737094013241</v>
      </c>
      <c r="E35" s="10">
        <v>0.99878999999999996</v>
      </c>
      <c r="F35" s="10"/>
    </row>
    <row r="36" spans="1:6">
      <c r="A36" s="10">
        <v>35</v>
      </c>
      <c r="B36" s="10">
        <v>184</v>
      </c>
      <c r="C36" s="10">
        <v>26.966183327431899</v>
      </c>
      <c r="D36" s="10">
        <v>0.80511703698482395</v>
      </c>
      <c r="E36" s="10">
        <v>0.99895</v>
      </c>
      <c r="F36" s="10"/>
    </row>
    <row r="37" spans="1:6">
      <c r="A37" s="10">
        <v>36</v>
      </c>
      <c r="B37" s="10">
        <v>184</v>
      </c>
      <c r="C37" s="10">
        <v>26.9984642543413</v>
      </c>
      <c r="D37" s="10">
        <v>0.80222056041806</v>
      </c>
      <c r="E37" s="10">
        <v>0.99895</v>
      </c>
      <c r="F37" s="10"/>
    </row>
    <row r="38" spans="1:6">
      <c r="A38" s="10">
        <v>37</v>
      </c>
      <c r="B38" s="10">
        <v>185</v>
      </c>
      <c r="C38" s="10">
        <v>23.050194844134499</v>
      </c>
      <c r="D38" s="10">
        <v>0.81302349769311899</v>
      </c>
      <c r="E38" s="10">
        <v>0.99894000000000005</v>
      </c>
      <c r="F38" s="10"/>
    </row>
    <row r="39" spans="1:6">
      <c r="A39" s="10">
        <v>38</v>
      </c>
      <c r="B39" s="10">
        <v>185</v>
      </c>
      <c r="C39" s="10">
        <v>23.029448371227399</v>
      </c>
      <c r="D39" s="10">
        <v>0.82155723949050097</v>
      </c>
      <c r="E39" s="10">
        <v>0.99861</v>
      </c>
      <c r="F39" s="10"/>
    </row>
    <row r="40" spans="1:6">
      <c r="A40" s="10">
        <v>39</v>
      </c>
      <c r="B40" s="10">
        <v>185</v>
      </c>
      <c r="C40" s="10">
        <v>23.386753861749401</v>
      </c>
      <c r="D40" s="10">
        <v>0.84825316692455699</v>
      </c>
      <c r="E40" s="10">
        <v>0.99875000000000003</v>
      </c>
      <c r="F40" s="10"/>
    </row>
    <row r="41" spans="1:6">
      <c r="A41" s="10">
        <v>40</v>
      </c>
      <c r="B41" s="10">
        <v>185</v>
      </c>
      <c r="C41" s="10">
        <v>23.126733523844202</v>
      </c>
      <c r="D41" s="10">
        <v>0.81742663224944101</v>
      </c>
      <c r="E41" s="10">
        <v>0.99873999999999996</v>
      </c>
      <c r="F41" s="10"/>
    </row>
    <row r="42" spans="1:6">
      <c r="A42" s="10">
        <v>41</v>
      </c>
      <c r="B42" s="10" t="s">
        <v>7</v>
      </c>
      <c r="C42" s="10">
        <v>36.760594288848203</v>
      </c>
      <c r="D42" s="10">
        <v>0.60665429283657901</v>
      </c>
      <c r="E42" s="10">
        <v>0.99812000000000001</v>
      </c>
      <c r="F42" s="10"/>
    </row>
    <row r="43" spans="1:6">
      <c r="A43" s="10">
        <v>42</v>
      </c>
      <c r="B43" s="10" t="s">
        <v>7</v>
      </c>
      <c r="C43" s="10">
        <v>34.5820316506314</v>
      </c>
      <c r="D43" s="10">
        <v>0.62611322085412902</v>
      </c>
      <c r="E43" s="10">
        <v>0.99912000000000001</v>
      </c>
      <c r="F43" s="10"/>
    </row>
    <row r="44" spans="1:6">
      <c r="A44" s="10">
        <v>43</v>
      </c>
      <c r="B44" s="10" t="s">
        <v>7</v>
      </c>
      <c r="C44" s="10">
        <v>36.2623594905914</v>
      </c>
      <c r="D44" s="10">
        <v>0.59340046782150302</v>
      </c>
      <c r="E44" s="10">
        <v>0.99904000000000004</v>
      </c>
      <c r="F44" s="10"/>
    </row>
    <row r="45" spans="1:6">
      <c r="A45" s="10">
        <v>44</v>
      </c>
      <c r="B45" s="10" t="s">
        <v>7</v>
      </c>
      <c r="C45" s="10">
        <v>37.517670294458199</v>
      </c>
      <c r="D45" s="10">
        <v>0.56259437858401395</v>
      </c>
      <c r="E45" s="10">
        <v>0.99639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176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23.275550754056599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176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23.2341594255502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176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23.279871397765501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176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23.247273522865399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177</v>
      </c>
      <c r="B6">
        <f>IF('177T'!C6="", "", '177T'!C6)</f>
        <v>-1</v>
      </c>
      <c r="C6">
        <f>IF('18S2'!C6="", "", '18S2'!C6)</f>
        <v>-1</v>
      </c>
      <c r="D6">
        <f>IF(RNAseP!C6="", "", RNAseP!C6)</f>
        <v>24.206369822164302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177</v>
      </c>
      <c r="B7">
        <f>IF('177T'!C7="", "", '177T'!C7)</f>
        <v>-1</v>
      </c>
      <c r="C7">
        <f>IF('18S2'!C7="", "", '18S2'!C7)</f>
        <v>-1</v>
      </c>
      <c r="D7">
        <f>IF(RNAseP!C7="", "", RNAseP!C7)</f>
        <v>24.163089638472201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177</v>
      </c>
      <c r="B8">
        <f>IF('177T'!C8="", "", '177T'!C8)</f>
        <v>-1</v>
      </c>
      <c r="C8">
        <f>IF('18S2'!C8="", "", '18S2'!C8)</f>
        <v>-1</v>
      </c>
      <c r="D8">
        <f>IF(RNAseP!C8="", "", RNAseP!C8)</f>
        <v>24.131059922021102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177</v>
      </c>
      <c r="B9">
        <f>IF('177T'!C9="", "", '177T'!C9)</f>
        <v>-1</v>
      </c>
      <c r="C9">
        <f>IF('18S2'!C9="", "", '18S2'!C9)</f>
        <v>-1</v>
      </c>
      <c r="D9">
        <f>IF(RNAseP!C9="", "", RNAseP!C9)</f>
        <v>24.419067423701101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178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24.316266073262099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178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24.199005619988299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178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24.184487466501601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178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24.188092726144699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179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22.2332173656762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179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22.162929355929698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179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22.1610988156751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179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22.132028943279501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180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26.427996953160001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180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26.539804064044802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180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26.502989204983599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180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26.5323766531438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181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26.036182223504301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181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25.8963955851906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181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25.943701562584401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181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25.934866513399101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182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27.252196079077098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182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27.1351956337509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182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27.055543971444301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182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27.105263093584199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183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23.548530987818399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183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23.5031080852307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183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23.566699139519201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183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23.468505554716899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184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27.025511950639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184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26.989249064341401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184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26.966183327431899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184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26.9984642543413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185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23.050194844134499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185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23.029448371227399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185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23.386753861749401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185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23.126733523844202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23.753202471003899</v>
      </c>
      <c r="C42">
        <f>IF('18S2'!C42="", "", '18S2'!C42)</f>
        <v>21.181799309705202</v>
      </c>
      <c r="D42">
        <f>IF(RNAseP!C42="", "", RNAseP!C42)</f>
        <v>36.760594288848203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23.035106356451202</v>
      </c>
      <c r="C43">
        <f>IF('18S2'!C43="", "", '18S2'!C43)</f>
        <v>21.133307199526602</v>
      </c>
      <c r="D43">
        <f>IF(RNAseP!C43="", "", RNAseP!C43)</f>
        <v>34.5820316506314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23.294126065682899</v>
      </c>
      <c r="C44">
        <f>IF('18S2'!C44="", "", '18S2'!C44)</f>
        <v>21.153501062051198</v>
      </c>
      <c r="D44">
        <f>IF(RNAseP!C44="", "", RNAseP!C44)</f>
        <v>36.2623594905914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26.281315978766202</v>
      </c>
      <c r="C45">
        <f>IF('18S2'!C45="", "", '18S2'!C45)</f>
        <v>22.589222267063199</v>
      </c>
      <c r="D45">
        <f>IF(RNAseP!C45="", "", RNAseP!C45)</f>
        <v>37.517670294458199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4" sqref="C4:G4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45932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176</v>
      </c>
      <c r="B16" s="11">
        <v>2501233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23,3 +/- 0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177</v>
      </c>
      <c r="B17" s="11">
        <v>2501248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24,2 +/- 0,1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178</v>
      </c>
      <c r="B18" s="11">
        <v>2501295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24,2 +/- 0,1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179</v>
      </c>
      <c r="B19" s="11">
        <v>2501225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22,2 +/- 0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180</v>
      </c>
      <c r="B20" s="11">
        <v>2501292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26,5 +/- 0,1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181</v>
      </c>
      <c r="B21" s="11">
        <v>2501913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26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182</v>
      </c>
      <c r="B22" s="11">
        <v>2501960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27,1 +/- 0,1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183</v>
      </c>
      <c r="B23" s="11">
        <v>2501955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23,5 +/- 0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184</v>
      </c>
      <c r="B24" s="11">
        <v>2501968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27 +/- 0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185</v>
      </c>
      <c r="B25" s="11">
        <v>2501922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+/- 0,2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24,1 +/- 1,5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21,5 +/- 0,7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36,3 +/- 1,2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176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23,3 +/- 0</v>
      </c>
    </row>
    <row r="3" spans="1:11">
      <c r="A3" s="3">
        <f>Report!A17</f>
        <v>177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24,2 +/- 0,1</v>
      </c>
    </row>
    <row r="4" spans="1:11">
      <c r="A4" s="3">
        <f>Report!A18</f>
        <v>178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24,2 +/- 0,1</v>
      </c>
    </row>
    <row r="5" spans="1:11">
      <c r="A5" s="3">
        <f>Report!A19</f>
        <v>179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22,2 +/- 0</v>
      </c>
    </row>
    <row r="6" spans="1:11">
      <c r="A6" s="3">
        <f>Report!A20</f>
        <v>180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26,5 +/- 0,1</v>
      </c>
    </row>
    <row r="7" spans="1:11">
      <c r="A7" s="3">
        <f>Report!A21</f>
        <v>181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26 +/- 0,1</v>
      </c>
      <c r="K7" s="4"/>
    </row>
    <row r="8" spans="1:11">
      <c r="A8" s="3">
        <f>Report!A22</f>
        <v>182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27,1 +/- 0,1</v>
      </c>
    </row>
    <row r="9" spans="1:11">
      <c r="A9" s="3">
        <f>Report!A23</f>
        <v>183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23,5 +/- 0</v>
      </c>
    </row>
    <row r="10" spans="1:11">
      <c r="A10" s="3">
        <f>Report!A24</f>
        <v>184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27 +/- 0</v>
      </c>
    </row>
    <row r="11" spans="1:11">
      <c r="A11" s="3">
        <f>Report!A25</f>
        <v>185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+/- 0,2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24,1 +/- 1,5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21,5 +/- 0,7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36,3 +/- 1,2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2025-10-07T11:01:34+00:00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0A287-D67D-46FA-94A8-8DEE78A8951E}"/>
</file>

<file path=customXml/itemProps2.xml><?xml version="1.0" encoding="utf-8"?>
<ds:datastoreItem xmlns:ds="http://schemas.openxmlformats.org/officeDocument/2006/customXml" ds:itemID="{E4432408-58D8-46D8-9F6F-F6E0FDD1B5E3}"/>
</file>

<file path=customXml/itemProps3.xml><?xml version="1.0" encoding="utf-8"?>
<ds:datastoreItem xmlns:ds="http://schemas.openxmlformats.org/officeDocument/2006/customXml" ds:itemID="{8D972540-ADDB-423D-96BC-1FF6653A8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2025-10-07T11:23:33Z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