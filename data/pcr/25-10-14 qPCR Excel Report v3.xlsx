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24226"/>
  <mc:AlternateContent xmlns:mc="http://schemas.openxmlformats.org/markup-compatibility/2006">
    <mc:Choice Requires="x15">
      <x15ac:absPath xmlns:x15ac="http://schemas.microsoft.com/office/spreadsheetml/2010/11/ac" url="\\BIOMOL\Users\USER\Desktop\03 - Biologie Moleculaire\0302 - Résultats qPCR\"/>
    </mc:Choice>
  </mc:AlternateContent>
  <xr:revisionPtr revIDLastSave="0" documentId="13_ncr:1_{887C39BF-3F1F-468C-A070-1881758164F6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-110" yWindow="-110" windowWidth="19420" windowHeight="1150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<sst xmlns="http://schemas.openxmlformats.org/spreadsheetml/2006/main" count="433" uniqueCount="76">
  <si>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</si>
  <si>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</si>
  <si>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</si>
  <si>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</si>
  <si>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</si>
  <si>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</si>
  <si>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</si>
  <si>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</si>
  <si>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</si>
  <si>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</si>
  <si>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</si>
  <si>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</si>
  <si>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</si>
  <si>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</si>
  <si>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</si>
  <si>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</si>
  <si>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</si>
  <si>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</si>
  <si>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</si>
  <si>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</si>
  <si>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</si>
  <si>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</si>
  <si>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</si>
  <si>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</si>
  <si>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</si>
  <si>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</si>
  <si>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</si>
  <si>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</si>
  <si>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</si>
  <si>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</si>
  <si>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</si>
  <si>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</si>
  <si>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</si>
  <si>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</si>
  <si>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</si>
  <si>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</si>
  <si>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</si>
  <si>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</si>
  <si>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</si>
  <si>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</si>
  <si>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</si>
  <si>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</si>
  <si>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</si>
  <si>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LOUIS</t>
  </si>
  <si>
    <t>Qrun file name</t>
  </si>
  <si>
    <t>2025-10-14 09.23.53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</si>
  <si>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</si>
  <si>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</si>
  <si>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</si>
  <si>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</si>
  <si>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</si>
  <si>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</si>
  <si>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</si>
  <si>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</si>
  <si>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</si>
  <si>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</si>
  <si>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V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</si>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</sst>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4.4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246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246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246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246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247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247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247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247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248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248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248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248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249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249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249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249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250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250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250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250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251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251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251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251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252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252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252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252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253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253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253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253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254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254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254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254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255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255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255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255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28.964766162806502</v>
      </c>
      <c r="D42" s="8">
        <v>0.86978046240934603</v>
      </c>
      <c r="E42" s="8">
        <v>0.99844999999999995</v>
      </c>
      <c r="F42" s="8"/>
    </row>
    <row r="43" spans="1:6">
      <c r="A43" s="8">
        <v>42</v>
      </c>
      <c r="B43" s="8" t="s">
        <v>7</v>
      </c>
      <c r="C43" s="8">
        <v>24.018170635115201</v>
      </c>
      <c r="D43" s="8">
        <v>0.849235049932064</v>
      </c>
      <c r="E43" s="8">
        <v>0.99983</v>
      </c>
      <c r="F43" s="8"/>
    </row>
    <row r="44" spans="1:6">
      <c r="A44" s="8">
        <v>43</v>
      </c>
      <c r="B44" s="8" t="s">
        <v>7</v>
      </c>
      <c r="C44" s="8">
        <v>22.814716528218899</v>
      </c>
      <c r="D44" s="8">
        <v>0.81488242890725804</v>
      </c>
      <c r="E44" s="8">
        <v>0.99990000000000001</v>
      </c>
      <c r="F44" s="8"/>
    </row>
    <row r="45" spans="1:6">
      <c r="A45" s="8">
        <v>44</v>
      </c>
      <c r="B45" s="8" t="s">
        <v>7</v>
      </c>
      <c r="C45" s="8">
        <v>23.955084819986102</v>
      </c>
      <c r="D45" s="8">
        <v>0.76124087046321598</v>
      </c>
      <c r="E45" s="8">
        <v>0.99997999999999998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4.4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246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246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246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246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247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247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247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247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248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248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248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248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249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249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249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249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250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250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250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250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251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251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251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251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252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252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252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252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253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253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253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253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254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254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254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254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255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255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255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255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23.897772975757601</v>
      </c>
      <c r="D42" s="9">
        <v>0.81592557587737602</v>
      </c>
      <c r="E42" s="9">
        <v>0.99763999999999997</v>
      </c>
      <c r="F42" s="9"/>
    </row>
    <row r="43" spans="1:6">
      <c r="A43" s="9">
        <v>42</v>
      </c>
      <c r="B43" s="9" t="s">
        <v>7</v>
      </c>
      <c r="C43" s="9">
        <v>21.158507132622699</v>
      </c>
      <c r="D43" s="9">
        <v>0.81574028449765101</v>
      </c>
      <c r="E43" s="9">
        <v>0.99797999999999998</v>
      </c>
      <c r="F43" s="9"/>
    </row>
    <row r="44" spans="1:6">
      <c r="A44" s="9">
        <v>43</v>
      </c>
      <c r="B44" s="9" t="s">
        <v>7</v>
      </c>
      <c r="C44" s="9">
        <v>20.874835106421301</v>
      </c>
      <c r="D44" s="9">
        <v>0.81612415002142802</v>
      </c>
      <c r="E44" s="9">
        <v>0.99768000000000001</v>
      </c>
      <c r="F44" s="9"/>
    </row>
    <row r="45" spans="1:6">
      <c r="A45" s="9">
        <v>44</v>
      </c>
      <c r="B45" s="9" t="s">
        <v>7</v>
      </c>
      <c r="C45" s="9">
        <v>21.201982315726202</v>
      </c>
      <c r="D45" s="9">
        <v>0.80992437251371097</v>
      </c>
      <c r="E45" s="9">
        <v>0.99814999999999998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4.4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246</v>
      </c>
      <c r="C2" s="10">
        <v>23.116200738430301</v>
      </c>
      <c r="D2" s="10">
        <v>1.0101094485836599</v>
      </c>
      <c r="E2" s="10">
        <v>0.99870000000000003</v>
      </c>
      <c r="F2" s="10"/>
    </row>
    <row r="3" spans="1:6">
      <c r="A3" s="10">
        <v>2</v>
      </c>
      <c r="B3" s="10">
        <v>246</v>
      </c>
      <c r="C3" s="10">
        <v>23.146843574251399</v>
      </c>
      <c r="D3" s="10">
        <v>1.0125214556393101</v>
      </c>
      <c r="E3" s="10">
        <v>0.99855000000000005</v>
      </c>
      <c r="F3" s="10"/>
    </row>
    <row r="4" spans="1:6">
      <c r="A4" s="10">
        <v>3</v>
      </c>
      <c r="B4" s="10">
        <v>246</v>
      </c>
      <c r="C4" s="10">
        <v>23.0921946334804</v>
      </c>
      <c r="D4" s="10">
        <v>0.99777940135978105</v>
      </c>
      <c r="E4" s="10">
        <v>0.99880999999999998</v>
      </c>
      <c r="F4" s="10"/>
    </row>
    <row r="5" spans="1:6">
      <c r="A5" s="10">
        <v>4</v>
      </c>
      <c r="B5" s="10">
        <v>246</v>
      </c>
      <c r="C5" s="10">
        <v>22.895496166610201</v>
      </c>
      <c r="D5" s="10">
        <v>0.92569772307287701</v>
      </c>
      <c r="E5" s="10">
        <v>0.99953000000000003</v>
      </c>
      <c r="F5" s="10"/>
    </row>
    <row r="6" spans="1:6">
      <c r="A6" s="10">
        <v>5</v>
      </c>
      <c r="B6" s="10">
        <v>247</v>
      </c>
      <c r="C6" s="10">
        <v>22.714417507370001</v>
      </c>
      <c r="D6" s="10">
        <v>0.94170967559280505</v>
      </c>
      <c r="E6" s="10">
        <v>0.99946999999999997</v>
      </c>
      <c r="F6" s="10"/>
    </row>
    <row r="7" spans="1:6">
      <c r="A7" s="10">
        <v>6</v>
      </c>
      <c r="B7" s="10">
        <v>247</v>
      </c>
      <c r="C7" s="10">
        <v>22.7831281947545</v>
      </c>
      <c r="D7" s="10">
        <v>0.95637934737808195</v>
      </c>
      <c r="E7" s="10">
        <v>0.99921000000000004</v>
      </c>
      <c r="F7" s="10"/>
    </row>
    <row r="8" spans="1:6">
      <c r="A8" s="10">
        <v>7</v>
      </c>
      <c r="B8" s="10">
        <v>247</v>
      </c>
      <c r="C8" s="10">
        <v>22.779056506012498</v>
      </c>
      <c r="D8" s="10">
        <v>0.95030207225378804</v>
      </c>
      <c r="E8" s="10">
        <v>0.99926000000000004</v>
      </c>
      <c r="F8" s="10"/>
    </row>
    <row r="9" spans="1:6">
      <c r="A9" s="10">
        <v>8</v>
      </c>
      <c r="B9" s="10">
        <v>247</v>
      </c>
      <c r="C9" s="10">
        <v>22.667239937494401</v>
      </c>
      <c r="D9" s="10">
        <v>0.94625074242741303</v>
      </c>
      <c r="E9" s="10">
        <v>0.99944999999999995</v>
      </c>
      <c r="F9" s="10"/>
    </row>
    <row r="10" spans="1:6">
      <c r="A10" s="10">
        <v>9</v>
      </c>
      <c r="B10" s="10">
        <v>248</v>
      </c>
      <c r="C10" s="10">
        <v>22.4745671160778</v>
      </c>
      <c r="D10" s="10">
        <v>0.89854490631524397</v>
      </c>
      <c r="E10" s="10">
        <v>0.99980000000000002</v>
      </c>
      <c r="F10" s="10"/>
    </row>
    <row r="11" spans="1:6">
      <c r="A11" s="10">
        <v>10</v>
      </c>
      <c r="B11" s="10">
        <v>248</v>
      </c>
      <c r="C11" s="10">
        <v>22.589470655299401</v>
      </c>
      <c r="D11" s="10">
        <v>0.91092999292256205</v>
      </c>
      <c r="E11" s="10">
        <v>0.99968000000000001</v>
      </c>
      <c r="F11" s="10"/>
    </row>
    <row r="12" spans="1:6">
      <c r="A12" s="10">
        <v>11</v>
      </c>
      <c r="B12" s="10">
        <v>248</v>
      </c>
      <c r="C12" s="10">
        <v>22.515831876066699</v>
      </c>
      <c r="D12" s="10">
        <v>0.91307001869001203</v>
      </c>
      <c r="E12" s="10">
        <v>0.99972000000000005</v>
      </c>
      <c r="F12" s="10"/>
    </row>
    <row r="13" spans="1:6">
      <c r="A13" s="10">
        <v>12</v>
      </c>
      <c r="B13" s="10">
        <v>248</v>
      </c>
      <c r="C13" s="10">
        <v>22.553525447270601</v>
      </c>
      <c r="D13" s="10">
        <v>0.910004303140733</v>
      </c>
      <c r="E13" s="10">
        <v>0.99975000000000003</v>
      </c>
      <c r="F13" s="10"/>
    </row>
    <row r="14" spans="1:6">
      <c r="A14" s="10">
        <v>13</v>
      </c>
      <c r="B14" s="10">
        <v>249</v>
      </c>
      <c r="C14" s="10">
        <v>38.2722391019459</v>
      </c>
      <c r="D14" s="10">
        <v>0.64661721000684402</v>
      </c>
      <c r="E14" s="10">
        <v>0.98921999999999999</v>
      </c>
      <c r="F14" s="10"/>
    </row>
    <row r="15" spans="1:6">
      <c r="A15" s="10">
        <v>14</v>
      </c>
      <c r="B15" s="10">
        <v>249</v>
      </c>
      <c r="C15" s="10">
        <v>26.900343015028199</v>
      </c>
      <c r="D15" s="10">
        <v>0.927981723894858</v>
      </c>
      <c r="E15" s="10">
        <v>0.99934000000000001</v>
      </c>
      <c r="F15" s="10"/>
    </row>
    <row r="16" spans="1:6">
      <c r="A16" s="10">
        <v>15</v>
      </c>
      <c r="B16" s="10">
        <v>249</v>
      </c>
      <c r="C16" s="10">
        <v>26.896730564123899</v>
      </c>
      <c r="D16" s="10">
        <v>0.93875776591849402</v>
      </c>
      <c r="E16" s="10">
        <v>0.99929999999999997</v>
      </c>
      <c r="F16" s="10"/>
    </row>
    <row r="17" spans="1:6">
      <c r="A17" s="10">
        <v>16</v>
      </c>
      <c r="B17" s="10">
        <v>249</v>
      </c>
      <c r="C17" s="10">
        <v>26.759191552818798</v>
      </c>
      <c r="D17" s="10">
        <v>0.92448474028713601</v>
      </c>
      <c r="E17" s="10">
        <v>0.99956</v>
      </c>
      <c r="F17" s="10"/>
    </row>
    <row r="18" spans="1:6">
      <c r="A18" s="10">
        <v>17</v>
      </c>
      <c r="B18" s="10">
        <v>250</v>
      </c>
      <c r="C18" s="10">
        <v>23.0064614715061</v>
      </c>
      <c r="D18" s="10">
        <v>0.94638601874594297</v>
      </c>
      <c r="E18" s="10">
        <v>0.99926000000000004</v>
      </c>
      <c r="F18" s="10"/>
    </row>
    <row r="19" spans="1:6">
      <c r="A19" s="10">
        <v>18</v>
      </c>
      <c r="B19" s="10">
        <v>250</v>
      </c>
      <c r="C19" s="10">
        <v>23.125378349731601</v>
      </c>
      <c r="D19" s="10">
        <v>0.987873269427473</v>
      </c>
      <c r="E19" s="10">
        <v>0.99883</v>
      </c>
      <c r="F19" s="10"/>
    </row>
    <row r="20" spans="1:6">
      <c r="A20" s="10">
        <v>19</v>
      </c>
      <c r="B20" s="10">
        <v>250</v>
      </c>
      <c r="C20" s="10">
        <v>23.065154598370601</v>
      </c>
      <c r="D20" s="10">
        <v>0.92836519806156503</v>
      </c>
      <c r="E20" s="10">
        <v>0.99941000000000002</v>
      </c>
      <c r="F20" s="10"/>
    </row>
    <row r="21" spans="1:6">
      <c r="A21" s="10">
        <v>20</v>
      </c>
      <c r="B21" s="10">
        <v>250</v>
      </c>
      <c r="C21" s="10">
        <v>23.0333746381338</v>
      </c>
      <c r="D21" s="10">
        <v>0.93491324134822895</v>
      </c>
      <c r="E21" s="10">
        <v>0.99933000000000005</v>
      </c>
      <c r="F21" s="10"/>
    </row>
    <row r="22" spans="1:6">
      <c r="A22" s="10">
        <v>21</v>
      </c>
      <c r="B22" s="10">
        <v>251</v>
      </c>
      <c r="C22" s="10">
        <v>21.4659831864059</v>
      </c>
      <c r="D22" s="10">
        <v>0.98064792112774002</v>
      </c>
      <c r="E22" s="10">
        <v>0.99944999999999995</v>
      </c>
      <c r="F22" s="10"/>
    </row>
    <row r="23" spans="1:6">
      <c r="A23" s="10">
        <v>22</v>
      </c>
      <c r="B23" s="10">
        <v>251</v>
      </c>
      <c r="C23" s="10">
        <v>21.4675756436624</v>
      </c>
      <c r="D23" s="10">
        <v>0.97580689610289995</v>
      </c>
      <c r="E23" s="10">
        <v>0.99944</v>
      </c>
      <c r="F23" s="10"/>
    </row>
    <row r="24" spans="1:6">
      <c r="A24" s="10">
        <v>23</v>
      </c>
      <c r="B24" s="10">
        <v>251</v>
      </c>
      <c r="C24" s="10">
        <v>21.507166942462099</v>
      </c>
      <c r="D24" s="10">
        <v>0.966755187163162</v>
      </c>
      <c r="E24" s="10">
        <v>0.99946999999999997</v>
      </c>
      <c r="F24" s="10"/>
    </row>
    <row r="25" spans="1:6">
      <c r="A25" s="10">
        <v>24</v>
      </c>
      <c r="B25" s="10">
        <v>251</v>
      </c>
      <c r="C25" s="10">
        <v>21.441757310976602</v>
      </c>
      <c r="D25" s="10">
        <v>0.95957651194611004</v>
      </c>
      <c r="E25" s="10">
        <v>0.99948000000000004</v>
      </c>
      <c r="F25" s="10"/>
    </row>
    <row r="26" spans="1:6">
      <c r="A26" s="10">
        <v>25</v>
      </c>
      <c r="B26" s="10">
        <v>252</v>
      </c>
      <c r="C26" s="10">
        <v>21.635779803681999</v>
      </c>
      <c r="D26" s="10">
        <v>0.90942563807314103</v>
      </c>
      <c r="E26" s="10">
        <v>0.99963000000000002</v>
      </c>
      <c r="F26" s="10"/>
    </row>
    <row r="27" spans="1:6">
      <c r="A27" s="10">
        <v>26</v>
      </c>
      <c r="B27" s="10">
        <v>252</v>
      </c>
      <c r="C27" s="10">
        <v>21.6865459785365</v>
      </c>
      <c r="D27" s="10">
        <v>0.90746735831297298</v>
      </c>
      <c r="E27" s="10">
        <v>0.99958999999999998</v>
      </c>
      <c r="F27" s="10"/>
    </row>
    <row r="28" spans="1:6">
      <c r="A28" s="10">
        <v>27</v>
      </c>
      <c r="B28" s="10">
        <v>252</v>
      </c>
      <c r="C28" s="10">
        <v>21.634804466606401</v>
      </c>
      <c r="D28" s="10">
        <v>0.88110995263825698</v>
      </c>
      <c r="E28" s="10">
        <v>0.99965000000000004</v>
      </c>
      <c r="F28" s="10"/>
    </row>
    <row r="29" spans="1:6">
      <c r="A29" s="10">
        <v>28</v>
      </c>
      <c r="B29" s="10">
        <v>252</v>
      </c>
      <c r="C29" s="10">
        <v>21.565373132149698</v>
      </c>
      <c r="D29" s="10">
        <v>0.84996711546777404</v>
      </c>
      <c r="E29" s="10">
        <v>0.99977000000000005</v>
      </c>
      <c r="F29" s="10"/>
    </row>
    <row r="30" spans="1:6">
      <c r="A30" s="10">
        <v>29</v>
      </c>
      <c r="B30" s="10">
        <v>253</v>
      </c>
      <c r="C30" s="10">
        <v>22.1811668733509</v>
      </c>
      <c r="D30" s="10">
        <v>1.00461304894061</v>
      </c>
      <c r="E30" s="10">
        <v>0.99870999999999999</v>
      </c>
      <c r="F30" s="10"/>
    </row>
    <row r="31" spans="1:6">
      <c r="A31" s="10">
        <v>30</v>
      </c>
      <c r="B31" s="10">
        <v>253</v>
      </c>
      <c r="C31" s="10">
        <v>22.180356228535999</v>
      </c>
      <c r="D31" s="10">
        <v>1.0058220575386101</v>
      </c>
      <c r="E31" s="10">
        <v>0.99863999999999997</v>
      </c>
      <c r="F31" s="10"/>
    </row>
    <row r="32" spans="1:6">
      <c r="A32" s="10">
        <v>31</v>
      </c>
      <c r="B32" s="10">
        <v>253</v>
      </c>
      <c r="C32" s="10">
        <v>22.174851382170701</v>
      </c>
      <c r="D32" s="10">
        <v>1.00107688155747</v>
      </c>
      <c r="E32" s="10">
        <v>0.99873999999999996</v>
      </c>
      <c r="F32" s="10"/>
    </row>
    <row r="33" spans="1:6">
      <c r="A33" s="10">
        <v>32</v>
      </c>
      <c r="B33" s="10">
        <v>253</v>
      </c>
      <c r="C33" s="10">
        <v>22.1537801151668</v>
      </c>
      <c r="D33" s="10">
        <v>0.99483285508945296</v>
      </c>
      <c r="E33" s="10">
        <v>0.99877000000000005</v>
      </c>
      <c r="F33" s="10"/>
    </row>
    <row r="34" spans="1:6">
      <c r="A34" s="10">
        <v>33</v>
      </c>
      <c r="B34" s="10">
        <v>254</v>
      </c>
      <c r="C34" s="10">
        <v>20.304939686831201</v>
      </c>
      <c r="D34" s="10">
        <v>1.0005166390067499</v>
      </c>
      <c r="E34" s="10">
        <v>0.99914000000000003</v>
      </c>
      <c r="F34" s="10"/>
    </row>
    <row r="35" spans="1:6">
      <c r="A35" s="10">
        <v>34</v>
      </c>
      <c r="B35" s="10">
        <v>254</v>
      </c>
      <c r="C35" s="10">
        <v>20.271592123272701</v>
      </c>
      <c r="D35" s="10">
        <v>1.0099345679365901</v>
      </c>
      <c r="E35" s="10">
        <v>0.99887000000000004</v>
      </c>
      <c r="F35" s="10"/>
    </row>
    <row r="36" spans="1:6">
      <c r="A36" s="10">
        <v>35</v>
      </c>
      <c r="B36" s="10">
        <v>254</v>
      </c>
      <c r="C36" s="10">
        <v>20.3002901334165</v>
      </c>
      <c r="D36" s="10">
        <v>1.0107103443087799</v>
      </c>
      <c r="E36" s="10">
        <v>0.99887999999999999</v>
      </c>
      <c r="F36" s="10"/>
    </row>
    <row r="37" spans="1:6">
      <c r="A37" s="10">
        <v>36</v>
      </c>
      <c r="B37" s="10">
        <v>254</v>
      </c>
      <c r="C37" s="10">
        <v>20.2764827338092</v>
      </c>
      <c r="D37" s="10">
        <v>0.98745801232871799</v>
      </c>
      <c r="E37" s="10">
        <v>0.99904999999999999</v>
      </c>
      <c r="F37" s="10"/>
    </row>
    <row r="38" spans="1:6">
      <c r="A38" s="10">
        <v>37</v>
      </c>
      <c r="B38" s="10">
        <v>255</v>
      </c>
      <c r="C38" s="10">
        <v>23.859297348978799</v>
      </c>
      <c r="D38" s="10">
        <v>0.95724421707311003</v>
      </c>
      <c r="E38" s="10">
        <v>0.99917999999999996</v>
      </c>
      <c r="F38" s="10"/>
    </row>
    <row r="39" spans="1:6">
      <c r="A39" s="10">
        <v>38</v>
      </c>
      <c r="B39" s="10">
        <v>255</v>
      </c>
      <c r="C39" s="10">
        <v>23.009648319589999</v>
      </c>
      <c r="D39" s="10">
        <v>0.90443770875048302</v>
      </c>
      <c r="E39" s="10">
        <v>0.99955000000000005</v>
      </c>
      <c r="F39" s="10"/>
    </row>
    <row r="40" spans="1:6">
      <c r="A40" s="10">
        <v>39</v>
      </c>
      <c r="B40" s="10">
        <v>255</v>
      </c>
      <c r="C40" s="10">
        <v>22.954323616763599</v>
      </c>
      <c r="D40" s="10">
        <v>0.91161386225419205</v>
      </c>
      <c r="E40" s="10">
        <v>0.99951999999999996</v>
      </c>
      <c r="F40" s="10"/>
    </row>
    <row r="41" spans="1:6">
      <c r="A41" s="10">
        <v>40</v>
      </c>
      <c r="B41" s="10">
        <v>255</v>
      </c>
      <c r="C41" s="10">
        <v>23.155486118836802</v>
      </c>
      <c r="D41" s="10">
        <v>0.98780021353434799</v>
      </c>
      <c r="E41" s="10">
        <v>0.99878</v>
      </c>
      <c r="F41" s="10"/>
    </row>
    <row r="42" spans="1:6">
      <c r="A42" s="10">
        <v>41</v>
      </c>
      <c r="B42" s="10" t="s">
        <v>7</v>
      </c>
      <c r="C42" s="10">
        <v>36.6496819622147</v>
      </c>
      <c r="D42" s="10">
        <v>0.54255865158068095</v>
      </c>
      <c r="E42" s="10">
        <v>0.99343000000000004</v>
      </c>
      <c r="F42" s="10"/>
    </row>
    <row r="43" spans="1:6">
      <c r="A43" s="10">
        <v>42</v>
      </c>
      <c r="B43" s="10" t="s">
        <v>7</v>
      </c>
      <c r="C43" s="10">
        <v>35.182786366501901</v>
      </c>
      <c r="D43" s="10">
        <v>0.64256757121511798</v>
      </c>
      <c r="E43" s="10">
        <v>0.99919000000000002</v>
      </c>
      <c r="F43" s="10"/>
    </row>
    <row r="44" spans="1:6">
      <c r="A44" s="10">
        <v>43</v>
      </c>
      <c r="B44" s="10" t="s">
        <v>7</v>
      </c>
      <c r="C44" s="10">
        <v>35.2536889097588</v>
      </c>
      <c r="D44" s="10">
        <v>0.62552651821198302</v>
      </c>
      <c r="E44" s="10">
        <v>0.99926000000000004</v>
      </c>
      <c r="F44" s="10"/>
    </row>
    <row r="45" spans="1:6">
      <c r="A45" s="10">
        <v>44</v>
      </c>
      <c r="B45" s="10" t="s">
        <v>7</v>
      </c>
      <c r="C45" s="10">
        <v>34.483720721565902</v>
      </c>
      <c r="D45" s="10">
        <v>0.64960385827740796</v>
      </c>
      <c r="E45" s="10">
        <v>0.99946999999999997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4.4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246</v>
      </c>
      <c r="B2">
        <f>IF('177T'!C2="", "", '177T'!C2)</f>
        <v>-1</v>
      </c>
      <c r="C2">
        <f>IF('18S2'!C2="", "", '18S2'!C2)</f>
        <v>-1</v>
      </c>
      <c r="D2">
        <f>IF(RNAseP!C2="", "", RNAseP!C2)</f>
        <v>23.116200738430301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246</v>
      </c>
      <c r="B3">
        <f>IF('177T'!C3="", "", '177T'!C3)</f>
        <v>-1</v>
      </c>
      <c r="C3">
        <f>IF('18S2'!C3="", "", '18S2'!C3)</f>
        <v>-1</v>
      </c>
      <c r="D3">
        <f>IF(RNAseP!C3="", "", RNAseP!C3)</f>
        <v>23.146843574251399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246</v>
      </c>
      <c r="B4">
        <f>IF('177T'!C4="", "", '177T'!C4)</f>
        <v>-1</v>
      </c>
      <c r="C4">
        <f>IF('18S2'!C4="", "", '18S2'!C4)</f>
        <v>-1</v>
      </c>
      <c r="D4">
        <f>IF(RNAseP!C4="", "", RNAseP!C4)</f>
        <v>23.0921946334804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246</v>
      </c>
      <c r="B5">
        <f>IF('177T'!C5="", "", '177T'!C5)</f>
        <v>-1</v>
      </c>
      <c r="C5">
        <f>IF('18S2'!C5="", "", '18S2'!C5)</f>
        <v>-1</v>
      </c>
      <c r="D5">
        <f>IF(RNAseP!C5="", "", RNAseP!C5)</f>
        <v>22.895496166610201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247</v>
      </c>
      <c r="B6">
        <f>IF('177T'!C6="", "", '177T'!C6)</f>
        <v>-1</v>
      </c>
      <c r="C6">
        <f>IF('18S2'!C6="", "", '18S2'!C6)</f>
        <v>-1</v>
      </c>
      <c r="D6">
        <f>IF(RNAseP!C6="", "", RNAseP!C6)</f>
        <v>22.714417507370001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247</v>
      </c>
      <c r="B7">
        <f>IF('177T'!C7="", "", '177T'!C7)</f>
        <v>-1</v>
      </c>
      <c r="C7">
        <f>IF('18S2'!C7="", "", '18S2'!C7)</f>
        <v>-1</v>
      </c>
      <c r="D7">
        <f>IF(RNAseP!C7="", "", RNAseP!C7)</f>
        <v>22.7831281947545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247</v>
      </c>
      <c r="B8">
        <f>IF('177T'!C8="", "", '177T'!C8)</f>
        <v>-1</v>
      </c>
      <c r="C8">
        <f>IF('18S2'!C8="", "", '18S2'!C8)</f>
        <v>-1</v>
      </c>
      <c r="D8">
        <f>IF(RNAseP!C8="", "", RNAseP!C8)</f>
        <v>22.779056506012498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247</v>
      </c>
      <c r="B9">
        <f>IF('177T'!C9="", "", '177T'!C9)</f>
        <v>-1</v>
      </c>
      <c r="C9">
        <f>IF('18S2'!C9="", "", '18S2'!C9)</f>
        <v>-1</v>
      </c>
      <c r="D9">
        <f>IF(RNAseP!C9="", "", RNAseP!C9)</f>
        <v>22.667239937494401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248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22.4745671160778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248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22.589470655299401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248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22.515831876066699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248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22.553525447270601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249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38.2722391019459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0</v>
      </c>
      <c r="H14" s="3" t="str" cm="1">
        <f t="array" ref="H14">INDEX(Decision!$D$1:$D$28, MATCH(E14&amp;F14&amp;G14, Decision!$A$1:$A$28&amp;Decision!$B$1:$B$28&amp;Decision!$C$1:$C$28, 0))</f>
        <v>F</v>
      </c>
      <c r="I14" t="str" cm="1">
        <f t="array" ref="I14">INDEX(Decision!$E$1:$E$28, MATCH(E14&amp;F14&amp;G14, Decision!$A$1:$A$28&amp;Decision!$B$1:$B$28&amp;Decision!$C$1:$C$28, 0))</f>
        <v>low human DNA</v>
      </c>
    </row>
    <row r="15" spans="1:9">
      <c r="A15">
        <f>IF(AND('177T'!B15 = '18S2'!B15, '177T'!B15 = RNAseP!B15, '177T'!B15 &lt;&gt; ""), '177T'!B15, IF('177T'!B15 = "", "", "Mismatch"))</f>
        <v>249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26.900343015028199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249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26.896730564123899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249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26.759191552818798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250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23.0064614715061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250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23.125378349731601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250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23.065154598370601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250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23.0333746381338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251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21.4659831864059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251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21.4675756436624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251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21.507166942462099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251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21.441757310976602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252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21.635779803681999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252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21.6865459785365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252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21.634804466606401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252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21.565373132149698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253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22.1811668733509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253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22.180356228535999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253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22.174851382170701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253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22.1537801151668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254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20.304939686831201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254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20.271592123272701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254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20.3002901334165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254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20.2764827338092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255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23.859297348978799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255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23.009648319589999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255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22.954323616763599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255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23.155486118836802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28.964766162806502</v>
      </c>
      <c r="C42">
        <f>IF('18S2'!C42="", "", '18S2'!C42)</f>
        <v>23.897772975757601</v>
      </c>
      <c r="D42">
        <f>IF(RNAseP!C42="", "", RNAseP!C42)</f>
        <v>36.6496819622147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24.018170635115201</v>
      </c>
      <c r="C43">
        <f>IF('18S2'!C43="", "", '18S2'!C43)</f>
        <v>21.158507132622699</v>
      </c>
      <c r="D43">
        <f>IF(RNAseP!C43="", "", RNAseP!C43)</f>
        <v>35.182786366501901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22.814716528218899</v>
      </c>
      <c r="C44">
        <f>IF('18S2'!C44="", "", '18S2'!C44)</f>
        <v>20.874835106421301</v>
      </c>
      <c r="D44">
        <f>IF(RNAseP!C44="", "", RNAseP!C44)</f>
        <v>35.2536889097588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23.955084819986102</v>
      </c>
      <c r="C45">
        <f>IF('18S2'!C45="", "", '18S2'!C45)</f>
        <v>21.201982315726202</v>
      </c>
      <c r="D45">
        <f>IF(RNAseP!C45="", "", RNAseP!C45)</f>
        <v>34.483720721565902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4.4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4.4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4.4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topLeftCell="A9" workbookViewId="0">
      <selection activeCell="F27" sqref="F27"/>
    </sheetView>
  </sheetViews>
  <sheetFormatPr defaultColWidth="9.140625" defaultRowHeight="14.4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600000000000001">
      <c r="A1" s="28" t="s">
        <v>40</v>
      </c>
      <c r="B1" s="28"/>
    </row>
    <row r="3" spans="1:8">
      <c r="A3" s="24" t="s">
        <v>41</v>
      </c>
      <c r="B3" s="25"/>
      <c r="C3" s="26">
        <v>45944</v>
      </c>
      <c r="D3" s="26"/>
      <c r="E3" s="26"/>
      <c r="F3" s="26"/>
      <c r="G3" s="26"/>
    </row>
    <row r="4" spans="1:8">
      <c r="A4" s="24" t="s">
        <v>42</v>
      </c>
      <c r="B4" s="29"/>
      <c r="C4" s="27" t="s">
        <v>43</v>
      </c>
      <c r="D4" s="27"/>
      <c r="E4" s="27"/>
      <c r="F4" s="27"/>
      <c r="G4" s="27"/>
    </row>
    <row r="5" spans="1:8">
      <c r="A5" s="24" t="s">
        <v>44</v>
      </c>
      <c r="B5" s="25"/>
      <c r="C5" s="27" t="s">
        <v>45</v>
      </c>
      <c r="D5" s="27"/>
      <c r="E5" s="27"/>
      <c r="F5" s="27"/>
      <c r="G5" s="27"/>
    </row>
    <row r="6" spans="1:8">
      <c r="A6" s="24" t="s">
        <v>46</v>
      </c>
      <c r="B6" s="25"/>
      <c r="C6" s="27">
        <v>301</v>
      </c>
      <c r="D6" s="27"/>
      <c r="E6" s="27"/>
      <c r="F6" s="27"/>
      <c r="G6" s="27"/>
    </row>
    <row r="7" spans="1:8">
      <c r="A7" s="24" t="s">
        <v>47</v>
      </c>
      <c r="B7" s="25"/>
      <c r="C7" s="27">
        <v>66262118</v>
      </c>
      <c r="D7" s="27"/>
      <c r="E7" s="27"/>
      <c r="F7" s="27"/>
      <c r="G7" s="27"/>
    </row>
    <row r="8" spans="1:8">
      <c r="A8" s="24" t="s">
        <v>48</v>
      </c>
      <c r="B8" s="25"/>
      <c r="C8" s="26">
        <v>45771</v>
      </c>
      <c r="D8" s="26"/>
      <c r="E8" s="26"/>
      <c r="F8" s="26"/>
      <c r="G8" s="26"/>
    </row>
    <row r="9" spans="1:8">
      <c r="A9" s="24" t="s">
        <v>49</v>
      </c>
      <c r="B9" s="25"/>
      <c r="C9" s="26">
        <v>45771</v>
      </c>
      <c r="D9" s="26"/>
      <c r="E9" s="26"/>
      <c r="F9" s="26"/>
      <c r="G9" s="26"/>
    </row>
    <row r="10" spans="1:8">
      <c r="A10" s="24" t="s">
        <v>50</v>
      </c>
      <c r="B10" s="25"/>
      <c r="C10" s="26">
        <v>45771</v>
      </c>
      <c r="D10" s="26"/>
      <c r="E10" s="26"/>
      <c r="F10" s="26"/>
      <c r="G10" s="26"/>
    </row>
    <row r="11" spans="1:8">
      <c r="A11" s="24" t="s">
        <v>51</v>
      </c>
      <c r="B11" s="25"/>
      <c r="C11" s="26">
        <v>45771</v>
      </c>
      <c r="D11" s="27"/>
      <c r="E11" s="27"/>
      <c r="F11" s="27"/>
      <c r="G11" s="27"/>
    </row>
    <row r="12" spans="1:8">
      <c r="A12" s="24" t="s">
        <v>52</v>
      </c>
      <c r="B12" s="25"/>
      <c r="C12" s="26">
        <v>45674</v>
      </c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246</v>
      </c>
      <c r="B16" s="11">
        <v>2402786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23,1 +/- 0,1</v>
      </c>
      <c r="G16" s="18" t="s">
        <v>56</v>
      </c>
    </row>
    <row r="17" spans="1:12">
      <c r="A17" s="21" cm="1">
        <f t="array" ref="A17">IF(INDEX(Analysis!A:A,MATCH(0,COUNTIF($A$14:A16,Analysis!A:A),0))="","",INDEX(Analysis!A:A,MATCH(0,COUNTIF($A$14:A16,Analysis!A:A),0)))</f>
        <v>247</v>
      </c>
      <c r="B17" s="11">
        <v>2500087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22,7 +/- 0,1</v>
      </c>
      <c r="G17" s="18" t="s">
        <v>56</v>
      </c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248</v>
      </c>
      <c r="B18" s="11">
        <v>2500020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22,5 +/- 0</v>
      </c>
      <c r="G18" s="18" t="s">
        <v>56</v>
      </c>
    </row>
    <row r="19" spans="1:12">
      <c r="A19" s="21" cm="1">
        <f t="array" ref="A19">IF(INDEX(Analysis!A:A,MATCH(0,COUNTIF($A$14:A18,Analysis!A:A),0))="","",INDEX(Analysis!A:A,MATCH(0,COUNTIF($A$14:A18,Analysis!A:A),0)))</f>
        <v>249</v>
      </c>
      <c r="B19" s="11">
        <v>2500017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29,7 +/- 5,7</v>
      </c>
      <c r="G19" s="18" t="s">
        <v>56</v>
      </c>
    </row>
    <row r="20" spans="1:12">
      <c r="A20" s="21" cm="1">
        <f t="array" ref="A20">IF(INDEX(Analysis!A:A,MATCH(0,COUNTIF($A$14:A19,Analysis!A:A),0))="","",INDEX(Analysis!A:A,MATCH(0,COUNTIF($A$14:A19,Analysis!A:A),0)))</f>
        <v>250</v>
      </c>
      <c r="B20" s="11">
        <v>2502101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23,1 +/- 0,1</v>
      </c>
      <c r="G20" s="18" t="s">
        <v>56</v>
      </c>
    </row>
    <row r="21" spans="1:12">
      <c r="A21" s="21" cm="1">
        <f t="array" ref="A21">IF(INDEX(Analysis!A:A,MATCH(0,COUNTIF($A$14:A20,Analysis!A:A),0))="","",INDEX(Analysis!A:A,MATCH(0,COUNTIF($A$14:A20,Analysis!A:A),0)))</f>
        <v>251</v>
      </c>
      <c r="B21" s="11">
        <v>2402780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21,5 +/- 0</v>
      </c>
      <c r="G21" s="18" t="s">
        <v>56</v>
      </c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252</v>
      </c>
      <c r="B22" s="11">
        <v>2402296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21,6 +/- 0</v>
      </c>
      <c r="G22" s="18" t="s">
        <v>56</v>
      </c>
    </row>
    <row r="23" spans="1:12">
      <c r="A23" s="21" cm="1">
        <f t="array" ref="A23">IF(INDEX(Analysis!A:A,MATCH(0,COUNTIF($A$14:A22,Analysis!A:A),0))="","",INDEX(Analysis!A:A,MATCH(0,COUNTIF($A$14:A22,Analysis!A:A),0)))</f>
        <v>253</v>
      </c>
      <c r="B23" s="11">
        <v>2402771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22,2 +/- 0</v>
      </c>
      <c r="G23" s="18" t="s">
        <v>56</v>
      </c>
    </row>
    <row r="24" spans="1:12">
      <c r="A24" s="21" cm="1">
        <f t="array" ref="A24">IF(INDEX(Analysis!A:A,MATCH(0,COUNTIF($A$14:A23,Analysis!A:A),0))="","",INDEX(Analysis!A:A,MATCH(0,COUNTIF($A$14:A23,Analysis!A:A),0)))</f>
        <v>254</v>
      </c>
      <c r="B24" s="11">
        <v>2402784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20,3 +/- 0</v>
      </c>
      <c r="G24" s="18" t="s">
        <v>56</v>
      </c>
    </row>
    <row r="25" spans="1:12">
      <c r="A25" s="21" cm="1">
        <f t="array" ref="A25">IF(INDEX(Analysis!A:A,MATCH(0,COUNTIF($A$14:A24,Analysis!A:A),0))="","",INDEX(Analysis!A:A,MATCH(0,COUNTIF($A$14:A24,Analysis!A:A),0)))</f>
        <v>255</v>
      </c>
      <c r="B25" s="11">
        <v>2402785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23,2 +/- 0,4</v>
      </c>
      <c r="G25" s="18" t="s">
        <v>56</v>
      </c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24,9 +/- 2,7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21,8 +/- 1,4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35,4 +/- 0,9</v>
      </c>
      <c r="G26" s="18" t="s">
        <v>56</v>
      </c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  <c r="G27" s="18" t="s">
        <v>56</v>
      </c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57</v>
      </c>
      <c r="B29" s="13" t="s">
        <v>58</v>
      </c>
      <c r="C29" s="31" t="s">
        <v>59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60</v>
      </c>
      <c r="B30" s="18" t="s">
        <v>61</v>
      </c>
      <c r="C30" s="30" t="s">
        <v>62</v>
      </c>
      <c r="D30" s="30"/>
      <c r="E30" s="20"/>
    </row>
    <row r="31" spans="1:12">
      <c r="A31" s="18" t="s">
        <v>20</v>
      </c>
      <c r="B31" s="18" t="s">
        <v>21</v>
      </c>
      <c r="C31" s="30" t="s">
        <v>63</v>
      </c>
      <c r="D31" s="30"/>
      <c r="E31" s="20"/>
    </row>
    <row r="32" spans="1:12">
      <c r="A32" s="18" t="s">
        <v>22</v>
      </c>
      <c r="B32" s="18" t="s">
        <v>64</v>
      </c>
      <c r="C32" s="30" t="s">
        <v>65</v>
      </c>
      <c r="D32" s="30"/>
      <c r="E32" s="20"/>
    </row>
    <row r="33" spans="1:5">
      <c r="A33" s="18" t="s">
        <v>66</v>
      </c>
      <c r="B33" s="18" t="s">
        <v>67</v>
      </c>
      <c r="C33" s="30" t="s">
        <v>68</v>
      </c>
      <c r="D33" s="30"/>
      <c r="E33" s="20"/>
    </row>
    <row r="34" spans="1:5">
      <c r="A34" s="18" t="s">
        <v>17</v>
      </c>
      <c r="B34" s="18" t="s">
        <v>69</v>
      </c>
      <c r="C34" s="30" t="s">
        <v>70</v>
      </c>
      <c r="D34" s="30"/>
      <c r="E34" s="20"/>
    </row>
    <row r="35" spans="1:5">
      <c r="A35" s="18" t="s">
        <v>71</v>
      </c>
      <c r="B35" s="18" t="s">
        <v>72</v>
      </c>
      <c r="C35" s="30" t="s">
        <v>73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4.4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74</v>
      </c>
      <c r="C1" s="2" t="s">
        <v>75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246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23,1 +/- 0,1</v>
      </c>
    </row>
    <row r="3" spans="1:11">
      <c r="A3" s="3">
        <f>Report!A17</f>
        <v>247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22,7 +/- 0,1</v>
      </c>
    </row>
    <row r="4" spans="1:11">
      <c r="A4" s="3">
        <f>Report!A18</f>
        <v>248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22,5 +/- 0</v>
      </c>
    </row>
    <row r="5" spans="1:11">
      <c r="A5" s="3">
        <f>Report!A19</f>
        <v>249</v>
      </c>
      <c r="B5" s="3" t="str" cm="1">
        <f t="array" ref="B5">_xlfn.TEXTJOIN(", ", TRUE, IF(Analysis!$A$2:$A$82=A5, Analysis!$H$2:$H$82, ""))</f>
        <v>F, N, N, N</v>
      </c>
      <c r="C5" s="3" t="str" cm="1">
        <f t="array" ref="C5">_xlfn.TEXTJOIN(", ", TRUE, IF(Analysis!$A$2:$A$82=A5, Analysis!$I$2:$I$82, ""))</f>
        <v>low human DNA,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29,7 +/- 5,7</v>
      </c>
    </row>
    <row r="6" spans="1:11">
      <c r="A6" s="3">
        <f>Report!A20</f>
        <v>250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23,1 +/- 0,1</v>
      </c>
    </row>
    <row r="7" spans="1:11">
      <c r="A7" s="3">
        <f>Report!A21</f>
        <v>251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21,5 +/- 0</v>
      </c>
      <c r="K7" s="4"/>
    </row>
    <row r="8" spans="1:11">
      <c r="A8" s="3">
        <f>Report!A22</f>
        <v>252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21,6 +/- 0</v>
      </c>
    </row>
    <row r="9" spans="1:11">
      <c r="A9" s="3">
        <f>Report!A23</f>
        <v>253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22,2 +/- 0</v>
      </c>
    </row>
    <row r="10" spans="1:11">
      <c r="A10" s="3">
        <f>Report!A24</f>
        <v>254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20,3 +/- 0</v>
      </c>
    </row>
    <row r="11" spans="1:11">
      <c r="A11" s="3">
        <f>Report!A25</f>
        <v>255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23,2 +/- 0,4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24,9 +/- 2,7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21,8 +/- 1,4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35,4 +/- 0,9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OK, OK</v>
      </c>
      <c r="C13" s="3" t="str" cm="1">
        <f t="array" ref="C13">_xlfn.TEXTJOIN(", ", TRUE, IF(Analysis!$A$2:$A$82=A13, Analysis!$I$2:$I$82, ""))</f>
        <v>clean, clean,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2025-10-17T07:52:35+00:00</Uploaded>
  </documentManagement>
</p:properties>
</file>

<file path=customXml/itemProps1.xml><?xml version="1.0" encoding="utf-8"?>
<ds:datastoreItem xmlns:ds="http://schemas.openxmlformats.org/officeDocument/2006/customXml" ds:itemID="{7DD52575-2245-4A7F-85AD-B26A967BA72E}"/>
</file>

<file path=customXml/itemProps2.xml><?xml version="1.0" encoding="utf-8"?>
<ds:datastoreItem xmlns:ds="http://schemas.openxmlformats.org/officeDocument/2006/customXml" ds:itemID="{7D7C13FB-F9F6-49BD-8A55-93CD8A14A346}"/>
</file>

<file path=customXml/itemProps3.xml><?xml version="1.0" encoding="utf-8"?>
<ds:datastoreItem xmlns:ds="http://schemas.openxmlformats.org/officeDocument/2006/customXml" ds:itemID="{32EC79E2-F69B-4EA9-A0AD-ED1DAA511E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2025-10-17T15:41:13Z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