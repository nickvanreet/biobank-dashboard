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C4FE6C88-6DBB-4EA3-BF98-338623A4DAB7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400" yWindow="0" windowWidth="14400" windowHeight="156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<sst xmlns="http://schemas.openxmlformats.org/spreadsheetml/2006/main" count="415" uniqueCount="75">
  <si>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</si>
  <si>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</si>
  <si>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</si>
  <si>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</si>
  <si>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</si>
  <si>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</si>
  <si>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</si>
  <si>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</si>
  <si>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</si>
  <si>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</si>
  <si>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</si>
  <si>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</si>
  <si>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</si>
  <si>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</si>
  <si>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</si>
  <si>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</si>
  <si>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</si>
  <si>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</si>
  <si>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</si>
  <si>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</si>
  <si>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</si>
  <si>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</si>
  <si>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</si>
  <si>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</si>
  <si>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</si>
  <si>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</si>
  <si>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</si>
  <si>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</si>
  <si>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</si>
  <si>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</si>
  <si>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</si>
  <si>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</si>
  <si>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</si>
  <si>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</si>
  <si>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</si>
  <si>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</si>
  <si>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</si>
  <si>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</si>
  <si>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</si>
  <si>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</si>
  <si>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</si>
  <si>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</si>
  <si>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</si>
  <si>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</si>
  <si>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</si>
  <si>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2025-09-09 10.38.49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</si>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</sst>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138</v>
      </c>
      <c r="C2" s="8">
        <v>22.573619516932101</v>
      </c>
      <c r="D2" s="8">
        <v>0.88863668300306398</v>
      </c>
      <c r="E2" s="8">
        <v>0.99958999999999998</v>
      </c>
      <c r="F2" s="8"/>
    </row>
    <row r="3" spans="1:6">
      <c r="A3" s="8">
        <v>2</v>
      </c>
      <c r="B3" s="8">
        <v>138</v>
      </c>
      <c r="C3" s="8">
        <v>22.744410386888202</v>
      </c>
      <c r="D3" s="8">
        <v>0.95177928409072698</v>
      </c>
      <c r="E3" s="8">
        <v>0.99916000000000005</v>
      </c>
      <c r="F3" s="8"/>
    </row>
    <row r="4" spans="1:6">
      <c r="A4" s="8">
        <v>3</v>
      </c>
      <c r="B4" s="8">
        <v>138</v>
      </c>
      <c r="C4" s="8">
        <v>22.995767803398198</v>
      </c>
      <c r="D4" s="8">
        <v>0.97824714514889599</v>
      </c>
      <c r="E4" s="8">
        <v>0.99851999999999996</v>
      </c>
      <c r="F4" s="8"/>
    </row>
    <row r="5" spans="1:6">
      <c r="A5" s="8">
        <v>4</v>
      </c>
      <c r="B5" s="8">
        <v>138</v>
      </c>
      <c r="C5" s="8">
        <v>22.835614151835699</v>
      </c>
      <c r="D5" s="8">
        <v>0.96292413156214796</v>
      </c>
      <c r="E5" s="8">
        <v>0.99907000000000001</v>
      </c>
      <c r="F5" s="8"/>
    </row>
    <row r="6" spans="1:6">
      <c r="A6" s="8">
        <v>5</v>
      </c>
      <c r="B6" s="8">
        <v>139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139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139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139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140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140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140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140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141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141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141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141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142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142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142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142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143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143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143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143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144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144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144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144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145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145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145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145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146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146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146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146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147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147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147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147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24.157742867881499</v>
      </c>
      <c r="D42" s="8">
        <v>0.81334553013817401</v>
      </c>
      <c r="E42" s="8">
        <v>0.99987999999999999</v>
      </c>
      <c r="F42" s="8"/>
    </row>
    <row r="43" spans="1:6">
      <c r="A43" s="8">
        <v>42</v>
      </c>
      <c r="B43" s="8" t="s">
        <v>7</v>
      </c>
      <c r="C43" s="8">
        <v>24.7751507043019</v>
      </c>
      <c r="D43" s="8">
        <v>0.82852145027941104</v>
      </c>
      <c r="E43" s="8">
        <v>0.99887999999999999</v>
      </c>
      <c r="F43" s="8"/>
    </row>
    <row r="44" spans="1:6">
      <c r="A44" s="8">
        <v>43</v>
      </c>
      <c r="B44" s="8" t="s">
        <v>7</v>
      </c>
      <c r="C44" s="8">
        <v>23.9737097241287</v>
      </c>
      <c r="D44" s="8">
        <v>0.89288703260193103</v>
      </c>
      <c r="E44" s="8">
        <v>0.99933000000000005</v>
      </c>
      <c r="F44" s="8"/>
    </row>
    <row r="45" spans="1:6">
      <c r="A45" s="8">
        <v>44</v>
      </c>
      <c r="B45" s="8" t="s">
        <v>7</v>
      </c>
      <c r="C45" s="8">
        <v>24.8055894382986</v>
      </c>
      <c r="D45" s="8">
        <v>0.79282426515013604</v>
      </c>
      <c r="E45" s="8">
        <v>0.99951999999999996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138</v>
      </c>
      <c r="C2" s="9">
        <v>21.1907675437436</v>
      </c>
      <c r="D2" s="9">
        <v>0.80205295268517496</v>
      </c>
      <c r="E2" s="9">
        <v>0.99782000000000004</v>
      </c>
      <c r="F2" s="9"/>
    </row>
    <row r="3" spans="1:6">
      <c r="A3" s="9">
        <v>2</v>
      </c>
      <c r="B3" s="9">
        <v>138</v>
      </c>
      <c r="C3" s="9">
        <v>21.293891478379201</v>
      </c>
      <c r="D3" s="9">
        <v>0.78751023318475699</v>
      </c>
      <c r="E3" s="9">
        <v>0.99838000000000005</v>
      </c>
      <c r="F3" s="9"/>
    </row>
    <row r="4" spans="1:6">
      <c r="A4" s="9">
        <v>3</v>
      </c>
      <c r="B4" s="9">
        <v>138</v>
      </c>
      <c r="C4" s="9">
        <v>21.305859543477599</v>
      </c>
      <c r="D4" s="9">
        <v>0.790878956016555</v>
      </c>
      <c r="E4" s="9">
        <v>0.99834000000000001</v>
      </c>
      <c r="F4" s="9"/>
    </row>
    <row r="5" spans="1:6">
      <c r="A5" s="9">
        <v>4</v>
      </c>
      <c r="B5" s="9">
        <v>138</v>
      </c>
      <c r="C5" s="9">
        <v>21.269290671244502</v>
      </c>
      <c r="D5" s="9">
        <v>0.79199726145117499</v>
      </c>
      <c r="E5" s="9">
        <v>0.99839</v>
      </c>
      <c r="F5" s="9"/>
    </row>
    <row r="6" spans="1:6">
      <c r="A6" s="9">
        <v>5</v>
      </c>
      <c r="B6" s="9">
        <v>139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139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139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139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140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140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140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140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141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141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141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141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142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142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142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142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143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143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143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143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144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144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144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144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145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145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145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145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146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146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146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146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147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147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147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147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21.200978915109999</v>
      </c>
      <c r="D42" s="9">
        <v>0.78743533461707904</v>
      </c>
      <c r="E42" s="9">
        <v>0.99763000000000002</v>
      </c>
      <c r="F42" s="9"/>
    </row>
    <row r="43" spans="1:6">
      <c r="A43" s="9">
        <v>42</v>
      </c>
      <c r="B43" s="9" t="s">
        <v>7</v>
      </c>
      <c r="C43" s="9">
        <v>21.1947604501418</v>
      </c>
      <c r="D43" s="9">
        <v>0.79009414981368498</v>
      </c>
      <c r="E43" s="9">
        <v>0.99768999999999997</v>
      </c>
      <c r="F43" s="9"/>
    </row>
    <row r="44" spans="1:6">
      <c r="A44" s="9">
        <v>43</v>
      </c>
      <c r="B44" s="9" t="s">
        <v>7</v>
      </c>
      <c r="C44" s="9">
        <v>21.2860249876775</v>
      </c>
      <c r="D44" s="9">
        <v>0.78149702954359701</v>
      </c>
      <c r="E44" s="9">
        <v>0.99822</v>
      </c>
      <c r="F44" s="9"/>
    </row>
    <row r="45" spans="1:6">
      <c r="A45" s="9">
        <v>44</v>
      </c>
      <c r="B45" s="9" t="s">
        <v>7</v>
      </c>
      <c r="C45" s="9">
        <v>21.295521323696502</v>
      </c>
      <c r="D45" s="9">
        <v>0.77948982418693202</v>
      </c>
      <c r="E45" s="9">
        <v>0.99836999999999998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138</v>
      </c>
      <c r="C2" s="10">
        <v>20.3134244456764</v>
      </c>
      <c r="D2" s="10">
        <v>1.02195065137094</v>
      </c>
      <c r="E2" s="10">
        <v>0.99934999999999996</v>
      </c>
      <c r="F2" s="10"/>
    </row>
    <row r="3" spans="1:6">
      <c r="A3" s="10">
        <v>2</v>
      </c>
      <c r="B3" s="10">
        <v>138</v>
      </c>
      <c r="C3" s="10">
        <v>20.330615800777299</v>
      </c>
      <c r="D3" s="10">
        <v>1.01772103982205</v>
      </c>
      <c r="E3" s="10">
        <v>0.99933000000000005</v>
      </c>
      <c r="F3" s="10"/>
    </row>
    <row r="4" spans="1:6">
      <c r="A4" s="10">
        <v>3</v>
      </c>
      <c r="B4" s="10">
        <v>138</v>
      </c>
      <c r="C4" s="10">
        <v>20.3878395026838</v>
      </c>
      <c r="D4" s="10">
        <v>1.0468377177089101</v>
      </c>
      <c r="E4" s="10">
        <v>0.99944999999999995</v>
      </c>
      <c r="F4" s="10"/>
    </row>
    <row r="5" spans="1:6">
      <c r="A5" s="10">
        <v>4</v>
      </c>
      <c r="B5" s="10">
        <v>138</v>
      </c>
      <c r="C5" s="10">
        <v>20.327728547958401</v>
      </c>
      <c r="D5" s="10">
        <v>1.02830000548782</v>
      </c>
      <c r="E5" s="10">
        <v>0.99938000000000005</v>
      </c>
      <c r="F5" s="10"/>
    </row>
    <row r="6" spans="1:6">
      <c r="A6" s="10">
        <v>5</v>
      </c>
      <c r="B6" s="10">
        <v>139</v>
      </c>
      <c r="C6" s="10">
        <v>22.112464948478699</v>
      </c>
      <c r="D6" s="10">
        <v>1.0381944408392401</v>
      </c>
      <c r="E6" s="10">
        <v>0.99880999999999998</v>
      </c>
      <c r="F6" s="10"/>
    </row>
    <row r="7" spans="1:6">
      <c r="A7" s="10">
        <v>6</v>
      </c>
      <c r="B7" s="10">
        <v>139</v>
      </c>
      <c r="C7" s="10">
        <v>22.002513997491299</v>
      </c>
      <c r="D7" s="10">
        <v>0.98757331343953703</v>
      </c>
      <c r="E7" s="10">
        <v>0.99922999999999995</v>
      </c>
      <c r="F7" s="10"/>
    </row>
    <row r="8" spans="1:6">
      <c r="A8" s="10">
        <v>7</v>
      </c>
      <c r="B8" s="10">
        <v>139</v>
      </c>
      <c r="C8" s="10">
        <v>22.140681048376699</v>
      </c>
      <c r="D8" s="10">
        <v>1.0276911280124901</v>
      </c>
      <c r="E8" s="10">
        <v>0.99899000000000004</v>
      </c>
      <c r="F8" s="10"/>
    </row>
    <row r="9" spans="1:6">
      <c r="A9" s="10">
        <v>8</v>
      </c>
      <c r="B9" s="10">
        <v>139</v>
      </c>
      <c r="C9" s="10">
        <v>21.953771025657701</v>
      </c>
      <c r="D9" s="10">
        <v>0.98805928794421105</v>
      </c>
      <c r="E9" s="10">
        <v>0.99922</v>
      </c>
      <c r="F9" s="10"/>
    </row>
    <row r="10" spans="1:6">
      <c r="A10" s="10">
        <v>9</v>
      </c>
      <c r="B10" s="10">
        <v>140</v>
      </c>
      <c r="C10" s="10">
        <v>22.042588035057999</v>
      </c>
      <c r="D10" s="10">
        <v>0.95416431611783803</v>
      </c>
      <c r="E10" s="10">
        <v>0.99944</v>
      </c>
      <c r="F10" s="10"/>
    </row>
    <row r="11" spans="1:6">
      <c r="A11" s="10">
        <v>10</v>
      </c>
      <c r="B11" s="10">
        <v>140</v>
      </c>
      <c r="C11" s="10">
        <v>22.156899341686501</v>
      </c>
      <c r="D11" s="10">
        <v>1.0403249539473001</v>
      </c>
      <c r="E11" s="10">
        <v>0.99882000000000004</v>
      </c>
      <c r="F11" s="10"/>
    </row>
    <row r="12" spans="1:6">
      <c r="A12" s="10">
        <v>11</v>
      </c>
      <c r="B12" s="10">
        <v>140</v>
      </c>
      <c r="C12" s="10">
        <v>22.1071761762148</v>
      </c>
      <c r="D12" s="10">
        <v>1.0254543987118001</v>
      </c>
      <c r="E12" s="10">
        <v>0.99887999999999999</v>
      </c>
      <c r="F12" s="10"/>
    </row>
    <row r="13" spans="1:6">
      <c r="A13" s="10">
        <v>12</v>
      </c>
      <c r="B13" s="10">
        <v>140</v>
      </c>
      <c r="C13" s="10">
        <v>22.139662171889199</v>
      </c>
      <c r="D13" s="10">
        <v>1.0244465045229401</v>
      </c>
      <c r="E13" s="10">
        <v>0.99885999999999997</v>
      </c>
      <c r="F13" s="10"/>
    </row>
    <row r="14" spans="1:6">
      <c r="A14" s="10">
        <v>13</v>
      </c>
      <c r="B14" s="10">
        <v>141</v>
      </c>
      <c r="C14" s="10">
        <v>24.191237471182401</v>
      </c>
      <c r="D14" s="10">
        <v>0.96857750365856299</v>
      </c>
      <c r="E14" s="10">
        <v>0.99951000000000001</v>
      </c>
      <c r="F14" s="10"/>
    </row>
    <row r="15" spans="1:6">
      <c r="A15" s="10">
        <v>14</v>
      </c>
      <c r="B15" s="10">
        <v>141</v>
      </c>
      <c r="C15" s="10">
        <v>24.121901261361</v>
      </c>
      <c r="D15" s="10">
        <v>0.982862505680972</v>
      </c>
      <c r="E15" s="10">
        <v>0.99924999999999997</v>
      </c>
      <c r="F15" s="10"/>
    </row>
    <row r="16" spans="1:6">
      <c r="A16" s="10">
        <v>15</v>
      </c>
      <c r="B16" s="10">
        <v>141</v>
      </c>
      <c r="C16" s="10">
        <v>24.152422560866501</v>
      </c>
      <c r="D16" s="10">
        <v>0.96615702314608098</v>
      </c>
      <c r="E16" s="10">
        <v>0.99946999999999997</v>
      </c>
      <c r="F16" s="10"/>
    </row>
    <row r="17" spans="1:6">
      <c r="A17" s="10">
        <v>16</v>
      </c>
      <c r="B17" s="10">
        <v>141</v>
      </c>
      <c r="C17" s="10">
        <v>24.103272888351</v>
      </c>
      <c r="D17" s="10">
        <v>0.94932603909270896</v>
      </c>
      <c r="E17" s="10">
        <v>0.99951000000000001</v>
      </c>
      <c r="F17" s="10"/>
    </row>
    <row r="18" spans="1:6">
      <c r="A18" s="10">
        <v>17</v>
      </c>
      <c r="B18" s="10">
        <v>142</v>
      </c>
      <c r="C18" s="10">
        <v>24.179415212163899</v>
      </c>
      <c r="D18" s="10">
        <v>1.01174174637812</v>
      </c>
      <c r="E18" s="10">
        <v>0.99929000000000001</v>
      </c>
      <c r="F18" s="10"/>
    </row>
    <row r="19" spans="1:6">
      <c r="A19" s="10">
        <v>18</v>
      </c>
      <c r="B19" s="10">
        <v>142</v>
      </c>
      <c r="C19" s="10">
        <v>35.7201386974209</v>
      </c>
      <c r="D19" s="10">
        <v>0.76501559685685605</v>
      </c>
      <c r="E19" s="10">
        <v>0.99800999999999995</v>
      </c>
      <c r="F19" s="10"/>
    </row>
    <row r="20" spans="1:6">
      <c r="A20" s="10">
        <v>19</v>
      </c>
      <c r="B20" s="10">
        <v>142</v>
      </c>
      <c r="C20" s="10">
        <v>24.0822053177654</v>
      </c>
      <c r="D20" s="10">
        <v>0.982303629597154</v>
      </c>
      <c r="E20" s="10">
        <v>0.99934999999999996</v>
      </c>
      <c r="F20" s="10"/>
    </row>
    <row r="21" spans="1:6">
      <c r="A21" s="10">
        <v>20</v>
      </c>
      <c r="B21" s="10">
        <v>142</v>
      </c>
      <c r="C21" s="10">
        <v>24.231985021963801</v>
      </c>
      <c r="D21" s="10">
        <v>0.99907616875448202</v>
      </c>
      <c r="E21" s="10">
        <v>0.99929000000000001</v>
      </c>
      <c r="F21" s="10"/>
    </row>
    <row r="22" spans="1:6">
      <c r="A22" s="10">
        <v>21</v>
      </c>
      <c r="B22" s="10">
        <v>143</v>
      </c>
      <c r="C22" s="10">
        <v>21.2680621209931</v>
      </c>
      <c r="D22" s="10">
        <v>0.97119490332038005</v>
      </c>
      <c r="E22" s="10">
        <v>0.99944999999999995</v>
      </c>
      <c r="F22" s="10"/>
    </row>
    <row r="23" spans="1:6">
      <c r="A23" s="10">
        <v>22</v>
      </c>
      <c r="B23" s="10">
        <v>143</v>
      </c>
      <c r="C23" s="10">
        <v>21.171082438068002</v>
      </c>
      <c r="D23" s="10">
        <v>0.945855275192796</v>
      </c>
      <c r="E23" s="10">
        <v>0.99955000000000005</v>
      </c>
      <c r="F23" s="10"/>
    </row>
    <row r="24" spans="1:6">
      <c r="A24" s="10">
        <v>23</v>
      </c>
      <c r="B24" s="10">
        <v>143</v>
      </c>
      <c r="C24" s="10">
        <v>21.2549334679243</v>
      </c>
      <c r="D24" s="10">
        <v>0.97839666362057298</v>
      </c>
      <c r="E24" s="10">
        <v>0.99941999999999998</v>
      </c>
      <c r="F24" s="10"/>
    </row>
    <row r="25" spans="1:6">
      <c r="A25" s="10">
        <v>24</v>
      </c>
      <c r="B25" s="10">
        <v>143</v>
      </c>
      <c r="C25" s="10">
        <v>21.234037795231</v>
      </c>
      <c r="D25" s="10">
        <v>0.94948645562947098</v>
      </c>
      <c r="E25" s="10">
        <v>0.99960000000000004</v>
      </c>
      <c r="F25" s="10"/>
    </row>
    <row r="26" spans="1:6">
      <c r="A26" s="10">
        <v>25</v>
      </c>
      <c r="B26" s="10">
        <v>144</v>
      </c>
      <c r="C26" s="10">
        <v>23.155678630511499</v>
      </c>
      <c r="D26" s="10">
        <v>0.96358107335827803</v>
      </c>
      <c r="E26" s="10">
        <v>0.99961</v>
      </c>
      <c r="F26" s="10"/>
    </row>
    <row r="27" spans="1:6">
      <c r="A27" s="10">
        <v>26</v>
      </c>
      <c r="B27" s="10">
        <v>144</v>
      </c>
      <c r="C27" s="10">
        <v>23.125971299168299</v>
      </c>
      <c r="D27" s="10">
        <v>0.94211651586831402</v>
      </c>
      <c r="E27" s="10">
        <v>0.99958000000000002</v>
      </c>
      <c r="F27" s="10"/>
    </row>
    <row r="28" spans="1:6">
      <c r="A28" s="10">
        <v>27</v>
      </c>
      <c r="B28" s="10">
        <v>144</v>
      </c>
      <c r="C28" s="10">
        <v>23.185809155552999</v>
      </c>
      <c r="D28" s="10">
        <v>0.99975181097806898</v>
      </c>
      <c r="E28" s="10">
        <v>0.99922999999999995</v>
      </c>
      <c r="F28" s="10"/>
    </row>
    <row r="29" spans="1:6">
      <c r="A29" s="10">
        <v>28</v>
      </c>
      <c r="B29" s="10">
        <v>144</v>
      </c>
      <c r="C29" s="10">
        <v>23.1212182209517</v>
      </c>
      <c r="D29" s="10">
        <v>0.94205372545133603</v>
      </c>
      <c r="E29" s="10">
        <v>0.99956</v>
      </c>
      <c r="F29" s="10"/>
    </row>
    <row r="30" spans="1:6">
      <c r="A30" s="10">
        <v>29</v>
      </c>
      <c r="B30" s="10">
        <v>145</v>
      </c>
      <c r="C30" s="10">
        <v>25.004096992544</v>
      </c>
      <c r="D30" s="10">
        <v>1.0103141221051199</v>
      </c>
      <c r="E30" s="10">
        <v>0.99924999999999997</v>
      </c>
      <c r="F30" s="10"/>
    </row>
    <row r="31" spans="1:6">
      <c r="A31" s="10">
        <v>30</v>
      </c>
      <c r="B31" s="10">
        <v>145</v>
      </c>
      <c r="C31" s="10">
        <v>24.765224026838101</v>
      </c>
      <c r="D31" s="10">
        <v>1.0205572092866599</v>
      </c>
      <c r="E31" s="10">
        <v>0.99914999999999998</v>
      </c>
      <c r="F31" s="10"/>
    </row>
    <row r="32" spans="1:6">
      <c r="A32" s="10">
        <v>31</v>
      </c>
      <c r="B32" s="10">
        <v>145</v>
      </c>
      <c r="C32" s="10">
        <v>24.8516867642529</v>
      </c>
      <c r="D32" s="10">
        <v>1.0458751698342099</v>
      </c>
      <c r="E32" s="10">
        <v>0.99875000000000003</v>
      </c>
      <c r="F32" s="10"/>
    </row>
    <row r="33" spans="1:6">
      <c r="A33" s="10">
        <v>32</v>
      </c>
      <c r="B33" s="10">
        <v>145</v>
      </c>
      <c r="C33" s="10">
        <v>24.7200057466201</v>
      </c>
      <c r="D33" s="10">
        <v>1.04247617499477</v>
      </c>
      <c r="E33" s="10">
        <v>0.99902000000000002</v>
      </c>
      <c r="F33" s="10"/>
    </row>
    <row r="34" spans="1:6">
      <c r="A34" s="10">
        <v>33</v>
      </c>
      <c r="B34" s="10">
        <v>146</v>
      </c>
      <c r="C34" s="10">
        <v>-1</v>
      </c>
      <c r="D34" s="10">
        <v>-1</v>
      </c>
      <c r="E34" s="10"/>
      <c r="F34" s="10" t="s">
        <v>6</v>
      </c>
    </row>
    <row r="35" spans="1:6">
      <c r="A35" s="10">
        <v>34</v>
      </c>
      <c r="B35" s="10">
        <v>146</v>
      </c>
      <c r="C35" s="10">
        <v>-1</v>
      </c>
      <c r="D35" s="10">
        <v>-1</v>
      </c>
      <c r="E35" s="10"/>
      <c r="F35" s="10" t="s">
        <v>6</v>
      </c>
    </row>
    <row r="36" spans="1:6">
      <c r="A36" s="10">
        <v>35</v>
      </c>
      <c r="B36" s="10">
        <v>146</v>
      </c>
      <c r="C36" s="10">
        <v>35.820408247952201</v>
      </c>
      <c r="D36" s="10">
        <v>0.70599232786042199</v>
      </c>
      <c r="E36" s="10">
        <v>0.99268000000000001</v>
      </c>
      <c r="F36" s="10"/>
    </row>
    <row r="37" spans="1:6">
      <c r="A37" s="10">
        <v>36</v>
      </c>
      <c r="B37" s="10">
        <v>146</v>
      </c>
      <c r="C37" s="10">
        <v>35.891205108871503</v>
      </c>
      <c r="D37" s="10">
        <v>0.76827580341509105</v>
      </c>
      <c r="E37" s="10">
        <v>0.99444999999999995</v>
      </c>
      <c r="F37" s="10"/>
    </row>
    <row r="38" spans="1:6">
      <c r="A38" s="10">
        <v>37</v>
      </c>
      <c r="B38" s="10">
        <v>147</v>
      </c>
      <c r="C38" s="10">
        <v>36.5637701088352</v>
      </c>
      <c r="D38" s="10">
        <v>0.67215147480449899</v>
      </c>
      <c r="E38" s="10">
        <v>0.98933000000000004</v>
      </c>
      <c r="F38" s="10"/>
    </row>
    <row r="39" spans="1:6">
      <c r="A39" s="10">
        <v>38</v>
      </c>
      <c r="B39" s="10">
        <v>147</v>
      </c>
      <c r="C39" s="10">
        <v>36.259874675905202</v>
      </c>
      <c r="D39" s="10">
        <v>0.73450459354646302</v>
      </c>
      <c r="E39" s="10">
        <v>0.99309000000000003</v>
      </c>
      <c r="F39" s="10"/>
    </row>
    <row r="40" spans="1:6">
      <c r="A40" s="10">
        <v>39</v>
      </c>
      <c r="B40" s="10">
        <v>147</v>
      </c>
      <c r="C40" s="10">
        <v>36.603486645651003</v>
      </c>
      <c r="D40" s="10">
        <v>0.68646211917920796</v>
      </c>
      <c r="E40" s="10">
        <v>0.99129999999999996</v>
      </c>
      <c r="F40" s="10"/>
    </row>
    <row r="41" spans="1:6">
      <c r="A41" s="10">
        <v>40</v>
      </c>
      <c r="B41" s="10">
        <v>147</v>
      </c>
      <c r="C41" s="10">
        <v>-1</v>
      </c>
      <c r="D41" s="10">
        <v>-1</v>
      </c>
      <c r="E41" s="10"/>
      <c r="F41" s="10" t="s">
        <v>6</v>
      </c>
    </row>
    <row r="42" spans="1:6">
      <c r="A42" s="10">
        <v>41</v>
      </c>
      <c r="B42" s="10" t="s">
        <v>7</v>
      </c>
      <c r="C42" s="10">
        <v>35.416260315250199</v>
      </c>
      <c r="D42" s="10">
        <v>0.56436443672385295</v>
      </c>
      <c r="E42" s="10">
        <v>0.99836999999999998</v>
      </c>
      <c r="F42" s="10"/>
    </row>
    <row r="43" spans="1:6">
      <c r="A43" s="10">
        <v>42</v>
      </c>
      <c r="B43" s="10" t="s">
        <v>7</v>
      </c>
      <c r="C43" s="10">
        <v>35.037628313516599</v>
      </c>
      <c r="D43" s="10">
        <v>0.62726879374103595</v>
      </c>
      <c r="E43" s="10">
        <v>0.99890999999999996</v>
      </c>
      <c r="F43" s="10"/>
    </row>
    <row r="44" spans="1:6">
      <c r="A44" s="10">
        <v>43</v>
      </c>
      <c r="B44" s="10" t="s">
        <v>7</v>
      </c>
      <c r="C44" s="10">
        <v>33.386958537871898</v>
      </c>
      <c r="D44" s="10">
        <v>0.75138691743119601</v>
      </c>
      <c r="E44" s="10">
        <v>0.99919000000000002</v>
      </c>
      <c r="F44" s="10"/>
    </row>
    <row r="45" spans="1:6">
      <c r="A45" s="10">
        <v>44</v>
      </c>
      <c r="B45" s="10" t="s">
        <v>7</v>
      </c>
      <c r="C45" s="10">
        <v>33.215348525157999</v>
      </c>
      <c r="D45" s="10">
        <v>0.72576330605303996</v>
      </c>
      <c r="E45" s="10">
        <v>0.99951999999999996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36.920218516177201</v>
      </c>
      <c r="D48" s="10">
        <v>0.48428966597855799</v>
      </c>
      <c r="E48" s="10">
        <v>0.96606999999999998</v>
      </c>
      <c r="F48" s="10"/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138</v>
      </c>
      <c r="B2">
        <f>IF('177T'!C2="", "", '177T'!C2)</f>
        <v>22.573619516932101</v>
      </c>
      <c r="C2">
        <f>IF('18S2'!C2="", "", '18S2'!C2)</f>
        <v>21.1907675437436</v>
      </c>
      <c r="D2">
        <f>IF(RNAseP!C2="", "", RNAseP!C2)</f>
        <v>20.3134244456764</v>
      </c>
      <c r="E2" s="3" t="str">
        <f>IF(B2=-1, "-1", IF(B2&lt;VLOOKUP("177T", Cutoff!$A$1:$B$4, 2, FALSE), "1", "0"))</f>
        <v>1</v>
      </c>
      <c r="F2" s="3" t="str">
        <f>IF(C2=-1, "-1", IF(C2&lt;VLOOKUP("18S2", Cutoff!$A$1:$B$4, 2, FALSE), "1", "0"))</f>
        <v>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P</v>
      </c>
      <c r="I2" t="str" cm="1">
        <f t="array" ref="I2">INDEX(Decision!$E$1:$E$28, MATCH(E2&amp;F2&amp;G2, Decision!$A$1:$A$28&amp;Decision!$B$1:$B$28&amp;Decision!$C$1:$C$28, 0))</f>
        <v>TNA case</v>
      </c>
    </row>
    <row r="3" spans="1:9">
      <c r="A3">
        <f>IF(AND('177T'!B3 = '18S2'!B3, '177T'!B3 = RNAseP!B3, '177T'!B3 &lt;&gt; ""), '177T'!B3, IF('177T'!B3 = "", "", "Mismatch"))</f>
        <v>138</v>
      </c>
      <c r="B3">
        <f>IF('177T'!C3="", "", '177T'!C3)</f>
        <v>22.744410386888202</v>
      </c>
      <c r="C3">
        <f>IF('18S2'!C3="", "", '18S2'!C3)</f>
        <v>21.293891478379201</v>
      </c>
      <c r="D3">
        <f>IF(RNAseP!C3="", "", RNAseP!C3)</f>
        <v>20.330615800777299</v>
      </c>
      <c r="E3" s="3" t="str">
        <f>IF(B3=-1, "-1", IF(B3&lt;VLOOKUP("177T", Cutoff!$A$1:$B$4, 2, FALSE), "1", "0"))</f>
        <v>1</v>
      </c>
      <c r="F3" s="3" t="str">
        <f>IF(C3=-1, "-1", IF(C3&lt;VLOOKUP("18S2", Cutoff!$A$1:$B$4, 2, FALSE), "1", "0"))</f>
        <v>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P</v>
      </c>
      <c r="I3" t="str" cm="1">
        <f t="array" ref="I3">INDEX(Decision!$E$1:$E$28, MATCH(E3&amp;F3&amp;G3, Decision!$A$1:$A$28&amp;Decision!$B$1:$B$28&amp;Decision!$C$1:$C$28, 0))</f>
        <v>TNA case</v>
      </c>
    </row>
    <row r="4" spans="1:9">
      <c r="A4">
        <f>IF(AND('177T'!B4 = '18S2'!B4, '177T'!B4 = RNAseP!B4, '177T'!B4 &lt;&gt; ""), '177T'!B4, IF('177T'!B4 = "", "", "Mismatch"))</f>
        <v>138</v>
      </c>
      <c r="B4">
        <f>IF('177T'!C4="", "", '177T'!C4)</f>
        <v>22.995767803398198</v>
      </c>
      <c r="C4">
        <f>IF('18S2'!C4="", "", '18S2'!C4)</f>
        <v>21.305859543477599</v>
      </c>
      <c r="D4">
        <f>IF(RNAseP!C4="", "", RNAseP!C4)</f>
        <v>20.3878395026838</v>
      </c>
      <c r="E4" s="3" t="str">
        <f>IF(B4=-1, "-1", IF(B4&lt;VLOOKUP("177T", Cutoff!$A$1:$B$4, 2, FALSE), "1", "0"))</f>
        <v>1</v>
      </c>
      <c r="F4" s="3" t="str">
        <f>IF(C4=-1, "-1", IF(C4&lt;VLOOKUP("18S2", Cutoff!$A$1:$B$4, 2, FALSE), "1", "0"))</f>
        <v>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P</v>
      </c>
      <c r="I4" t="str" cm="1">
        <f t="array" ref="I4">INDEX(Decision!$E$1:$E$28, MATCH(E4&amp;F4&amp;G4, Decision!$A$1:$A$28&amp;Decision!$B$1:$B$28&amp;Decision!$C$1:$C$28, 0))</f>
        <v>TNA case</v>
      </c>
    </row>
    <row r="5" spans="1:9">
      <c r="A5">
        <f>IF(AND('177T'!B5 = '18S2'!B5, '177T'!B5 = RNAseP!B5, '177T'!B5 &lt;&gt; ""), '177T'!B5, IF('177T'!B5 = "", "", "Mismatch"))</f>
        <v>138</v>
      </c>
      <c r="B5">
        <f>IF('177T'!C5="", "", '177T'!C5)</f>
        <v>22.835614151835699</v>
      </c>
      <c r="C5">
        <f>IF('18S2'!C5="", "", '18S2'!C5)</f>
        <v>21.269290671244502</v>
      </c>
      <c r="D5">
        <f>IF(RNAseP!C5="", "", RNAseP!C5)</f>
        <v>20.327728547958401</v>
      </c>
      <c r="E5" s="3" t="str">
        <f>IF(B5=-1, "-1", IF(B5&lt;VLOOKUP("177T", Cutoff!$A$1:$B$4, 2, FALSE), "1", "0"))</f>
        <v>1</v>
      </c>
      <c r="F5" s="3" t="str">
        <f>IF(C5=-1, "-1", IF(C5&lt;VLOOKUP("18S2", Cutoff!$A$1:$B$4, 2, FALSE), "1", "0"))</f>
        <v>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P</v>
      </c>
      <c r="I5" t="str" cm="1">
        <f t="array" ref="I5">INDEX(Decision!$E$1:$E$28, MATCH(E5&amp;F5&amp;G5, Decision!$A$1:$A$28&amp;Decision!$B$1:$B$28&amp;Decision!$C$1:$C$28, 0))</f>
        <v>TNA case</v>
      </c>
    </row>
    <row r="6" spans="1:9">
      <c r="A6">
        <f>IF(AND('177T'!B6 = '18S2'!B6, '177T'!B6 = RNAseP!B6, '177T'!B6 &lt;&gt; ""), '177T'!B6, IF('177T'!B6 = "", "", "Mismatch"))</f>
        <v>139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22.112464948478699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139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22.002513997491299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139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22.140681048376699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139</v>
      </c>
      <c r="B9">
        <f>IF('177T'!C9="", "", '177T'!C9)</f>
        <v>-1</v>
      </c>
      <c r="C9">
        <f>IF('18S2'!C9="", "", '18S2'!C9)</f>
        <v>-1</v>
      </c>
      <c r="D9">
        <f>IF(RNAseP!C9="", "", RNAseP!C9)</f>
        <v>21.953771025657701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140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22.042588035057999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140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22.156899341686501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140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22.1071761762148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140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22.139662171889199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141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24.191237471182401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141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24.121901261361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141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24.152422560866501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141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24.103272888351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142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24.179415212163899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142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35.7201386974209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0</v>
      </c>
      <c r="H19" s="3" t="str" cm="1">
        <f t="array" ref="H19">INDEX(Decision!$D$1:$D$28, MATCH(E19&amp;F19&amp;G19, Decision!$A$1:$A$28&amp;Decision!$B$1:$B$28&amp;Decision!$C$1:$C$28, 0))</f>
        <v>F</v>
      </c>
      <c r="I19" t="str" cm="1">
        <f t="array" ref="I19">INDEX(Decision!$E$1:$E$28, MATCH(E19&amp;F19&amp;G19, Decision!$A$1:$A$28&amp;Decision!$B$1:$B$28&amp;Decision!$C$1:$C$28, 0))</f>
        <v>low human DNA</v>
      </c>
    </row>
    <row r="20" spans="1:9">
      <c r="A20">
        <f>IF(AND('177T'!B20 = '18S2'!B20, '177T'!B20 = RNAseP!B20, '177T'!B20 &lt;&gt; ""), '177T'!B20, IF('177T'!B20 = "", "", "Mismatch"))</f>
        <v>142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24.0822053177654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142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24.231985021963801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143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21.2680621209931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143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21.171082438068002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143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21.2549334679243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143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21.234037795231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144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23.155678630511499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144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23.125971299168299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144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23.185809155552999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144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23.1212182209517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145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25.004096992544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145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24.765224026838101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145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24.8516867642529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145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24.7200057466201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146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-1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-1</v>
      </c>
      <c r="H34" s="3" t="str" cm="1">
        <f t="array" ref="H34">INDEX(Decision!$D$1:$D$28, MATCH(E34&amp;F34&amp;G34, Decision!$A$1:$A$28&amp;Decision!$B$1:$B$28&amp;Decision!$C$1:$C$28, 0))</f>
        <v>F</v>
      </c>
      <c r="I34" t="str" cm="1">
        <f t="array" ref="I34">INDEX(Decision!$E$1:$E$28, MATCH(E34&amp;F34&amp;G34, Decision!$A$1:$A$28&amp;Decision!$B$1:$B$28&amp;Decision!$C$1:$C$28, 0))</f>
        <v>extraction fail</v>
      </c>
    </row>
    <row r="35" spans="1:9">
      <c r="A35">
        <f>IF(AND('177T'!B35 = '18S2'!B35, '177T'!B35 = RNAseP!B35, '177T'!B35 &lt;&gt; ""), '177T'!B35, IF('177T'!B35 = "", "", "Mismatch"))</f>
        <v>146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-1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-1</v>
      </c>
      <c r="H35" s="3" t="str" cm="1">
        <f t="array" ref="H35">INDEX(Decision!$D$1:$D$28, MATCH(E35&amp;F35&amp;G35, Decision!$A$1:$A$28&amp;Decision!$B$1:$B$28&amp;Decision!$C$1:$C$28, 0))</f>
        <v>F</v>
      </c>
      <c r="I35" t="str" cm="1">
        <f t="array" ref="I35">INDEX(Decision!$E$1:$E$28, MATCH(E35&amp;F35&amp;G35, Decision!$A$1:$A$28&amp;Decision!$B$1:$B$28&amp;Decision!$C$1:$C$28, 0))</f>
        <v>extraction fail</v>
      </c>
    </row>
    <row r="36" spans="1:9">
      <c r="A36">
        <f>IF(AND('177T'!B36 = '18S2'!B36, '177T'!B36 = RNAseP!B36, '177T'!B36 &lt;&gt; ""), '177T'!B36, IF('177T'!B36 = "", "", "Mismatch"))</f>
        <v>146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35.820408247952201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0</v>
      </c>
      <c r="H36" s="3" t="str" cm="1">
        <f t="array" ref="H36">INDEX(Decision!$D$1:$D$28, MATCH(E36&amp;F36&amp;G36, Decision!$A$1:$A$28&amp;Decision!$B$1:$B$28&amp;Decision!$C$1:$C$28, 0))</f>
        <v>F</v>
      </c>
      <c r="I36" t="str" cm="1">
        <f t="array" ref="I36">INDEX(Decision!$E$1:$E$28, MATCH(E36&amp;F36&amp;G36, Decision!$A$1:$A$28&amp;Decision!$B$1:$B$28&amp;Decision!$C$1:$C$28, 0))</f>
        <v>low human DNA</v>
      </c>
    </row>
    <row r="37" spans="1:9">
      <c r="A37">
        <f>IF(AND('177T'!B37 = '18S2'!B37, '177T'!B37 = RNAseP!B37, '177T'!B37 &lt;&gt; ""), '177T'!B37, IF('177T'!B37 = "", "", "Mismatch"))</f>
        <v>146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35.891205108871503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0</v>
      </c>
      <c r="H37" s="3" t="str" cm="1">
        <f t="array" ref="H37">INDEX(Decision!$D$1:$D$28, MATCH(E37&amp;F37&amp;G37, Decision!$A$1:$A$28&amp;Decision!$B$1:$B$28&amp;Decision!$C$1:$C$28, 0))</f>
        <v>F</v>
      </c>
      <c r="I37" t="str" cm="1">
        <f t="array" ref="I37">INDEX(Decision!$E$1:$E$28, MATCH(E37&amp;F37&amp;G37, Decision!$A$1:$A$28&amp;Decision!$B$1:$B$28&amp;Decision!$C$1:$C$28, 0))</f>
        <v>low human DNA</v>
      </c>
    </row>
    <row r="38" spans="1:9">
      <c r="A38">
        <f>IF(AND('177T'!B38 = '18S2'!B38, '177T'!B38 = RNAseP!B38, '177T'!B38 &lt;&gt; ""), '177T'!B38, IF('177T'!B38 = "", "", "Mismatch"))</f>
        <v>147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36.5637701088352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0</v>
      </c>
      <c r="H38" s="3" t="str" cm="1">
        <f t="array" ref="H38">INDEX(Decision!$D$1:$D$28, MATCH(E38&amp;F38&amp;G38, Decision!$A$1:$A$28&amp;Decision!$B$1:$B$28&amp;Decision!$C$1:$C$28, 0))</f>
        <v>F</v>
      </c>
      <c r="I38" t="str" cm="1">
        <f t="array" ref="I38">INDEX(Decision!$E$1:$E$28, MATCH(E38&amp;F38&amp;G38, Decision!$A$1:$A$28&amp;Decision!$B$1:$B$28&amp;Decision!$C$1:$C$28, 0))</f>
        <v>low human DNA</v>
      </c>
    </row>
    <row r="39" spans="1:9">
      <c r="A39">
        <f>IF(AND('177T'!B39 = '18S2'!B39, '177T'!B39 = RNAseP!B39, '177T'!B39 &lt;&gt; ""), '177T'!B39, IF('177T'!B39 = "", "", "Mismatch"))</f>
        <v>147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36.259874675905202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0</v>
      </c>
      <c r="H39" s="3" t="str" cm="1">
        <f t="array" ref="H39">INDEX(Decision!$D$1:$D$28, MATCH(E39&amp;F39&amp;G39, Decision!$A$1:$A$28&amp;Decision!$B$1:$B$28&amp;Decision!$C$1:$C$28, 0))</f>
        <v>F</v>
      </c>
      <c r="I39" t="str" cm="1">
        <f t="array" ref="I39">INDEX(Decision!$E$1:$E$28, MATCH(E39&amp;F39&amp;G39, Decision!$A$1:$A$28&amp;Decision!$B$1:$B$28&amp;Decision!$C$1:$C$28, 0))</f>
        <v>low human DNA</v>
      </c>
    </row>
    <row r="40" spans="1:9">
      <c r="A40">
        <f>IF(AND('177T'!B40 = '18S2'!B40, '177T'!B40 = RNAseP!B40, '177T'!B40 &lt;&gt; ""), '177T'!B40, IF('177T'!B40 = "", "", "Mismatch"))</f>
        <v>147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36.603486645651003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0</v>
      </c>
      <c r="H40" s="3" t="str" cm="1">
        <f t="array" ref="H40">INDEX(Decision!$D$1:$D$28, MATCH(E40&amp;F40&amp;G40, Decision!$A$1:$A$28&amp;Decision!$B$1:$B$28&amp;Decision!$C$1:$C$28, 0))</f>
        <v>F</v>
      </c>
      <c r="I40" t="str" cm="1">
        <f t="array" ref="I40">INDEX(Decision!$E$1:$E$28, MATCH(E40&amp;F40&amp;G40, Decision!$A$1:$A$28&amp;Decision!$B$1:$B$28&amp;Decision!$C$1:$C$28, 0))</f>
        <v>low human DNA</v>
      </c>
    </row>
    <row r="41" spans="1:9">
      <c r="A41">
        <f>IF(AND('177T'!B41 = '18S2'!B41, '177T'!B41 = RNAseP!B41, '177T'!B41 &lt;&gt; ""), '177T'!B41, IF('177T'!B41 = "", "", "Mismatch"))</f>
        <v>147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-1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-1</v>
      </c>
      <c r="H41" s="3" t="str" cm="1">
        <f t="array" ref="H41">INDEX(Decision!$D$1:$D$28, MATCH(E41&amp;F41&amp;G41, Decision!$A$1:$A$28&amp;Decision!$B$1:$B$28&amp;Decision!$C$1:$C$28, 0))</f>
        <v>F</v>
      </c>
      <c r="I41" t="str" cm="1">
        <f t="array" ref="I41">INDEX(Decision!$E$1:$E$28, MATCH(E41&amp;F41&amp;G41, Decision!$A$1:$A$28&amp;Decision!$B$1:$B$28&amp;Decision!$C$1:$C$28, 0))</f>
        <v>extraction fail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24.157742867881499</v>
      </c>
      <c r="C42">
        <f>IF('18S2'!C42="", "", '18S2'!C42)</f>
        <v>21.200978915109999</v>
      </c>
      <c r="D42">
        <f>IF(RNAseP!C42="", "", RNAseP!C42)</f>
        <v>35.416260315250199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24.7751507043019</v>
      </c>
      <c r="C43">
        <f>IF('18S2'!C43="", "", '18S2'!C43)</f>
        <v>21.1947604501418</v>
      </c>
      <c r="D43">
        <f>IF(RNAseP!C43="", "", RNAseP!C43)</f>
        <v>35.037628313516599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23.9737097241287</v>
      </c>
      <c r="C44">
        <f>IF('18S2'!C44="", "", '18S2'!C44)</f>
        <v>21.2860249876775</v>
      </c>
      <c r="D44">
        <f>IF(RNAseP!C44="", "", RNAseP!C44)</f>
        <v>33.386958537871898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24.8055894382986</v>
      </c>
      <c r="C45">
        <f>IF('18S2'!C45="", "", '18S2'!C45)</f>
        <v>21.295521323696502</v>
      </c>
      <c r="D45">
        <f>IF(RNAseP!C45="", "", RNAseP!C45)</f>
        <v>33.215348525157999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36.920218516177201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B23" sqref="B23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45909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138</v>
      </c>
      <c r="B16" s="11">
        <v>2500054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P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>22,8 +/- 0,2</v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>21,3 +/- 0,1</v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20,3 +/- 0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139</v>
      </c>
      <c r="B17" s="11">
        <v>2500065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22,1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140</v>
      </c>
      <c r="B18" s="11">
        <v>2402074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22,1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141</v>
      </c>
      <c r="B19" s="11">
        <v>2501957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24,1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142</v>
      </c>
      <c r="B20" s="11">
        <v>2501306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27,1 +/- 5,8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143</v>
      </c>
      <c r="B21" s="11">
        <v>2500008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21,2 +/- 0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144</v>
      </c>
      <c r="B22" s="11">
        <v>2500096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23,1 +/- 0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145</v>
      </c>
      <c r="B23" s="11">
        <v>2402849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24,8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146</v>
      </c>
      <c r="B24" s="11"/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F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35,9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147</v>
      </c>
      <c r="B25" s="11"/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F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36,5 +/- 0,2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24,4 +/- 0,4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21,2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34,3 +/- 1,1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36,9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138</v>
      </c>
      <c r="B2" s="3" t="str" cm="1">
        <f t="array" ref="B2">_xlfn.TEXTJOIN(", ", TRUE, IF(Analysis!$A$2:$A$82=A2, Analysis!$H$2:$H$82, ""))</f>
        <v>P, P, P, P</v>
      </c>
      <c r="C2" s="3" t="str" cm="1">
        <f t="array" ref="C2">_xlfn.TEXTJOIN(", ", TRUE, IF(Analysis!$A$2:$A$82=A2, Analysis!$I$2:$I$82, ""))</f>
        <v>TNA case, TNA case, TNA case, TNA case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P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>22,8 +/- 0,2</v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>21,3 +/- 0,1</v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20,3 +/- 0</v>
      </c>
    </row>
    <row r="3" spans="1:11">
      <c r="A3" s="3">
        <f>Report!A17</f>
        <v>139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22,1 +/- 0,1</v>
      </c>
    </row>
    <row r="4" spans="1:11">
      <c r="A4" s="3">
        <f>Report!A18</f>
        <v>140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22,1 +/- 0,1</v>
      </c>
    </row>
    <row r="5" spans="1:11">
      <c r="A5" s="3">
        <f>Report!A19</f>
        <v>141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24,1 +/- 0</v>
      </c>
    </row>
    <row r="6" spans="1:11">
      <c r="A6" s="3">
        <f>Report!A20</f>
        <v>142</v>
      </c>
      <c r="B6" s="3" t="str" cm="1">
        <f t="array" ref="B6">_xlfn.TEXTJOIN(", ", TRUE, IF(Analysis!$A$2:$A$82=A6, Analysis!$H$2:$H$82, ""))</f>
        <v>N, F, N, N</v>
      </c>
      <c r="C6" s="3" t="str" cm="1">
        <f t="array" ref="C6">_xlfn.TEXTJOIN(", ", TRUE, IF(Analysis!$A$2:$A$82=A6, Analysis!$I$2:$I$82, ""))</f>
        <v>negative, low human DNA,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27,1 +/- 5,8</v>
      </c>
    </row>
    <row r="7" spans="1:11">
      <c r="A7" s="3">
        <f>Report!A21</f>
        <v>143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21,2 +/- 0</v>
      </c>
      <c r="K7" s="4"/>
    </row>
    <row r="8" spans="1:11">
      <c r="A8" s="3">
        <f>Report!A22</f>
        <v>144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23,1 +/- 0</v>
      </c>
    </row>
    <row r="9" spans="1:11">
      <c r="A9" s="3">
        <f>Report!A23</f>
        <v>145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24,8 +/- 0,1</v>
      </c>
    </row>
    <row r="10" spans="1:11">
      <c r="A10" s="3">
        <f>Report!A24</f>
        <v>146</v>
      </c>
      <c r="B10" s="3" t="str" cm="1">
        <f t="array" ref="B10">_xlfn.TEXTJOIN(", ", TRUE, IF(Analysis!$A$2:$A$82=A10, Analysis!$H$2:$H$82, ""))</f>
        <v>F, F, F, F</v>
      </c>
      <c r="C10" s="3" t="str" cm="1">
        <f t="array" ref="C10">_xlfn.TEXTJOIN(", ", TRUE, IF(Analysis!$A$2:$A$82=A10, Analysis!$I$2:$I$82, ""))</f>
        <v>extraction fail, extraction fail, low human DNA, low human DNA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F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35,9 +/- 0,1</v>
      </c>
    </row>
    <row r="11" spans="1:11">
      <c r="A11" s="3">
        <f>Report!A25</f>
        <v>147</v>
      </c>
      <c r="B11" s="3" t="str" cm="1">
        <f t="array" ref="B11">_xlfn.TEXTJOIN(", ", TRUE, IF(Analysis!$A$2:$A$82=A11, Analysis!$H$2:$H$82, ""))</f>
        <v>F, F, F, F</v>
      </c>
      <c r="C11" s="3" t="str" cm="1">
        <f t="array" ref="C11">_xlfn.TEXTJOIN(", ", TRUE, IF(Analysis!$A$2:$A$82=A11, Analysis!$I$2:$I$82, ""))</f>
        <v>low human DNA, low human DNA, low human DNA, extraction fail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F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36,5 +/- 0,2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24,4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21,2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34,3 +/- 1,1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F, OK</v>
      </c>
      <c r="C13" s="3" t="str" cm="1">
        <f t="array" ref="C13">_xlfn.TEXTJOIN(", ", TRUE, IF(Analysis!$A$2:$A$82=A13, Analysis!$I$2:$I$82, ""))</f>
        <v>clean, clean, RNAseP,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36,9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2025-09-17T09:30:27+00:00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5EEB2C-8671-45B8-9FB4-7D215AEC6337}"/>
</file>

<file path=customXml/itemProps2.xml><?xml version="1.0" encoding="utf-8"?>
<ds:datastoreItem xmlns:ds="http://schemas.openxmlformats.org/officeDocument/2006/customXml" ds:itemID="{E4E4EAAB-62BE-4CE7-B6A4-BA8B5FDE2098}"/>
</file>

<file path=customXml/itemProps3.xml><?xml version="1.0" encoding="utf-8"?>
<ds:datastoreItem xmlns:ds="http://schemas.openxmlformats.org/officeDocument/2006/customXml" ds:itemID="{09C37165-56E4-48E2-B86B-B00DB41F61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2025-09-17T10:07:26Z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