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91F8D5A6-E9D8-4493-B40C-2A49BCA299E8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-105" yWindow="0" windowWidth="14610" windowHeight="15585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E3" i="10" a="1"/>
  <c r="E3" i="10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F3" i="10" l="1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<sst xmlns="http://schemas.openxmlformats.org/spreadsheetml/2006/main" count="419" uniqueCount="75">
  <si>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</si>
  <si>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</si>
  <si>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</si>
  <si>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</si>
  <si>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</si>
  <si>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</si>
  <si>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</si>
  <si>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</si>
  <si>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</si>
  <si>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</si>
  <si>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</si>
  <si>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</si>
  <si>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</si>
  <si>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</si>
  <si>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</si>
  <si>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</si>
  <si>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</si>
  <si>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</si>
  <si>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</si>
  <si>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</si>
  <si>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</si>
  <si>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</si>
  <si>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</si>
  <si>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</si>
  <si>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</si>
  <si>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</si>
  <si>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</si>
  <si>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</si>
  <si>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</si>
  <si>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</si>
  <si>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</si>
  <si>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</si>
  <si>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</si>
  <si>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</si>
  <si>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</si>
  <si>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</si>
  <si>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</si>
  <si>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</si>
  <si>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</si>
  <si>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</si>
  <si>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</si>
  <si>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</si>
  <si>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</si>
  <si>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</t>
  </si>
  <si>
    <t>Qrun file name</t>
  </si>
  <si>
    <t>2025-10-30 07.41.25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</si>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</sst>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333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333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333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333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334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334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334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334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335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335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335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335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336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336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336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336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337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337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337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337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338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338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338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338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339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339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339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339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340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340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340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340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341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341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341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341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342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342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342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342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24.267940898582101</v>
      </c>
      <c r="D42" s="8">
        <v>0.872508976474906</v>
      </c>
      <c r="E42" s="8">
        <v>0.99927999999999995</v>
      </c>
      <c r="F42" s="8"/>
    </row>
    <row r="43" spans="1:6">
      <c r="A43" s="8">
        <v>42</v>
      </c>
      <c r="B43" s="8" t="s">
        <v>7</v>
      </c>
      <c r="C43" s="8">
        <v>23.410595058840801</v>
      </c>
      <c r="D43" s="8">
        <v>0.84626409556242899</v>
      </c>
      <c r="E43" s="8">
        <v>0.99995000000000001</v>
      </c>
      <c r="F43" s="8"/>
    </row>
    <row r="44" spans="1:6">
      <c r="A44" s="8">
        <v>43</v>
      </c>
      <c r="B44" s="8" t="s">
        <v>7</v>
      </c>
      <c r="C44" s="8">
        <v>24.291774088482999</v>
      </c>
      <c r="D44" s="8">
        <v>0.77355136809585401</v>
      </c>
      <c r="E44" s="8">
        <v>0.99987999999999999</v>
      </c>
      <c r="F44" s="8"/>
    </row>
    <row r="45" spans="1:6">
      <c r="A45" s="8">
        <v>44</v>
      </c>
      <c r="B45" s="8" t="s">
        <v>7</v>
      </c>
      <c r="C45" s="8">
        <v>23.121234184259301</v>
      </c>
      <c r="D45" s="8">
        <v>0.91536984536046795</v>
      </c>
      <c r="E45" s="8">
        <v>0.99956999999999996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333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333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333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333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334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334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334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334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335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335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335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335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336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336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336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336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337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337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337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337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338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338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338</v>
      </c>
      <c r="C24" s="9">
        <v>38.012809003238701</v>
      </c>
      <c r="D24" s="9">
        <v>0.43101506293737102</v>
      </c>
      <c r="E24" s="9">
        <v>0.99904000000000004</v>
      </c>
      <c r="F24" s="9"/>
    </row>
    <row r="25" spans="1:6">
      <c r="A25" s="9">
        <v>24</v>
      </c>
      <c r="B25" s="9">
        <v>338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339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339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339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339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340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340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340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340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341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341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341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341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342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342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342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342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20.325170432649699</v>
      </c>
      <c r="D42" s="9">
        <v>1.03193094188587</v>
      </c>
      <c r="E42" s="9">
        <v>0.99880999999999998</v>
      </c>
      <c r="F42" s="9"/>
    </row>
    <row r="43" spans="1:6">
      <c r="A43" s="9">
        <v>42</v>
      </c>
      <c r="B43" s="9" t="s">
        <v>7</v>
      </c>
      <c r="C43" s="9">
        <v>20.012485066970498</v>
      </c>
      <c r="D43" s="9">
        <v>0.96649700431159902</v>
      </c>
      <c r="E43" s="9">
        <v>0.99895</v>
      </c>
      <c r="F43" s="9"/>
    </row>
    <row r="44" spans="1:6">
      <c r="A44" s="9">
        <v>43</v>
      </c>
      <c r="B44" s="9" t="s">
        <v>7</v>
      </c>
      <c r="C44" s="9">
        <v>20.365678261053102</v>
      </c>
      <c r="D44" s="9">
        <v>1.0111795830926</v>
      </c>
      <c r="E44" s="9">
        <v>0.99917</v>
      </c>
      <c r="F44" s="9"/>
    </row>
    <row r="45" spans="1:6">
      <c r="A45" s="9">
        <v>44</v>
      </c>
      <c r="B45" s="9" t="s">
        <v>7</v>
      </c>
      <c r="C45" s="9">
        <v>20.063150329697802</v>
      </c>
      <c r="D45" s="9">
        <v>0.96316656578516802</v>
      </c>
      <c r="E45" s="9">
        <v>0.99887999999999999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333</v>
      </c>
      <c r="C2" s="10">
        <v>24.537502067205999</v>
      </c>
      <c r="D2" s="10">
        <v>0.91969094836085996</v>
      </c>
      <c r="E2" s="10">
        <v>0.99973000000000001</v>
      </c>
      <c r="F2" s="10"/>
    </row>
    <row r="3" spans="1:6">
      <c r="A3" s="10">
        <v>2</v>
      </c>
      <c r="B3" s="10">
        <v>333</v>
      </c>
      <c r="C3" s="10">
        <v>24.476576724904302</v>
      </c>
      <c r="D3" s="10">
        <v>0.91182748143138503</v>
      </c>
      <c r="E3" s="10">
        <v>0.99977000000000005</v>
      </c>
      <c r="F3" s="10"/>
    </row>
    <row r="4" spans="1:6">
      <c r="A4" s="10">
        <v>3</v>
      </c>
      <c r="B4" s="10">
        <v>333</v>
      </c>
      <c r="C4" s="10">
        <v>25.1531617970304</v>
      </c>
      <c r="D4" s="10">
        <v>1.00982950707373</v>
      </c>
      <c r="E4" s="10">
        <v>0.99894000000000005</v>
      </c>
      <c r="F4" s="10"/>
    </row>
    <row r="5" spans="1:6">
      <c r="A5" s="10">
        <v>4</v>
      </c>
      <c r="B5" s="10">
        <v>333</v>
      </c>
      <c r="C5" s="10">
        <v>24.454057523441801</v>
      </c>
      <c r="D5" s="10">
        <v>0.938115364727649</v>
      </c>
      <c r="E5" s="10">
        <v>0.99966999999999995</v>
      </c>
      <c r="F5" s="10"/>
    </row>
    <row r="6" spans="1:6">
      <c r="A6" s="10">
        <v>5</v>
      </c>
      <c r="B6" s="10">
        <v>334</v>
      </c>
      <c r="C6" s="10">
        <v>22.1924863070405</v>
      </c>
      <c r="D6" s="10">
        <v>0.98434157496954799</v>
      </c>
      <c r="E6" s="10">
        <v>0.99909000000000003</v>
      </c>
      <c r="F6" s="10"/>
    </row>
    <row r="7" spans="1:6">
      <c r="A7" s="10">
        <v>6</v>
      </c>
      <c r="B7" s="10">
        <v>334</v>
      </c>
      <c r="C7" s="10">
        <v>22.161934739707899</v>
      </c>
      <c r="D7" s="10">
        <v>0.98559882750333205</v>
      </c>
      <c r="E7" s="10">
        <v>0.999</v>
      </c>
      <c r="F7" s="10"/>
    </row>
    <row r="8" spans="1:6">
      <c r="A8" s="10">
        <v>7</v>
      </c>
      <c r="B8" s="10">
        <v>334</v>
      </c>
      <c r="C8" s="10">
        <v>22.170065457502801</v>
      </c>
      <c r="D8" s="10">
        <v>1.01830262799697</v>
      </c>
      <c r="E8" s="10">
        <v>0.99873000000000001</v>
      </c>
      <c r="F8" s="10"/>
    </row>
    <row r="9" spans="1:6">
      <c r="A9" s="10">
        <v>8</v>
      </c>
      <c r="B9" s="10">
        <v>334</v>
      </c>
      <c r="C9" s="10">
        <v>22.144934444832799</v>
      </c>
      <c r="D9" s="10">
        <v>0.99376939812290299</v>
      </c>
      <c r="E9" s="10">
        <v>0.99892999999999998</v>
      </c>
      <c r="F9" s="10"/>
    </row>
    <row r="10" spans="1:6">
      <c r="A10" s="10">
        <v>9</v>
      </c>
      <c r="B10" s="10">
        <v>335</v>
      </c>
      <c r="C10" s="10">
        <v>24.311164399024499</v>
      </c>
      <c r="D10" s="10">
        <v>0.97630824183193898</v>
      </c>
      <c r="E10" s="10">
        <v>0.99934000000000001</v>
      </c>
      <c r="F10" s="10"/>
    </row>
    <row r="11" spans="1:6">
      <c r="A11" s="10">
        <v>10</v>
      </c>
      <c r="B11" s="10">
        <v>335</v>
      </c>
      <c r="C11" s="10">
        <v>24.245885524043501</v>
      </c>
      <c r="D11" s="10">
        <v>0.98292003228664104</v>
      </c>
      <c r="E11" s="10">
        <v>0.99904999999999999</v>
      </c>
      <c r="F11" s="10"/>
    </row>
    <row r="12" spans="1:6">
      <c r="A12" s="10">
        <v>11</v>
      </c>
      <c r="B12" s="10">
        <v>335</v>
      </c>
      <c r="C12" s="10">
        <v>24.300567675661298</v>
      </c>
      <c r="D12" s="10">
        <v>0.96931179830357395</v>
      </c>
      <c r="E12" s="10">
        <v>0.99933000000000005</v>
      </c>
      <c r="F12" s="10"/>
    </row>
    <row r="13" spans="1:6">
      <c r="A13" s="10">
        <v>12</v>
      </c>
      <c r="B13" s="10">
        <v>335</v>
      </c>
      <c r="C13" s="10">
        <v>24.239226718928901</v>
      </c>
      <c r="D13" s="10">
        <v>0.97567463779048302</v>
      </c>
      <c r="E13" s="10">
        <v>0.99919999999999998</v>
      </c>
      <c r="F13" s="10"/>
    </row>
    <row r="14" spans="1:6">
      <c r="A14" s="10">
        <v>13</v>
      </c>
      <c r="B14" s="10">
        <v>336</v>
      </c>
      <c r="C14" s="10">
        <v>25.028307583440299</v>
      </c>
      <c r="D14" s="10">
        <v>1.0094539179058699</v>
      </c>
      <c r="E14" s="10">
        <v>0.99880999999999998</v>
      </c>
      <c r="F14" s="10"/>
    </row>
    <row r="15" spans="1:6">
      <c r="A15" s="10">
        <v>14</v>
      </c>
      <c r="B15" s="10">
        <v>336</v>
      </c>
      <c r="C15" s="10">
        <v>24.892676826980601</v>
      </c>
      <c r="D15" s="10">
        <v>0.92928905064964296</v>
      </c>
      <c r="E15" s="10">
        <v>0.99953000000000003</v>
      </c>
      <c r="F15" s="10"/>
    </row>
    <row r="16" spans="1:6">
      <c r="A16" s="10">
        <v>15</v>
      </c>
      <c r="B16" s="10">
        <v>336</v>
      </c>
      <c r="C16" s="10">
        <v>24.868506159862999</v>
      </c>
      <c r="D16" s="10">
        <v>0.93951743097462703</v>
      </c>
      <c r="E16" s="10">
        <v>0.99944999999999995</v>
      </c>
      <c r="F16" s="10"/>
    </row>
    <row r="17" spans="1:6">
      <c r="A17" s="10">
        <v>16</v>
      </c>
      <c r="B17" s="10">
        <v>336</v>
      </c>
      <c r="C17" s="10">
        <v>24.949439456294201</v>
      </c>
      <c r="D17" s="10">
        <v>1.0041068069377299</v>
      </c>
      <c r="E17" s="10">
        <v>0.99880000000000002</v>
      </c>
      <c r="F17" s="10"/>
    </row>
    <row r="18" spans="1:6">
      <c r="A18" s="10">
        <v>17</v>
      </c>
      <c r="B18" s="10">
        <v>337</v>
      </c>
      <c r="C18" s="10">
        <v>26.879678232123101</v>
      </c>
      <c r="D18" s="10">
        <v>1.0116791048848699</v>
      </c>
      <c r="E18" s="10">
        <v>0.99880999999999998</v>
      </c>
      <c r="F18" s="10"/>
    </row>
    <row r="19" spans="1:6">
      <c r="A19" s="10">
        <v>18</v>
      </c>
      <c r="B19" s="10">
        <v>337</v>
      </c>
      <c r="C19" s="10">
        <v>26.274316406933998</v>
      </c>
      <c r="D19" s="10">
        <v>0.95135553002338702</v>
      </c>
      <c r="E19" s="10">
        <v>0.99951999999999996</v>
      </c>
      <c r="F19" s="10"/>
    </row>
    <row r="20" spans="1:6">
      <c r="A20" s="10">
        <v>19</v>
      </c>
      <c r="B20" s="10">
        <v>337</v>
      </c>
      <c r="C20" s="10">
        <v>26.2816775785803</v>
      </c>
      <c r="D20" s="10">
        <v>0.95650629262429898</v>
      </c>
      <c r="E20" s="10">
        <v>0.99941000000000002</v>
      </c>
      <c r="F20" s="10"/>
    </row>
    <row r="21" spans="1:6">
      <c r="A21" s="10">
        <v>20</v>
      </c>
      <c r="B21" s="10">
        <v>337</v>
      </c>
      <c r="C21" s="10">
        <v>26.1908781329413</v>
      </c>
      <c r="D21" s="10">
        <v>1.0209169129191999</v>
      </c>
      <c r="E21" s="10">
        <v>0.99870999999999999</v>
      </c>
      <c r="F21" s="10"/>
    </row>
    <row r="22" spans="1:6">
      <c r="A22" s="10">
        <v>21</v>
      </c>
      <c r="B22" s="10">
        <v>338</v>
      </c>
      <c r="C22" s="10">
        <v>22.552983297080701</v>
      </c>
      <c r="D22" s="10">
        <v>0.96037232740246004</v>
      </c>
      <c r="E22" s="10">
        <v>0.99955000000000005</v>
      </c>
      <c r="F22" s="10"/>
    </row>
    <row r="23" spans="1:6">
      <c r="A23" s="10">
        <v>22</v>
      </c>
      <c r="B23" s="10">
        <v>338</v>
      </c>
      <c r="C23" s="10">
        <v>22.5181773717227</v>
      </c>
      <c r="D23" s="10">
        <v>0.94037249810293899</v>
      </c>
      <c r="E23" s="10">
        <v>0.99963999999999997</v>
      </c>
      <c r="F23" s="10"/>
    </row>
    <row r="24" spans="1:6">
      <c r="A24" s="10">
        <v>23</v>
      </c>
      <c r="B24" s="10">
        <v>338</v>
      </c>
      <c r="C24" s="10">
        <v>22.465341923781398</v>
      </c>
      <c r="D24" s="10">
        <v>0.95505918038576199</v>
      </c>
      <c r="E24" s="10">
        <v>0.99956</v>
      </c>
      <c r="F24" s="10"/>
    </row>
    <row r="25" spans="1:6">
      <c r="A25" s="10">
        <v>24</v>
      </c>
      <c r="B25" s="10">
        <v>338</v>
      </c>
      <c r="C25" s="10">
        <v>22.443782134471199</v>
      </c>
      <c r="D25" s="10">
        <v>0.93371821136872502</v>
      </c>
      <c r="E25" s="10">
        <v>0.99965000000000004</v>
      </c>
      <c r="F25" s="10"/>
    </row>
    <row r="26" spans="1:6">
      <c r="A26" s="10">
        <v>25</v>
      </c>
      <c r="B26" s="10">
        <v>339</v>
      </c>
      <c r="C26" s="10">
        <v>21.921557395466099</v>
      </c>
      <c r="D26" s="10">
        <v>0.99890726363124505</v>
      </c>
      <c r="E26" s="10">
        <v>0.99880999999999998</v>
      </c>
      <c r="F26" s="10"/>
    </row>
    <row r="27" spans="1:6">
      <c r="A27" s="10">
        <v>26</v>
      </c>
      <c r="B27" s="10">
        <v>339</v>
      </c>
      <c r="C27" s="10">
        <v>21.730031984987399</v>
      </c>
      <c r="D27" s="10">
        <v>0.91850731146744802</v>
      </c>
      <c r="E27" s="10">
        <v>0.99963999999999997</v>
      </c>
      <c r="F27" s="10"/>
    </row>
    <row r="28" spans="1:6">
      <c r="A28" s="10">
        <v>27</v>
      </c>
      <c r="B28" s="10">
        <v>339</v>
      </c>
      <c r="C28" s="10">
        <v>21.792736694899499</v>
      </c>
      <c r="D28" s="10">
        <v>0.92534695746575701</v>
      </c>
      <c r="E28" s="10">
        <v>0.99956</v>
      </c>
      <c r="F28" s="10"/>
    </row>
    <row r="29" spans="1:6">
      <c r="A29" s="10">
        <v>28</v>
      </c>
      <c r="B29" s="10">
        <v>339</v>
      </c>
      <c r="C29" s="10">
        <v>21.831626872654201</v>
      </c>
      <c r="D29" s="10">
        <v>0.92209364168918595</v>
      </c>
      <c r="E29" s="10">
        <v>0.99956</v>
      </c>
      <c r="F29" s="10"/>
    </row>
    <row r="30" spans="1:6">
      <c r="A30" s="10">
        <v>29</v>
      </c>
      <c r="B30" s="10">
        <v>340</v>
      </c>
      <c r="C30" s="10">
        <v>22.792268359311599</v>
      </c>
      <c r="D30" s="10">
        <v>0.98906066320667796</v>
      </c>
      <c r="E30" s="10">
        <v>0.99900999999999995</v>
      </c>
      <c r="F30" s="10"/>
    </row>
    <row r="31" spans="1:6">
      <c r="A31" s="10">
        <v>30</v>
      </c>
      <c r="B31" s="10">
        <v>340</v>
      </c>
      <c r="C31" s="10">
        <v>22.569242268848701</v>
      </c>
      <c r="D31" s="10">
        <v>0.92904039136844196</v>
      </c>
      <c r="E31" s="10">
        <v>0.99966999999999995</v>
      </c>
      <c r="F31" s="10"/>
    </row>
    <row r="32" spans="1:6">
      <c r="A32" s="10">
        <v>31</v>
      </c>
      <c r="B32" s="10">
        <v>340</v>
      </c>
      <c r="C32" s="10">
        <v>22.608342348424099</v>
      </c>
      <c r="D32" s="10">
        <v>0.93635840755229804</v>
      </c>
      <c r="E32" s="10">
        <v>0.99965999999999999</v>
      </c>
      <c r="F32" s="10"/>
    </row>
    <row r="33" spans="1:6">
      <c r="A33" s="10">
        <v>32</v>
      </c>
      <c r="B33" s="10">
        <v>340</v>
      </c>
      <c r="C33" s="10">
        <v>22.6020157074047</v>
      </c>
      <c r="D33" s="10">
        <v>0.91473105889142803</v>
      </c>
      <c r="E33" s="10">
        <v>0.99973999999999996</v>
      </c>
      <c r="F33" s="10"/>
    </row>
    <row r="34" spans="1:6">
      <c r="A34" s="10">
        <v>33</v>
      </c>
      <c r="B34" s="10">
        <v>341</v>
      </c>
      <c r="C34" s="10">
        <v>20.483178501967402</v>
      </c>
      <c r="D34" s="10">
        <v>0.97470178695143705</v>
      </c>
      <c r="E34" s="10">
        <v>0.99948000000000004</v>
      </c>
      <c r="F34" s="10"/>
    </row>
    <row r="35" spans="1:6">
      <c r="A35" s="10">
        <v>34</v>
      </c>
      <c r="B35" s="10">
        <v>341</v>
      </c>
      <c r="C35" s="10">
        <v>20.445990223482799</v>
      </c>
      <c r="D35" s="10">
        <v>0.93311512135498198</v>
      </c>
      <c r="E35" s="10">
        <v>0.99965999999999999</v>
      </c>
      <c r="F35" s="10"/>
    </row>
    <row r="36" spans="1:6">
      <c r="A36" s="10">
        <v>35</v>
      </c>
      <c r="B36" s="10">
        <v>341</v>
      </c>
      <c r="C36" s="10">
        <v>20.487769758390101</v>
      </c>
      <c r="D36" s="10">
        <v>0.95562446208388097</v>
      </c>
      <c r="E36" s="10">
        <v>0.99961999999999995</v>
      </c>
      <c r="F36" s="10"/>
    </row>
    <row r="37" spans="1:6">
      <c r="A37" s="10">
        <v>36</v>
      </c>
      <c r="B37" s="10">
        <v>341</v>
      </c>
      <c r="C37" s="10">
        <v>20.487856723608999</v>
      </c>
      <c r="D37" s="10">
        <v>0.964513469778009</v>
      </c>
      <c r="E37" s="10">
        <v>0.99953000000000003</v>
      </c>
      <c r="F37" s="10"/>
    </row>
    <row r="38" spans="1:6">
      <c r="A38" s="10">
        <v>37</v>
      </c>
      <c r="B38" s="10">
        <v>342</v>
      </c>
      <c r="C38" s="10">
        <v>18.7721094792185</v>
      </c>
      <c r="D38" s="10">
        <v>0.97331580200827905</v>
      </c>
      <c r="E38" s="10">
        <v>0.999</v>
      </c>
      <c r="F38" s="10"/>
    </row>
    <row r="39" spans="1:6">
      <c r="A39" s="10">
        <v>38</v>
      </c>
      <c r="B39" s="10">
        <v>342</v>
      </c>
      <c r="C39" s="10">
        <v>18.673556119608602</v>
      </c>
      <c r="D39" s="10">
        <v>0.96554822526978601</v>
      </c>
      <c r="E39" s="10">
        <v>0.99919000000000002</v>
      </c>
      <c r="F39" s="10"/>
    </row>
    <row r="40" spans="1:6">
      <c r="A40" s="10">
        <v>39</v>
      </c>
      <c r="B40" s="10">
        <v>342</v>
      </c>
      <c r="C40" s="10">
        <v>18.6651996111069</v>
      </c>
      <c r="D40" s="10">
        <v>0.94838935784927803</v>
      </c>
      <c r="E40" s="10">
        <v>0.99941000000000002</v>
      </c>
      <c r="F40" s="10"/>
    </row>
    <row r="41" spans="1:6">
      <c r="A41" s="10">
        <v>40</v>
      </c>
      <c r="B41" s="10">
        <v>342</v>
      </c>
      <c r="C41" s="10">
        <v>18.720163233210702</v>
      </c>
      <c r="D41" s="10">
        <v>0.95128670429110196</v>
      </c>
      <c r="E41" s="10">
        <v>0.99924999999999997</v>
      </c>
      <c r="F41" s="10"/>
    </row>
    <row r="42" spans="1:6">
      <c r="A42" s="10">
        <v>41</v>
      </c>
      <c r="B42" s="10" t="s">
        <v>7</v>
      </c>
      <c r="C42" s="10">
        <v>35.600482728131901</v>
      </c>
      <c r="D42" s="10">
        <v>0.62853264592706704</v>
      </c>
      <c r="E42" s="10">
        <v>0.99955000000000005</v>
      </c>
      <c r="F42" s="10"/>
    </row>
    <row r="43" spans="1:6">
      <c r="A43" s="10">
        <v>42</v>
      </c>
      <c r="B43" s="10" t="s">
        <v>7</v>
      </c>
      <c r="C43" s="10">
        <v>34.991376261037303</v>
      </c>
      <c r="D43" s="10">
        <v>0.66023811039367297</v>
      </c>
      <c r="E43" s="10">
        <v>0.99968000000000001</v>
      </c>
      <c r="F43" s="10"/>
    </row>
    <row r="44" spans="1:6">
      <c r="A44" s="10">
        <v>43</v>
      </c>
      <c r="B44" s="10" t="s">
        <v>7</v>
      </c>
      <c r="C44" s="10">
        <v>36.8378920276092</v>
      </c>
      <c r="D44" s="10">
        <v>0.58081255447287805</v>
      </c>
      <c r="E44" s="10">
        <v>0.99868999999999997</v>
      </c>
      <c r="F44" s="10"/>
    </row>
    <row r="45" spans="1:6">
      <c r="A45" s="10">
        <v>44</v>
      </c>
      <c r="B45" s="10" t="s">
        <v>7</v>
      </c>
      <c r="C45" s="10">
        <v>33.842043176481901</v>
      </c>
      <c r="D45" s="10">
        <v>0.69459389773758495</v>
      </c>
      <c r="E45" s="10">
        <v>0.99972000000000005</v>
      </c>
      <c r="F45" s="10"/>
    </row>
    <row r="46" spans="1:6">
      <c r="A46" s="10">
        <v>45</v>
      </c>
      <c r="B46" s="10" t="s">
        <v>8</v>
      </c>
      <c r="C46" s="10">
        <v>38.582305642059701</v>
      </c>
      <c r="D46" s="10">
        <v>0.77395337833210398</v>
      </c>
      <c r="E46" s="10">
        <v>0.97441</v>
      </c>
      <c r="F46" s="10"/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333</v>
      </c>
      <c r="B2">
        <f>IF('177T'!C2="", "", '177T'!C2)</f>
        <v>-1</v>
      </c>
      <c r="C2">
        <f>IF('18S2'!C2="", "", '18S2'!C2)</f>
        <v>-1</v>
      </c>
      <c r="D2">
        <f>IF(RNAseP!C2="", "", RNAseP!C2)</f>
        <v>24.537502067205999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333</v>
      </c>
      <c r="B3">
        <f>IF('177T'!C3="", "", '177T'!C3)</f>
        <v>-1</v>
      </c>
      <c r="C3">
        <f>IF('18S2'!C3="", "", '18S2'!C3)</f>
        <v>-1</v>
      </c>
      <c r="D3">
        <f>IF(RNAseP!C3="", "", RNAseP!C3)</f>
        <v>24.476576724904302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333</v>
      </c>
      <c r="B4">
        <f>IF('177T'!C4="", "", '177T'!C4)</f>
        <v>-1</v>
      </c>
      <c r="C4">
        <f>IF('18S2'!C4="", "", '18S2'!C4)</f>
        <v>-1</v>
      </c>
      <c r="D4">
        <f>IF(RNAseP!C4="", "", RNAseP!C4)</f>
        <v>25.1531617970304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333</v>
      </c>
      <c r="B5">
        <f>IF('177T'!C5="", "", '177T'!C5)</f>
        <v>-1</v>
      </c>
      <c r="C5">
        <f>IF('18S2'!C5="", "", '18S2'!C5)</f>
        <v>-1</v>
      </c>
      <c r="D5">
        <f>IF(RNAseP!C5="", "", RNAseP!C5)</f>
        <v>24.454057523441801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334</v>
      </c>
      <c r="B6">
        <f>IF('177T'!C6="", "", '177T'!C6)</f>
        <v>-1</v>
      </c>
      <c r="C6">
        <f>IF('18S2'!C6="", "", '18S2'!C6)</f>
        <v>-1</v>
      </c>
      <c r="D6">
        <f>IF(RNAseP!C6="", "", RNAseP!C6)</f>
        <v>22.1924863070405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334</v>
      </c>
      <c r="B7">
        <f>IF('177T'!C7="", "", '177T'!C7)</f>
        <v>-1</v>
      </c>
      <c r="C7">
        <f>IF('18S2'!C7="", "", '18S2'!C7)</f>
        <v>-1</v>
      </c>
      <c r="D7">
        <f>IF(RNAseP!C7="", "", RNAseP!C7)</f>
        <v>22.161934739707899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334</v>
      </c>
      <c r="B8">
        <f>IF('177T'!C8="", "", '177T'!C8)</f>
        <v>-1</v>
      </c>
      <c r="C8">
        <f>IF('18S2'!C8="", "", '18S2'!C8)</f>
        <v>-1</v>
      </c>
      <c r="D8">
        <f>IF(RNAseP!C8="", "", RNAseP!C8)</f>
        <v>22.170065457502801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334</v>
      </c>
      <c r="B9">
        <f>IF('177T'!C9="", "", '177T'!C9)</f>
        <v>-1</v>
      </c>
      <c r="C9">
        <f>IF('18S2'!C9="", "", '18S2'!C9)</f>
        <v>-1</v>
      </c>
      <c r="D9">
        <f>IF(RNAseP!C9="", "", RNAseP!C9)</f>
        <v>22.144934444832799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335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24.311164399024499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335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24.245885524043501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335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24.300567675661298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335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24.239226718928901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336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25.028307583440299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336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24.892676826980601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336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24.868506159862999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336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24.949439456294201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337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26.879678232123101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337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26.274316406933998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337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26.2816775785803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337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26.1908781329413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338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22.552983297080701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338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22.5181773717227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338</v>
      </c>
      <c r="B24">
        <f>IF('177T'!C24="", "", '177T'!C24)</f>
        <v>-1</v>
      </c>
      <c r="C24">
        <f>IF('18S2'!C24="", "", '18S2'!C24)</f>
        <v>38.012809003238701</v>
      </c>
      <c r="D24">
        <f>IF(RNAseP!C24="", "", RNAseP!C24)</f>
        <v>22.465341923781398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0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S</v>
      </c>
      <c r="I24" t="str" cm="1">
        <f t="array" ref="I24">INDEX(Decision!$E$1:$E$28, MATCH(E24&amp;F24&amp;G24, Decision!$A$1:$A$28&amp;Decision!$B$1:$B$28&amp;Decision!$C$1:$C$28, 0))</f>
        <v>RNA suspect</v>
      </c>
    </row>
    <row r="25" spans="1:9">
      <c r="A25">
        <f>IF(AND('177T'!B25 = '18S2'!B25, '177T'!B25 = RNAseP!B25, '177T'!B25 &lt;&gt; ""), '177T'!B25, IF('177T'!B25 = "", "", "Mismatch"))</f>
        <v>338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22.443782134471199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339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21.921557395466099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339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21.730031984987399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339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21.792736694899499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339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21.831626872654201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340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22.792268359311599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340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22.569242268848701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340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22.608342348424099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340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22.6020157074047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341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20.483178501967402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341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20.445990223482799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341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20.487769758390101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341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20.487856723608999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342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18.7721094792185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342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18.673556119608602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342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18.6651996111069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342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18.720163233210702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24.267940898582101</v>
      </c>
      <c r="C42">
        <f>IF('18S2'!C42="", "", '18S2'!C42)</f>
        <v>20.325170432649699</v>
      </c>
      <c r="D42">
        <f>IF(RNAseP!C42="", "", RNAseP!C42)</f>
        <v>35.600482728131901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23.410595058840801</v>
      </c>
      <c r="C43">
        <f>IF('18S2'!C43="", "", '18S2'!C43)</f>
        <v>20.012485066970498</v>
      </c>
      <c r="D43">
        <f>IF(RNAseP!C43="", "", RNAseP!C43)</f>
        <v>34.991376261037303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24.291774088482999</v>
      </c>
      <c r="C44">
        <f>IF('18S2'!C44="", "", '18S2'!C44)</f>
        <v>20.365678261053102</v>
      </c>
      <c r="D44">
        <f>IF(RNAseP!C44="", "", RNAseP!C44)</f>
        <v>36.8378920276092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23.121234184259301</v>
      </c>
      <c r="C45">
        <f>IF('18S2'!C45="", "", '18S2'!C45)</f>
        <v>20.063150329697802</v>
      </c>
      <c r="D45">
        <f>IF(RNAseP!C45="", "", RNAseP!C45)</f>
        <v>33.842043176481901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38.582305642059701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0</v>
      </c>
      <c r="H46" s="3" t="str" cm="1">
        <f t="array" ref="H46">INDEX(DecisionC!$E$1:$E$56, MATCH(A46&amp;E46&amp;F46&amp;G46, DecisionC!$A$1:$A$56&amp;DecisionC!$B$1:$B$56&amp;DecisionC!$C$1:$C$56&amp;DecisionC!$D$1:$D$56, 0))</f>
        <v>F</v>
      </c>
      <c r="I46" s="3" t="str" cm="1">
        <f t="array" ref="I46">INDEX(DecisionC!$F$1:$F$56, MATCH(A46&amp;E46&amp;F46&amp;G46, DecisionC!$A$1:$A$56&amp;DecisionC!$B$1:$B$56&amp;DecisionC!$C$1:$C$56&amp;DecisionC!$D$1:$D$56, 0))</f>
        <v>RNAseP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topLeftCell="C1" workbookViewId="0">
      <selection activeCell="C5" sqref="C5:G5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8" t="s">
        <v>40</v>
      </c>
      <c r="B1" s="28"/>
    </row>
    <row r="3" spans="1:8">
      <c r="A3" s="24" t="s">
        <v>41</v>
      </c>
      <c r="B3" s="25"/>
      <c r="C3" s="26">
        <v>45960</v>
      </c>
      <c r="D3" s="26"/>
      <c r="E3" s="26"/>
      <c r="F3" s="26"/>
      <c r="G3" s="26"/>
    </row>
    <row r="4" spans="1:8">
      <c r="A4" s="24" t="s">
        <v>42</v>
      </c>
      <c r="B4" s="29"/>
      <c r="C4" s="27" t="s">
        <v>43</v>
      </c>
      <c r="D4" s="27"/>
      <c r="E4" s="27"/>
      <c r="F4" s="27"/>
      <c r="G4" s="27"/>
    </row>
    <row r="5" spans="1:8">
      <c r="A5" s="24" t="s">
        <v>44</v>
      </c>
      <c r="B5" s="25"/>
      <c r="C5" s="27" t="s">
        <v>45</v>
      </c>
      <c r="D5" s="27"/>
      <c r="E5" s="27"/>
      <c r="F5" s="27"/>
      <c r="G5" s="27"/>
    </row>
    <row r="6" spans="1:8">
      <c r="A6" s="24" t="s">
        <v>46</v>
      </c>
      <c r="B6" s="25"/>
      <c r="C6" s="27">
        <v>301</v>
      </c>
      <c r="D6" s="27"/>
      <c r="E6" s="27"/>
      <c r="F6" s="27"/>
      <c r="G6" s="27"/>
    </row>
    <row r="7" spans="1:8">
      <c r="A7" s="24" t="s">
        <v>47</v>
      </c>
      <c r="B7" s="25"/>
      <c r="C7" s="26">
        <v>45771</v>
      </c>
      <c r="D7" s="27"/>
      <c r="E7" s="27"/>
      <c r="F7" s="27"/>
      <c r="G7" s="27"/>
    </row>
    <row r="8" spans="1:8">
      <c r="A8" s="24" t="s">
        <v>48</v>
      </c>
      <c r="B8" s="25"/>
      <c r="C8" s="26">
        <v>45771</v>
      </c>
      <c r="D8" s="26"/>
      <c r="E8" s="26"/>
      <c r="F8" s="26"/>
      <c r="G8" s="26"/>
    </row>
    <row r="9" spans="1:8">
      <c r="A9" s="24" t="s">
        <v>49</v>
      </c>
      <c r="B9" s="25"/>
      <c r="C9" s="26">
        <v>45771</v>
      </c>
      <c r="D9" s="26"/>
      <c r="E9" s="26"/>
      <c r="F9" s="26"/>
      <c r="G9" s="26"/>
    </row>
    <row r="10" spans="1:8">
      <c r="A10" s="24" t="s">
        <v>50</v>
      </c>
      <c r="B10" s="25"/>
      <c r="C10" s="26">
        <v>45771</v>
      </c>
      <c r="D10" s="26"/>
      <c r="E10" s="26"/>
      <c r="F10" s="26"/>
      <c r="G10" s="26"/>
    </row>
    <row r="11" spans="1:8">
      <c r="A11" s="24" t="s">
        <v>51</v>
      </c>
      <c r="B11" s="25"/>
      <c r="C11" s="26">
        <v>45771</v>
      </c>
      <c r="D11" s="27"/>
      <c r="E11" s="27"/>
      <c r="F11" s="27"/>
      <c r="G11" s="27"/>
    </row>
    <row r="12" spans="1:8">
      <c r="A12" s="24" t="s">
        <v>52</v>
      </c>
      <c r="B12" s="25"/>
      <c r="C12" s="26">
        <v>45674</v>
      </c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333</v>
      </c>
      <c r="B16" s="11">
        <v>2500831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24,7 +/- 0,3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334</v>
      </c>
      <c r="B17" s="11">
        <v>2402778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22,2 +/- 0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335</v>
      </c>
      <c r="B18" s="11">
        <v>2500710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24,3 +/- 0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336</v>
      </c>
      <c r="B19" s="11">
        <v>2500709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24,9 +/- 0,1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337</v>
      </c>
      <c r="B20" s="11">
        <v>2500764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26,4 +/- 0,3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338</v>
      </c>
      <c r="B21" s="11">
        <v>2501078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>38</v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22,5 +/- 0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339</v>
      </c>
      <c r="B22" s="11">
        <v>2501063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21,8 +/- 0,1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340</v>
      </c>
      <c r="B23" s="11">
        <v>2501110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22,6 +/- 0,1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341</v>
      </c>
      <c r="B24" s="11">
        <v>2501119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20,5 +/- 0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342</v>
      </c>
      <c r="B25" s="11">
        <v>2501101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18,7 +/- 0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23,8 +/- 0,6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20,2 +/- 0,2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35,3 +/- 1,2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38,6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31" t="s">
        <v>58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30" t="s">
        <v>61</v>
      </c>
      <c r="D30" s="30"/>
      <c r="E30" s="20"/>
    </row>
    <row r="31" spans="1:12">
      <c r="A31" s="18" t="s">
        <v>20</v>
      </c>
      <c r="B31" s="18" t="s">
        <v>21</v>
      </c>
      <c r="C31" s="30" t="s">
        <v>62</v>
      </c>
      <c r="D31" s="30"/>
      <c r="E31" s="20"/>
    </row>
    <row r="32" spans="1:12">
      <c r="A32" s="18" t="s">
        <v>22</v>
      </c>
      <c r="B32" s="18" t="s">
        <v>63</v>
      </c>
      <c r="C32" s="30" t="s">
        <v>64</v>
      </c>
      <c r="D32" s="30"/>
      <c r="E32" s="20"/>
    </row>
    <row r="33" spans="1:5">
      <c r="A33" s="18" t="s">
        <v>65</v>
      </c>
      <c r="B33" s="18" t="s">
        <v>66</v>
      </c>
      <c r="C33" s="30" t="s">
        <v>67</v>
      </c>
      <c r="D33" s="30"/>
      <c r="E33" s="20"/>
    </row>
    <row r="34" spans="1:5">
      <c r="A34" s="18" t="s">
        <v>17</v>
      </c>
      <c r="B34" s="18" t="s">
        <v>68</v>
      </c>
      <c r="C34" s="30" t="s">
        <v>69</v>
      </c>
      <c r="D34" s="30"/>
      <c r="E34" s="20"/>
    </row>
    <row r="35" spans="1:5">
      <c r="A35" s="18" t="s">
        <v>70</v>
      </c>
      <c r="B35" s="18" t="s">
        <v>71</v>
      </c>
      <c r="C35" s="30" t="s">
        <v>72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333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24,7 +/- 0,3</v>
      </c>
    </row>
    <row r="3" spans="1:11">
      <c r="A3" s="3">
        <f>Report!A17</f>
        <v>334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22,2 +/- 0</v>
      </c>
    </row>
    <row r="4" spans="1:11">
      <c r="A4" s="3">
        <f>Report!A18</f>
        <v>335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24,3 +/- 0</v>
      </c>
    </row>
    <row r="5" spans="1:11">
      <c r="A5" s="3">
        <f>Report!A19</f>
        <v>336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24,9 +/- 0,1</v>
      </c>
    </row>
    <row r="6" spans="1:11">
      <c r="A6" s="3">
        <f>Report!A20</f>
        <v>337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26,4 +/- 0,3</v>
      </c>
    </row>
    <row r="7" spans="1:11">
      <c r="A7" s="3">
        <f>Report!A21</f>
        <v>338</v>
      </c>
      <c r="B7" s="3" t="str" cm="1">
        <f t="array" ref="B7">_xlfn.TEXTJOIN(", ", TRUE, IF(Analysis!$A$2:$A$82=A7, Analysis!$H$2:$H$82, ""))</f>
        <v>N, N, S, N</v>
      </c>
      <c r="C7" s="3" t="str" cm="1">
        <f t="array" ref="C7">_xlfn.TEXTJOIN(", ", TRUE, IF(Analysis!$A$2:$A$82=A7, Analysis!$I$2:$I$82, ""))</f>
        <v>negative, negative, RNA suspect,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>38</v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22,5 +/- 0</v>
      </c>
      <c r="K7" s="4"/>
    </row>
    <row r="8" spans="1:11">
      <c r="A8" s="3">
        <f>Report!A22</f>
        <v>339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21,8 +/- 0,1</v>
      </c>
    </row>
    <row r="9" spans="1:11">
      <c r="A9" s="3">
        <f>Report!A23</f>
        <v>340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22,6 +/- 0,1</v>
      </c>
    </row>
    <row r="10" spans="1:11">
      <c r="A10" s="3">
        <f>Report!A24</f>
        <v>341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20,5 +/- 0</v>
      </c>
    </row>
    <row r="11" spans="1:11">
      <c r="A11" s="3">
        <f>Report!A25</f>
        <v>342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18,7 +/- 0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23,8 +/- 0,6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20,2 +/- 0,2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35,3 +/- 1,2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F, OK, OK, OK</v>
      </c>
      <c r="C13" s="3" t="str" cm="1">
        <f t="array" ref="C13">_xlfn.TEXTJOIN(", ", TRUE, IF(Analysis!$A$2:$A$82=A13, Analysis!$I$2:$I$82, ""))</f>
        <v>RNAseP, clean,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38,6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2025-10-31T12:08:45+00:00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e87eaa95000704986ec9793e0a125378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62f458a92204135354ae950c3fbe0d07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E9EC37-91CB-4B02-9B6D-577F9EDCA20D}"/>
</file>

<file path=customXml/itemProps2.xml><?xml version="1.0" encoding="utf-8"?>
<ds:datastoreItem xmlns:ds="http://schemas.openxmlformats.org/officeDocument/2006/customXml" ds:itemID="{DDA54BF2-BEC9-4F55-9EE5-560A38450A43}"/>
</file>

<file path=customXml/itemProps3.xml><?xml version="1.0" encoding="utf-8"?>
<ds:datastoreItem xmlns:ds="http://schemas.openxmlformats.org/officeDocument/2006/customXml" ds:itemID="{3053B615-1A73-40FD-82F9-4570E3CF1B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2025-10-31T16:48:32Z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