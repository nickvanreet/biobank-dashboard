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8629FDE7-582C-4498-8CFE-6587C7198CD5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H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H48" i="2" s="1"/>
  <c r="C34" i="1"/>
  <c r="D53" i="2" s="1"/>
  <c r="E53" i="2" s="1"/>
  <c r="C33" i="1"/>
  <c r="D47" i="2" s="1"/>
  <c r="E47" i="2" s="1"/>
  <c r="H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H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H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7" i="2" s="1"/>
  <c r="H55" i="2" l="1"/>
  <c r="H35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<sst xmlns="http://schemas.openxmlformats.org/spreadsheetml/2006/main" count="151" uniqueCount="90">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</sst>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9" zoomScaleNormal="100" workbookViewId="0">
      <selection activeCell="C15" sqref="C15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838</v>
      </c>
      <c r="C15" s="19">
        <v>2502341</v>
      </c>
      <c r="D15" s="20"/>
      <c r="E15" s="14"/>
    </row>
    <row r="16" spans="1:5" ht="20.100000000000001" customHeight="1">
      <c r="A16" s="15" t="s">
        <v>12</v>
      </c>
      <c r="B16" s="19">
        <v>839</v>
      </c>
      <c r="C16" s="19">
        <v>2502347</v>
      </c>
      <c r="D16" s="20"/>
      <c r="E16" s="14"/>
    </row>
    <row r="17" spans="1:5" ht="20.45" customHeight="1">
      <c r="A17" s="15" t="s">
        <v>13</v>
      </c>
      <c r="B17" s="19">
        <v>840</v>
      </c>
      <c r="C17" s="19">
        <v>2503040</v>
      </c>
      <c r="D17" s="20"/>
      <c r="E17" s="14"/>
    </row>
    <row r="18" spans="1:5" ht="20.45" customHeight="1">
      <c r="A18" s="15" t="s">
        <v>14</v>
      </c>
      <c r="B18" s="19">
        <v>841</v>
      </c>
      <c r="C18" s="19">
        <v>2503063</v>
      </c>
      <c r="D18" s="20"/>
      <c r="E18" s="14"/>
    </row>
    <row r="19" spans="1:5" ht="20.45" customHeight="1">
      <c r="A19" s="15" t="s">
        <v>15</v>
      </c>
      <c r="B19" s="19">
        <v>842</v>
      </c>
      <c r="C19" s="19">
        <v>2500826</v>
      </c>
      <c r="D19" s="20"/>
      <c r="E19" s="14"/>
    </row>
    <row r="20" spans="1:5" ht="20.45" customHeight="1">
      <c r="A20" s="15" t="s">
        <v>16</v>
      </c>
      <c r="B20" s="19">
        <v>843</v>
      </c>
      <c r="C20" s="19">
        <v>2502295</v>
      </c>
      <c r="D20" s="20"/>
      <c r="E20" s="14"/>
    </row>
    <row r="21" spans="1:5" ht="20.45" customHeight="1">
      <c r="A21" s="15" t="s">
        <v>17</v>
      </c>
      <c r="B21" s="19">
        <v>844</v>
      </c>
      <c r="C21" s="19">
        <v>2500856</v>
      </c>
      <c r="D21" s="20"/>
      <c r="E21" s="14"/>
    </row>
    <row r="22" spans="1:5" ht="20.45" customHeight="1">
      <c r="A22" s="15" t="s">
        <v>18</v>
      </c>
      <c r="B22" s="19">
        <v>845</v>
      </c>
      <c r="C22" s="19">
        <v>2502227</v>
      </c>
      <c r="D22" s="20"/>
      <c r="E22" s="14"/>
    </row>
    <row r="23" spans="1:5" ht="23.1" customHeight="1">
      <c r="A23" s="15" t="s">
        <v>19</v>
      </c>
      <c r="B23" s="19">
        <v>846</v>
      </c>
      <c r="C23" s="19">
        <v>2502291</v>
      </c>
      <c r="D23" s="20"/>
      <c r="E23" s="14"/>
    </row>
    <row r="24" spans="1:5" ht="20.45" customHeight="1">
      <c r="A24" s="15" t="s">
        <v>20</v>
      </c>
      <c r="B24" s="19">
        <v>847</v>
      </c>
      <c r="C24" s="19">
        <v>2502289</v>
      </c>
      <c r="D24" s="20"/>
      <c r="E24" s="14"/>
    </row>
    <row r="25" spans="1:5" ht="20.45" customHeight="1">
      <c r="A25" s="15" t="s">
        <v>21</v>
      </c>
      <c r="B25" s="19">
        <v>848</v>
      </c>
      <c r="C25" s="19">
        <v>2500876</v>
      </c>
      <c r="D25" s="20"/>
      <c r="E25" s="14"/>
    </row>
    <row r="26" spans="1:5" ht="20.45" customHeight="1">
      <c r="A26" s="15" t="s">
        <v>22</v>
      </c>
      <c r="B26" s="19">
        <v>849</v>
      </c>
      <c r="C26" s="19">
        <v>2502361</v>
      </c>
      <c r="D26" s="20"/>
      <c r="E26" s="14"/>
    </row>
    <row r="27" spans="1:5" ht="20.45" customHeight="1">
      <c r="A27" s="15" t="s">
        <v>23</v>
      </c>
      <c r="B27" s="19">
        <v>850</v>
      </c>
      <c r="C27" s="19">
        <v>2502677</v>
      </c>
      <c r="D27" s="20"/>
      <c r="E27" s="14"/>
    </row>
    <row r="28" spans="1:5" ht="20.45" customHeight="1">
      <c r="A28" s="15" t="s">
        <v>24</v>
      </c>
      <c r="B28" s="19">
        <v>851</v>
      </c>
      <c r="C28" s="19">
        <v>2503082</v>
      </c>
      <c r="D28" s="20"/>
      <c r="E28" s="14"/>
    </row>
    <row r="29" spans="1:5" ht="20.45" customHeight="1">
      <c r="A29" s="15" t="s">
        <v>25</v>
      </c>
      <c r="B29" s="19">
        <v>852</v>
      </c>
      <c r="C29" s="19">
        <v>2503090</v>
      </c>
      <c r="D29" s="20"/>
      <c r="E29" s="14"/>
    </row>
    <row r="30" spans="1:5" ht="20.45" customHeight="1">
      <c r="A30" s="15" t="s">
        <v>26</v>
      </c>
      <c r="B30" s="19">
        <v>853</v>
      </c>
      <c r="C30" s="19">
        <v>2502265</v>
      </c>
      <c r="D30" s="20"/>
      <c r="E30" s="14"/>
    </row>
    <row r="31" spans="1:5" ht="20.100000000000001" customHeight="1">
      <c r="A31" s="15" t="s">
        <v>27</v>
      </c>
      <c r="B31" s="19">
        <v>854</v>
      </c>
      <c r="C31" s="19">
        <v>2501302</v>
      </c>
      <c r="D31" s="20"/>
      <c r="E31" s="14"/>
    </row>
    <row r="32" spans="1:5" ht="20.45" customHeight="1">
      <c r="A32" s="15" t="s">
        <v>28</v>
      </c>
      <c r="B32" s="19">
        <v>855</v>
      </c>
      <c r="C32" s="19">
        <v>2501334</v>
      </c>
      <c r="D32" s="20"/>
      <c r="E32" s="14"/>
    </row>
    <row r="33" spans="1:5" ht="20.45" customHeight="1">
      <c r="A33" s="15" t="s">
        <v>29</v>
      </c>
      <c r="B33" s="19">
        <v>856</v>
      </c>
      <c r="C33" s="19">
        <v>2502209</v>
      </c>
      <c r="D33" s="20"/>
      <c r="E33" s="14"/>
    </row>
    <row r="34" spans="1:5" ht="20.45" customHeight="1">
      <c r="A34" s="15" t="s">
        <v>30</v>
      </c>
      <c r="B34" s="19">
        <v>857</v>
      </c>
      <c r="C34" s="19">
        <v>2500811</v>
      </c>
      <c r="D34" s="20"/>
      <c r="E34" s="14"/>
    </row>
    <row r="35" spans="1:5" ht="20.45" customHeight="1">
      <c r="A35" s="15" t="s">
        <v>31</v>
      </c>
      <c r="B35" s="19">
        <v>858</v>
      </c>
      <c r="C35" s="19">
        <v>2500817</v>
      </c>
      <c r="D35" s="20"/>
      <c r="E35" s="14"/>
    </row>
    <row r="36" spans="1:5" ht="20.45" customHeight="1">
      <c r="A36" s="15" t="s">
        <v>32</v>
      </c>
      <c r="B36" s="19">
        <v>859</v>
      </c>
      <c r="C36" s="19">
        <v>2501996</v>
      </c>
      <c r="D36" s="20"/>
      <c r="E36" s="14"/>
    </row>
    <row r="37" spans="1:5" ht="20.45" customHeight="1">
      <c r="A37" s="15" t="s">
        <v>33</v>
      </c>
      <c r="B37" s="19">
        <v>860</v>
      </c>
      <c r="C37" s="19">
        <v>2501951</v>
      </c>
      <c r="D37" s="20"/>
      <c r="E37" s="14"/>
    </row>
    <row r="38" spans="1:5" ht="20.100000000000001" customHeight="1">
      <c r="A38" s="15" t="s">
        <v>34</v>
      </c>
      <c r="B38" s="19">
        <v>861</v>
      </c>
      <c r="C38" s="19">
        <v>2501948</v>
      </c>
      <c r="D38" s="20"/>
      <c r="E38" s="14"/>
    </row>
    <row r="39" spans="1:5" ht="20.100000000000001" customHeight="1">
      <c r="A39" s="15" t="s">
        <v>35</v>
      </c>
      <c r="B39" s="19">
        <v>862</v>
      </c>
      <c r="C39" s="19">
        <v>2500076</v>
      </c>
      <c r="D39" s="20"/>
      <c r="E39" s="14"/>
    </row>
    <row r="40" spans="1:5" ht="20.45" customHeight="1">
      <c r="A40" s="15" t="s">
        <v>36</v>
      </c>
      <c r="B40" s="19">
        <v>863</v>
      </c>
      <c r="C40" s="19">
        <v>2500077</v>
      </c>
      <c r="D40" s="20"/>
      <c r="E40" s="14"/>
    </row>
    <row r="41" spans="1:5" ht="20.100000000000001" customHeight="1">
      <c r="A41" s="15" t="s">
        <v>37</v>
      </c>
      <c r="B41" s="19">
        <v>864</v>
      </c>
      <c r="C41" s="19">
        <v>2502080</v>
      </c>
      <c r="D41" s="20"/>
      <c r="E41" s="14"/>
    </row>
    <row r="42" spans="1:5" ht="20.45" customHeight="1">
      <c r="A42" s="15" t="s">
        <v>38</v>
      </c>
      <c r="B42" s="19">
        <v>865</v>
      </c>
      <c r="C42" s="19">
        <v>2502098</v>
      </c>
      <c r="D42" s="20"/>
      <c r="E42" s="14"/>
    </row>
    <row r="43" spans="1:5" ht="20.45" customHeight="1">
      <c r="A43" s="15" t="s">
        <v>39</v>
      </c>
      <c r="B43" s="19">
        <v>866</v>
      </c>
      <c r="C43" s="19">
        <v>2501934</v>
      </c>
      <c r="D43" s="20"/>
      <c r="E43" s="14"/>
    </row>
    <row r="44" spans="1:5" ht="20.45" customHeight="1">
      <c r="A44" s="15" t="s">
        <v>40</v>
      </c>
      <c r="B44" s="19">
        <v>867</v>
      </c>
      <c r="C44" s="19">
        <v>2501989</v>
      </c>
      <c r="D44" s="20"/>
      <c r="E44" s="14"/>
    </row>
    <row r="45" spans="1:5" ht="20.45" customHeight="1">
      <c r="A45" s="15" t="s">
        <v>41</v>
      </c>
      <c r="B45" s="19">
        <v>868</v>
      </c>
      <c r="C45" s="19">
        <v>2502079</v>
      </c>
      <c r="D45" s="20"/>
      <c r="E45" s="14"/>
    </row>
    <row r="46" spans="1:5" ht="20.45" customHeight="1">
      <c r="A46" s="15" t="s">
        <v>42</v>
      </c>
      <c r="B46" s="19">
        <v>869</v>
      </c>
      <c r="C46" s="19">
        <v>2502096</v>
      </c>
      <c r="D46" s="20"/>
      <c r="E46" s="14"/>
    </row>
    <row r="47" spans="1:5" ht="20.45" customHeight="1">
      <c r="A47" s="15" t="s">
        <v>43</v>
      </c>
      <c r="B47" s="19">
        <v>870</v>
      </c>
      <c r="C47" s="19">
        <v>2501041</v>
      </c>
      <c r="D47" s="20"/>
      <c r="E47" s="14"/>
    </row>
    <row r="48" spans="1:5" ht="20.45" customHeight="1">
      <c r="A48" s="15" t="s">
        <v>44</v>
      </c>
      <c r="B48" s="19">
        <v>871</v>
      </c>
      <c r="C48" s="19">
        <v>2501033</v>
      </c>
      <c r="D48" s="20"/>
      <c r="E48" s="14"/>
    </row>
    <row r="49" spans="1:5" ht="20.45" customHeight="1">
      <c r="A49" s="15" t="s">
        <v>45</v>
      </c>
      <c r="B49" s="19">
        <v>872</v>
      </c>
      <c r="C49" s="19">
        <v>2501046</v>
      </c>
      <c r="D49" s="20"/>
      <c r="E49" s="14"/>
    </row>
    <row r="50" spans="1:5" ht="20.45" customHeight="1">
      <c r="A50" s="15" t="s">
        <v>46</v>
      </c>
      <c r="B50" s="19">
        <v>873</v>
      </c>
      <c r="C50" s="19">
        <v>2402583</v>
      </c>
      <c r="D50" s="20"/>
      <c r="E50" s="14"/>
    </row>
    <row r="51" spans="1:5" ht="21.6" customHeight="1">
      <c r="A51" s="15" t="s">
        <v>47</v>
      </c>
      <c r="B51" s="19">
        <v>874</v>
      </c>
      <c r="C51" s="19">
        <v>2502240</v>
      </c>
      <c r="D51" s="20"/>
      <c r="E51" s="14"/>
    </row>
    <row r="52" spans="1:5" ht="20.45" customHeight="1">
      <c r="A52" s="15" t="s">
        <v>48</v>
      </c>
      <c r="B52" s="19">
        <v>875</v>
      </c>
      <c r="C52" s="19">
        <v>2502210</v>
      </c>
      <c r="D52" s="20"/>
      <c r="E52" s="14"/>
    </row>
    <row r="53" spans="1:5" ht="21.6" customHeight="1">
      <c r="A53" s="15" t="s">
        <v>49</v>
      </c>
      <c r="B53" s="19">
        <v>876</v>
      </c>
      <c r="C53" s="19">
        <v>2502243</v>
      </c>
      <c r="D53" s="20"/>
      <c r="E53" s="14"/>
    </row>
    <row r="54" spans="1:5" ht="20.100000000000001" customHeight="1">
      <c r="A54" s="15" t="s">
        <v>50</v>
      </c>
      <c r="B54" s="19">
        <v>877</v>
      </c>
      <c r="C54" s="19">
        <v>2502086</v>
      </c>
      <c r="D54" s="20"/>
      <c r="E54" s="14"/>
    </row>
    <row r="55" spans="1:5" ht="20.45" customHeight="1">
      <c r="A55" s="15" t="s">
        <v>51</v>
      </c>
      <c r="B55" s="19">
        <v>878</v>
      </c>
      <c r="C55" s="19">
        <v>2502100</v>
      </c>
      <c r="D55" s="20"/>
      <c r="E55" s="14"/>
    </row>
    <row r="56" spans="1:5" ht="20.45" customHeight="1">
      <c r="A56" s="15" t="s">
        <v>52</v>
      </c>
      <c r="B56" s="19">
        <v>879</v>
      </c>
      <c r="C56" s="19">
        <v>2502075</v>
      </c>
      <c r="D56" s="20"/>
      <c r="E56" s="14"/>
    </row>
    <row r="57" spans="1:5" ht="20.45" customHeight="1">
      <c r="A57" s="15" t="s">
        <v>53</v>
      </c>
      <c r="B57" s="19">
        <v>880</v>
      </c>
      <c r="C57" s="19">
        <v>2502213</v>
      </c>
      <c r="D57" s="20"/>
      <c r="E57" s="14"/>
    </row>
    <row r="58" spans="1:5" ht="20.100000000000001" customHeight="1">
      <c r="A58" s="15" t="s">
        <v>54</v>
      </c>
      <c r="B58" s="19">
        <v>881</v>
      </c>
      <c r="C58" s="19">
        <v>2502085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0.67200000000000004</v>
      </c>
      <c r="C13" s="18">
        <v>0.73799999999999999</v>
      </c>
      <c r="D13" s="18">
        <v>0.28299999999999997</v>
      </c>
      <c r="E13" s="18">
        <v>0.27200000000000002</v>
      </c>
      <c r="F13" s="18">
        <v>0.89700000000000002</v>
      </c>
      <c r="G13" s="18">
        <v>0.85299999999999998</v>
      </c>
      <c r="H13" s="18">
        <v>1.734</v>
      </c>
      <c r="I13" s="18">
        <v>1.7589999999999999</v>
      </c>
      <c r="J13" s="18">
        <v>0.66300000000000003</v>
      </c>
      <c r="K13" s="18">
        <v>0.67200000000000004</v>
      </c>
      <c r="L13" s="18">
        <v>1.9350000000000001</v>
      </c>
      <c r="M13" s="18">
        <v>1.98</v>
      </c>
    </row>
    <row r="14" spans="1:13">
      <c r="A14" s="10" t="s">
        <v>65</v>
      </c>
      <c r="B14" s="18">
        <v>0.77100000000000002</v>
      </c>
      <c r="C14" s="18">
        <v>0.73</v>
      </c>
      <c r="D14" s="18">
        <v>0.66600000000000004</v>
      </c>
      <c r="E14" s="18">
        <v>0.67400000000000004</v>
      </c>
      <c r="F14" s="18">
        <v>0.73</v>
      </c>
      <c r="G14" s="18">
        <v>0.76400000000000001</v>
      </c>
      <c r="H14" s="18">
        <v>1.5760000000000001</v>
      </c>
      <c r="I14" s="18">
        <v>1.538</v>
      </c>
      <c r="J14" s="18">
        <v>1.5880000000000001</v>
      </c>
      <c r="K14" s="18">
        <v>1.5229999999999999</v>
      </c>
      <c r="L14" s="18">
        <v>1.712</v>
      </c>
      <c r="M14" s="18">
        <v>1.8680000000000001</v>
      </c>
    </row>
    <row r="15" spans="1:13">
      <c r="A15" s="10" t="s">
        <v>66</v>
      </c>
      <c r="B15" s="18">
        <v>0.61199999999999999</v>
      </c>
      <c r="C15" s="18">
        <v>0.63200000000000001</v>
      </c>
      <c r="D15" s="18">
        <v>0.67600000000000005</v>
      </c>
      <c r="E15" s="18">
        <v>0.69299999999999995</v>
      </c>
      <c r="F15" s="18">
        <v>0.74199999999999999</v>
      </c>
      <c r="G15" s="18">
        <v>0.73599999999999999</v>
      </c>
      <c r="H15" s="18">
        <v>1.4790000000000001</v>
      </c>
      <c r="I15" s="18">
        <v>1.3640000000000001</v>
      </c>
      <c r="J15" s="18">
        <v>1.466</v>
      </c>
      <c r="K15" s="18">
        <v>1.599</v>
      </c>
      <c r="L15" s="18">
        <v>1.86</v>
      </c>
      <c r="M15" s="18">
        <v>1.855</v>
      </c>
    </row>
    <row r="16" spans="1:13">
      <c r="A16" s="10" t="s">
        <v>67</v>
      </c>
      <c r="B16" s="18">
        <v>0.66200000000000003</v>
      </c>
      <c r="C16" s="18">
        <v>0.505</v>
      </c>
      <c r="D16" s="18">
        <v>0.71299999999999997</v>
      </c>
      <c r="E16" s="18">
        <v>0.65900000000000003</v>
      </c>
      <c r="F16" s="18">
        <v>0.7</v>
      </c>
      <c r="G16" s="18">
        <v>0.65400000000000003</v>
      </c>
      <c r="H16" s="18">
        <v>1.49</v>
      </c>
      <c r="I16" s="18">
        <v>1.2529999999999999</v>
      </c>
      <c r="J16" s="18">
        <v>1.266</v>
      </c>
      <c r="K16" s="18">
        <v>1.367</v>
      </c>
      <c r="L16" s="18">
        <v>1.9259999999999999</v>
      </c>
      <c r="M16" s="18">
        <v>1.863</v>
      </c>
    </row>
    <row r="17" spans="1:13">
      <c r="A17" s="10" t="s">
        <v>68</v>
      </c>
      <c r="B17" s="18">
        <v>0.65600000000000003</v>
      </c>
      <c r="C17" s="18">
        <v>0.65100000000000002</v>
      </c>
      <c r="D17" s="18">
        <v>0.65300000000000002</v>
      </c>
      <c r="E17" s="18">
        <v>0.69</v>
      </c>
      <c r="F17" s="18">
        <v>0.61299999999999999</v>
      </c>
      <c r="G17" s="18">
        <v>0.61199999999999999</v>
      </c>
      <c r="H17" s="18">
        <v>1.3069999999999999</v>
      </c>
      <c r="I17" s="18">
        <v>1.4370000000000001</v>
      </c>
      <c r="J17" s="18">
        <v>1.331</v>
      </c>
      <c r="K17" s="18">
        <v>1.3720000000000001</v>
      </c>
      <c r="L17" s="18">
        <v>1.415</v>
      </c>
      <c r="M17" s="18">
        <v>1.111</v>
      </c>
    </row>
    <row r="18" spans="1:13">
      <c r="A18" s="10" t="s">
        <v>69</v>
      </c>
      <c r="B18" s="18">
        <v>0.77100000000000002</v>
      </c>
      <c r="C18" s="18">
        <v>0.81200000000000006</v>
      </c>
      <c r="D18" s="18">
        <v>0.82799999999999996</v>
      </c>
      <c r="E18" s="18">
        <v>0.80800000000000005</v>
      </c>
      <c r="F18" s="18">
        <v>0.78100000000000003</v>
      </c>
      <c r="G18" s="18">
        <v>0.80100000000000005</v>
      </c>
      <c r="H18" s="18">
        <v>1.48</v>
      </c>
      <c r="I18" s="18">
        <v>1.411</v>
      </c>
      <c r="J18" s="18">
        <v>1.43</v>
      </c>
      <c r="K18" s="18">
        <v>1.5269999999999999</v>
      </c>
      <c r="L18" s="18">
        <v>1.502</v>
      </c>
      <c r="M18" s="18">
        <v>1.456</v>
      </c>
    </row>
    <row r="19" spans="1:13">
      <c r="A19" s="10" t="s">
        <v>70</v>
      </c>
      <c r="B19" s="18">
        <v>0.71599999999999997</v>
      </c>
      <c r="C19" s="18">
        <v>0.84399999999999997</v>
      </c>
      <c r="D19" s="18">
        <v>0.85599999999999998</v>
      </c>
      <c r="E19" s="18">
        <v>0.85499999999999998</v>
      </c>
      <c r="F19" s="18">
        <v>0.98699999999999999</v>
      </c>
      <c r="G19" s="18">
        <v>0.85599999999999998</v>
      </c>
      <c r="H19" s="18">
        <v>1.6779999999999999</v>
      </c>
      <c r="I19" s="18">
        <v>1.615</v>
      </c>
      <c r="J19" s="18">
        <v>1.609</v>
      </c>
      <c r="K19" s="18">
        <v>1.7649999999999999</v>
      </c>
      <c r="L19" s="18">
        <v>1.74</v>
      </c>
      <c r="M19" s="18">
        <v>1.1870000000000001</v>
      </c>
    </row>
    <row r="20" spans="1:13">
      <c r="A20" s="9" t="s">
        <v>71</v>
      </c>
      <c r="B20" s="18">
        <v>0.69399999999999995</v>
      </c>
      <c r="C20" s="18">
        <v>0.84899999999999998</v>
      </c>
      <c r="D20" s="18">
        <v>0.83599999999999997</v>
      </c>
      <c r="E20" s="18">
        <v>0.88700000000000001</v>
      </c>
      <c r="F20" s="18">
        <v>0.98</v>
      </c>
      <c r="G20" s="18">
        <v>1.048</v>
      </c>
      <c r="H20" s="18">
        <v>1.831</v>
      </c>
      <c r="I20" s="18">
        <v>1.9690000000000001</v>
      </c>
      <c r="J20" s="18">
        <v>1.788</v>
      </c>
      <c r="K20" s="18">
        <v>2.0150000000000001</v>
      </c>
      <c r="L20" s="18">
        <v>1.8009999999999999</v>
      </c>
      <c r="M20" s="18">
        <v>1.881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0.70500000000000007</v>
      </c>
      <c r="C24" s="68"/>
      <c r="D24" s="67">
        <f>(D13+E13)/2</f>
        <v>0.27749999999999997</v>
      </c>
      <c r="E24" s="68"/>
      <c r="F24" s="69">
        <f>100-(D24/B24*100)</f>
        <v>60.638297872340438</v>
      </c>
      <c r="G24" s="70"/>
      <c r="H24" s="71">
        <f>(H13+I13)/2</f>
        <v>1.7464999999999999</v>
      </c>
      <c r="I24" s="72"/>
      <c r="J24" s="71">
        <f>(J13+K13)/2</f>
        <v>0.66749999999999998</v>
      </c>
      <c r="K24" s="72"/>
      <c r="L24" s="65">
        <f>100-(J24/H24*100)</f>
        <v>61.78070426567421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-27.234042553191486</v>
      </c>
      <c r="G27" s="7">
        <f>IF(G13="","",100-G13/$B$24*100)</f>
        <v>-20.992907801418426</v>
      </c>
      <c r="H27" s="8"/>
      <c r="I27" s="8"/>
      <c r="J27" s="8"/>
      <c r="K27" s="8"/>
      <c r="L27" s="7">
        <f>IF(L13="","",100-L13/$H$24*100)</f>
        <v>-10.793014600629846</v>
      </c>
      <c r="M27" s="7">
        <f>IF(M13="","",100-M13/$H$24*100)</f>
        <v>-13.369596335528215</v>
      </c>
    </row>
    <row r="28" spans="1:13">
      <c r="A28" s="3" t="s">
        <v>65</v>
      </c>
      <c r="B28" s="7">
        <f>IF(B14="","",100-B14/$B$24*100)</f>
        <v>-9.3617021276595693</v>
      </c>
      <c r="C28" s="7">
        <f t="shared" ref="C28:G28" si="0">IF(C14="","",100-C14/$B$24*100)</f>
        <v>-3.5460992907801341</v>
      </c>
      <c r="D28" s="7">
        <f t="shared" si="0"/>
        <v>5.5319148936170279</v>
      </c>
      <c r="E28" s="7">
        <f t="shared" si="0"/>
        <v>4.3971631205673845</v>
      </c>
      <c r="F28" s="7">
        <f t="shared" si="0"/>
        <v>-3.5460992907801341</v>
      </c>
      <c r="G28" s="7">
        <f t="shared" si="0"/>
        <v>-8.3687943262411295</v>
      </c>
      <c r="H28" s="7">
        <f>IF(H14="","",100-H14/$H$24*100)</f>
        <v>9.762381906670484</v>
      </c>
      <c r="I28" s="7">
        <f t="shared" ref="I28:L28" si="1">IF(I14="","",100-I14/$H$24*100)</f>
        <v>11.938162038362435</v>
      </c>
      <c r="J28" s="7">
        <f t="shared" si="1"/>
        <v>9.0752934440309048</v>
      </c>
      <c r="K28" s="7">
        <f t="shared" si="1"/>
        <v>12.797022616661906</v>
      </c>
      <c r="L28" s="7">
        <f t="shared" si="1"/>
        <v>1.9753793300887423</v>
      </c>
      <c r="M28" s="7">
        <f>IF(M14="","",100-M14/$H$24*100)</f>
        <v>-6.956770684225603</v>
      </c>
    </row>
    <row r="29" spans="1:13">
      <c r="A29" s="3" t="s">
        <v>66</v>
      </c>
      <c r="B29" s="7">
        <f t="shared" ref="B29:G29" si="2">IF(B15="","",100-B15/$B$24*100)</f>
        <v>13.191489361702139</v>
      </c>
      <c r="C29" s="7">
        <f t="shared" si="2"/>
        <v>10.354609929078023</v>
      </c>
      <c r="D29" s="7">
        <f t="shared" si="2"/>
        <v>4.1134751773049771</v>
      </c>
      <c r="E29" s="7">
        <f t="shared" si="2"/>
        <v>1.7021276595744865</v>
      </c>
      <c r="F29" s="7">
        <f t="shared" si="2"/>
        <v>-5.2482269503546064</v>
      </c>
      <c r="G29" s="7">
        <f t="shared" si="2"/>
        <v>-4.3971631205673702</v>
      </c>
      <c r="H29" s="7">
        <f t="shared" ref="H29:M29" si="3">IF(H15="","",100-H15/$H$24*100)</f>
        <v>15.316346979673625</v>
      </c>
      <c r="I29" s="7">
        <f t="shared" si="3"/>
        <v>21.900944746636114</v>
      </c>
      <c r="J29" s="7">
        <f t="shared" si="3"/>
        <v>16.060692814199825</v>
      </c>
      <c r="K29" s="7">
        <f t="shared" si="3"/>
        <v>8.4454623532779891</v>
      </c>
      <c r="L29" s="7">
        <f t="shared" si="3"/>
        <v>-6.4987117091325644</v>
      </c>
      <c r="M29" s="7">
        <f t="shared" si="3"/>
        <v>-6.2124248496993886</v>
      </c>
    </row>
    <row r="30" spans="1:13">
      <c r="A30" s="3" t="s">
        <v>67</v>
      </c>
      <c r="B30" s="7">
        <f t="shared" ref="B30:G30" si="4">IF(B16="","",100-B16/$B$24*100)</f>
        <v>6.0992907801418568</v>
      </c>
      <c r="C30" s="7">
        <f t="shared" si="4"/>
        <v>28.368794326241144</v>
      </c>
      <c r="D30" s="7">
        <f t="shared" si="4"/>
        <v>-1.1347517730496293</v>
      </c>
      <c r="E30" s="7">
        <f t="shared" si="4"/>
        <v>6.5248226950354677</v>
      </c>
      <c r="F30" s="7">
        <f t="shared" si="4"/>
        <v>0.70921985815604671</v>
      </c>
      <c r="G30" s="7">
        <f t="shared" si="4"/>
        <v>7.2340425531915002</v>
      </c>
      <c r="H30" s="7">
        <f t="shared" ref="H30:M30" si="5">IF(H16="","",100-H16/$H$24*100)</f>
        <v>14.686515888920695</v>
      </c>
      <c r="I30" s="7">
        <f t="shared" si="5"/>
        <v>28.256513026052104</v>
      </c>
      <c r="J30" s="7">
        <f t="shared" si="5"/>
        <v>27.512167191525904</v>
      </c>
      <c r="K30" s="7">
        <f t="shared" si="5"/>
        <v>21.729172630976237</v>
      </c>
      <c r="L30" s="7">
        <f t="shared" si="5"/>
        <v>-10.277698253650144</v>
      </c>
      <c r="M30" s="7">
        <f t="shared" si="5"/>
        <v>-6.6704838247924556</v>
      </c>
    </row>
    <row r="31" spans="1:13">
      <c r="A31" s="3" t="s">
        <v>68</v>
      </c>
      <c r="B31" s="7">
        <f t="shared" ref="B31:G31" si="6">IF(B17="","",100-B17/$B$24*100)</f>
        <v>6.9503546099290929</v>
      </c>
      <c r="C31" s="7">
        <f t="shared" si="6"/>
        <v>7.6595744680851112</v>
      </c>
      <c r="D31" s="7">
        <f t="shared" si="6"/>
        <v>7.3758865248227039</v>
      </c>
      <c r="E31" s="7">
        <f t="shared" si="6"/>
        <v>2.1276595744680975</v>
      </c>
      <c r="F31" s="7">
        <f t="shared" si="6"/>
        <v>13.049645390070935</v>
      </c>
      <c r="G31" s="7">
        <f t="shared" si="6"/>
        <v>13.191489361702139</v>
      </c>
      <c r="H31" s="7">
        <f t="shared" ref="H31:M31" si="7">IF(H17="","",100-H17/$H$24*100)</f>
        <v>25.164614944174062</v>
      </c>
      <c r="I31" s="7">
        <f t="shared" si="7"/>
        <v>17.721156598912103</v>
      </c>
      <c r="J31" s="7">
        <f t="shared" si="7"/>
        <v>23.790438018894932</v>
      </c>
      <c r="K31" s="7">
        <f t="shared" si="7"/>
        <v>21.442885771543075</v>
      </c>
      <c r="L31" s="7">
        <f t="shared" si="7"/>
        <v>18.980818780417977</v>
      </c>
      <c r="M31" s="7">
        <f t="shared" si="7"/>
        <v>36.387059833953614</v>
      </c>
    </row>
    <row r="32" spans="1:13">
      <c r="A32" s="3" t="s">
        <v>69</v>
      </c>
      <c r="B32" s="7">
        <f t="shared" ref="B32:G32" si="8">IF(B18="","",100-B18/$B$24*100)</f>
        <v>-9.3617021276595693</v>
      </c>
      <c r="C32" s="7">
        <f t="shared" si="8"/>
        <v>-15.17730496453899</v>
      </c>
      <c r="D32" s="7">
        <f t="shared" si="8"/>
        <v>-17.446808510638292</v>
      </c>
      <c r="E32" s="7">
        <f t="shared" si="8"/>
        <v>-14.609929078014176</v>
      </c>
      <c r="F32" s="7">
        <f t="shared" si="8"/>
        <v>-10.78014184397162</v>
      </c>
      <c r="G32" s="7">
        <f t="shared" si="8"/>
        <v>-13.617021276595736</v>
      </c>
      <c r="H32" s="7">
        <f t="shared" ref="H32:M32" si="9">IF(H18="","",100-H18/$H$24*100)</f>
        <v>15.259089607787004</v>
      </c>
      <c r="I32" s="7">
        <f t="shared" si="9"/>
        <v>19.209848267964489</v>
      </c>
      <c r="J32" s="7">
        <f t="shared" si="9"/>
        <v>18.12195820211852</v>
      </c>
      <c r="K32" s="7">
        <f t="shared" si="9"/>
        <v>12.567993129115379</v>
      </c>
      <c r="L32" s="7">
        <f t="shared" si="9"/>
        <v>13.99942742628113</v>
      </c>
      <c r="M32" s="7">
        <f t="shared" si="9"/>
        <v>16.63326653306612</v>
      </c>
    </row>
    <row r="33" spans="1:13">
      <c r="A33" s="3" t="s">
        <v>70</v>
      </c>
      <c r="B33" s="7">
        <f t="shared" ref="B33:G33" si="10">IF(B19="","",100-B19/$B$24*100)</f>
        <v>-1.5602836879432544</v>
      </c>
      <c r="C33" s="7">
        <f t="shared" si="10"/>
        <v>-19.716312056737564</v>
      </c>
      <c r="D33" s="7">
        <f t="shared" si="10"/>
        <v>-21.418439716312037</v>
      </c>
      <c r="E33" s="7">
        <f t="shared" si="10"/>
        <v>-21.276595744680833</v>
      </c>
      <c r="F33" s="7">
        <f t="shared" si="10"/>
        <v>-40</v>
      </c>
      <c r="G33" s="7">
        <f t="shared" si="10"/>
        <v>-21.418439716312037</v>
      </c>
      <c r="H33" s="7">
        <f t="shared" ref="H33:M34" si="11">IF(H19="","",100-H19/$H$24*100)</f>
        <v>3.9221299742341813</v>
      </c>
      <c r="I33" s="7">
        <f t="shared" si="11"/>
        <v>7.5293444030918977</v>
      </c>
      <c r="J33" s="7">
        <f t="shared" si="11"/>
        <v>7.8728886344116802</v>
      </c>
      <c r="K33" s="7">
        <f t="shared" si="11"/>
        <v>-1.0592613799026651</v>
      </c>
      <c r="L33" s="7">
        <f t="shared" si="11"/>
        <v>0.37217291726308588</v>
      </c>
      <c r="M33" s="7">
        <f t="shared" si="11"/>
        <v>32.035499570569698</v>
      </c>
    </row>
    <row r="34" spans="1:13">
      <c r="A34" s="3" t="s">
        <v>71</v>
      </c>
      <c r="B34" s="7">
        <f t="shared" ref="B34:G34" si="12">IF(B20="","",100-B20/$B$24*100)</f>
        <v>1.5602836879432687</v>
      </c>
      <c r="C34" s="7">
        <f t="shared" si="12"/>
        <v>-20.425531914893597</v>
      </c>
      <c r="D34" s="7">
        <f t="shared" si="12"/>
        <v>-18.581560283687935</v>
      </c>
      <c r="E34" s="7">
        <f t="shared" si="12"/>
        <v>-25.815602836879421</v>
      </c>
      <c r="F34" s="7">
        <f t="shared" si="12"/>
        <v>-39.007092198581546</v>
      </c>
      <c r="G34" s="7">
        <f t="shared" si="12"/>
        <v>-48.652482269503537</v>
      </c>
      <c r="H34" s="7">
        <f>IF(H20="","",100-H20/$H$24*100)</f>
        <v>-4.8382479244202727</v>
      </c>
      <c r="I34" s="7">
        <f t="shared" si="11"/>
        <v>-12.739765244775271</v>
      </c>
      <c r="J34" s="7">
        <f t="shared" si="11"/>
        <v>-2.3761809332951742</v>
      </c>
      <c r="K34" s="7">
        <f t="shared" si="11"/>
        <v>-15.373604351560274</v>
      </c>
      <c r="L34" s="7">
        <f t="shared" si="11"/>
        <v>-3.120526767821346</v>
      </c>
      <c r="M34" s="7">
        <f>IF(M20="","",100-M20/$H$24*100)</f>
        <v>-7.7011165187517889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23" workbookViewId="0">
      <selection activeCell="J14" sqref="J14:J23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 t="str">
        <f>IF(ECHANTILLONS!C6="","",ECHANTILLONS!C6)</f>
        <v/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tr">
        <f>IF(ECHANTILLONS!C7="","",ECHANTILLONS!C7)</f>
        <v/>
      </c>
      <c r="D6" s="27"/>
      <c r="E6" s="27"/>
      <c r="F6" s="27"/>
      <c r="G6" s="27"/>
      <c r="H6" s="27"/>
      <c r="I6" s="30"/>
    </row>
    <row r="7" spans="1:12" ht="15" customHeight="1">
      <c r="A7" s="32" t="s">
        <v>83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 t="str">
        <f>IF(ECHANTILLONS!C9="","",ECHANTILLONS!C9)</f>
        <v/>
      </c>
      <c r="D8" s="27"/>
      <c r="E8" s="27"/>
      <c r="F8" s="27"/>
      <c r="G8" s="27"/>
      <c r="H8" s="27"/>
      <c r="I8" s="30"/>
    </row>
    <row r="9" spans="1:12" ht="15" customHeight="1">
      <c r="A9" s="32" t="s">
        <v>84</v>
      </c>
      <c r="B9" s="33"/>
      <c r="C9" s="38" t="str">
        <f>IF(ECHANTILLONS!C10="","",ECHANTILLONS!C10)</f>
        <v/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85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86</v>
      </c>
      <c r="E13" s="44" t="s">
        <v>87</v>
      </c>
      <c r="F13" s="41" t="s">
        <v>86</v>
      </c>
      <c r="G13" s="44" t="s">
        <v>87</v>
      </c>
      <c r="H13" s="74"/>
      <c r="I13" s="45" t="s">
        <v>88</v>
      </c>
      <c r="J13" s="55" t="s">
        <v>89</v>
      </c>
      <c r="K13" s="54"/>
      <c r="L13" s="54"/>
    </row>
    <row r="14" spans="1:12" ht="15" customHeight="1">
      <c r="A14" s="46" t="s">
        <v>11</v>
      </c>
      <c r="B14" s="47">
        <f>IF(ECHANTILLONS!B15="","",ECHANTILLONS!B15)</f>
        <v>838</v>
      </c>
      <c r="C14" s="48">
        <f>IF(ECHANTILLONS!C15="","",ECHANTILLONS!C15)</f>
        <v>2502341</v>
      </c>
      <c r="D14" s="49">
        <f>IF('450-600 nm'!F27="","",'450-600 nm'!F27)</f>
        <v>-27.234042553191486</v>
      </c>
      <c r="E14" s="49" t="str">
        <f>IF(D14="","",IF(D14&gt;=$G$5,"POS","NEG"))</f>
        <v>NEG</v>
      </c>
      <c r="F14" s="49">
        <f>IF('450-600 nm'!L27="","",'450-600 nm'!L27)</f>
        <v>-10.793014600629846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>
      <c r="A15" s="36" t="s">
        <v>12</v>
      </c>
      <c r="B15" s="47">
        <f>IF(ECHANTILLONS!B16="","",ECHANTILLONS!B16)</f>
        <v>839</v>
      </c>
      <c r="C15" s="51">
        <f>IF(ECHANTILLONS!C16="","",ECHANTILLONS!C16)</f>
        <v>2502347</v>
      </c>
      <c r="D15" s="52">
        <f>IF('450-600 nm'!G27="","",'450-600 nm'!G27)</f>
        <v>-20.992907801418426</v>
      </c>
      <c r="E15" s="49" t="str">
        <f t="shared" ref="E15:E57" si="0">IF(D15="","",IF(D15&gt;=$G$5,"POS","NEG"))</f>
        <v>NEG</v>
      </c>
      <c r="F15" s="52">
        <f>IF('450-600 nm'!M27="","",'450-600 nm'!M27)</f>
        <v>-13.369596335528215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>
      <c r="A16" s="36" t="s">
        <v>13</v>
      </c>
      <c r="B16" s="47">
        <f>IF(ECHANTILLONS!B17="","",ECHANTILLONS!B17)</f>
        <v>840</v>
      </c>
      <c r="C16" s="51">
        <f>IF(ECHANTILLONS!C17="","",ECHANTILLONS!C17)</f>
        <v>2503040</v>
      </c>
      <c r="D16" s="52">
        <f>IF('450-600 nm'!B28="","",'450-600 nm'!B28)</f>
        <v>-9.3617021276595693</v>
      </c>
      <c r="E16" s="49" t="str">
        <f t="shared" si="0"/>
        <v>NEG</v>
      </c>
      <c r="F16" s="52">
        <f>IF('450-600 nm'!H28="","",'450-600 nm'!H28)</f>
        <v>9.762381906670484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>
      <c r="A17" s="36" t="s">
        <v>14</v>
      </c>
      <c r="B17" s="47">
        <f>IF(ECHANTILLONS!B18="","",ECHANTILLONS!B18)</f>
        <v>841</v>
      </c>
      <c r="C17" s="51">
        <f>IF(ECHANTILLONS!C18="","",ECHANTILLONS!C18)</f>
        <v>2503063</v>
      </c>
      <c r="D17" s="52">
        <f>IF('450-600 nm'!C28="","",'450-600 nm'!C28)</f>
        <v>-3.5460992907801341</v>
      </c>
      <c r="E17" s="49" t="str">
        <f t="shared" si="0"/>
        <v>NEG</v>
      </c>
      <c r="F17" s="52">
        <f>IF('450-600 nm'!I28="","",'450-600 nm'!I28)</f>
        <v>11.938162038362435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>
      <c r="A18" s="36" t="s">
        <v>15</v>
      </c>
      <c r="B18" s="47">
        <f>IF(ECHANTILLONS!B19="","",ECHANTILLONS!B19)</f>
        <v>842</v>
      </c>
      <c r="C18" s="51">
        <f>IF(ECHANTILLONS!C19="","",ECHANTILLONS!C19)</f>
        <v>2500826</v>
      </c>
      <c r="D18" s="52">
        <f>IF('450-600 nm'!D28="","",'450-600 nm'!D28)</f>
        <v>5.5319148936170279</v>
      </c>
      <c r="E18" s="49" t="str">
        <f t="shared" si="0"/>
        <v>NEG</v>
      </c>
      <c r="F18" s="52">
        <f>IF('450-600 nm'!J28="","",'450-600 nm'!J28)</f>
        <v>9.0752934440309048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>
      <c r="A19" s="36" t="s">
        <v>16</v>
      </c>
      <c r="B19" s="47">
        <f>IF(ECHANTILLONS!B20="","",ECHANTILLONS!B20)</f>
        <v>843</v>
      </c>
      <c r="C19" s="51">
        <f>IF(ECHANTILLONS!C20="","",ECHANTILLONS!C20)</f>
        <v>2502295</v>
      </c>
      <c r="D19" s="52">
        <f>IF('450-600 nm'!E28="","",'450-600 nm'!E28)</f>
        <v>4.3971631205673845</v>
      </c>
      <c r="E19" s="49" t="str">
        <f t="shared" si="0"/>
        <v>NEG</v>
      </c>
      <c r="F19" s="52">
        <f>IF('450-600 nm'!K28="","",'450-600 nm'!K28)</f>
        <v>12.797022616661906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>
      <c r="A20" s="36" t="s">
        <v>17</v>
      </c>
      <c r="B20" s="47">
        <f>IF(ECHANTILLONS!B21="","",ECHANTILLONS!B21)</f>
        <v>844</v>
      </c>
      <c r="C20" s="51">
        <f>IF(ECHANTILLONS!C21="","",ECHANTILLONS!C21)</f>
        <v>2500856</v>
      </c>
      <c r="D20" s="52">
        <f>IF('450-600 nm'!F28="","",'450-600 nm'!F28)</f>
        <v>-3.5460992907801341</v>
      </c>
      <c r="E20" s="49" t="str">
        <f t="shared" si="0"/>
        <v>NEG</v>
      </c>
      <c r="F20" s="52">
        <f>IF('450-600 nm'!L28="","",'450-600 nm'!L28)</f>
        <v>1.9753793300887423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>
      <c r="A21" s="36" t="s">
        <v>18</v>
      </c>
      <c r="B21" s="47">
        <f>IF(ECHANTILLONS!B22="","",ECHANTILLONS!B22)</f>
        <v>845</v>
      </c>
      <c r="C21" s="51">
        <f>IF(ECHANTILLONS!C22="","",ECHANTILLONS!C22)</f>
        <v>2502227</v>
      </c>
      <c r="D21" s="52">
        <f>IF('450-600 nm'!G28="","",'450-600 nm'!G28)</f>
        <v>-8.3687943262411295</v>
      </c>
      <c r="E21" s="49" t="str">
        <f t="shared" si="0"/>
        <v>NEG</v>
      </c>
      <c r="F21" s="52">
        <f>IF('450-600 nm'!M28="","",'450-600 nm'!M28)</f>
        <v>-6.956770684225603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>
      <c r="A22" s="36" t="s">
        <v>19</v>
      </c>
      <c r="B22" s="47">
        <f>IF(ECHANTILLONS!B23="","",ECHANTILLONS!B23)</f>
        <v>846</v>
      </c>
      <c r="C22" s="51">
        <f>IF(ECHANTILLONS!C23="","",ECHANTILLONS!C23)</f>
        <v>2502291</v>
      </c>
      <c r="D22" s="52">
        <f>IF('450-600 nm'!B29="","",'450-600 nm'!B29)</f>
        <v>13.191489361702139</v>
      </c>
      <c r="E22" s="49" t="str">
        <f t="shared" si="0"/>
        <v>NEG</v>
      </c>
      <c r="F22" s="52">
        <f>IF('450-600 nm'!H29="","",'450-600 nm'!H29)</f>
        <v>15.316346979673625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>
      <c r="A23" s="36" t="s">
        <v>20</v>
      </c>
      <c r="B23" s="47">
        <f>IF(ECHANTILLONS!B24="","",ECHANTILLONS!B24)</f>
        <v>847</v>
      </c>
      <c r="C23" s="51">
        <f>IF(ECHANTILLONS!C24="","",ECHANTILLONS!C24)</f>
        <v>2502289</v>
      </c>
      <c r="D23" s="52">
        <f>IF('450-600 nm'!C29="","",'450-600 nm'!C29)</f>
        <v>10.354609929078023</v>
      </c>
      <c r="E23" s="49" t="str">
        <f t="shared" si="0"/>
        <v>NEG</v>
      </c>
      <c r="F23" s="52">
        <f>IF('450-600 nm'!I29="","",'450-600 nm'!I29)</f>
        <v>21.900944746636114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>
      <c r="A24" s="36" t="s">
        <v>21</v>
      </c>
      <c r="B24" s="47">
        <f>IF(ECHANTILLONS!B25="","",ECHANTILLONS!B25)</f>
        <v>848</v>
      </c>
      <c r="C24" s="51">
        <f>IF(ECHANTILLONS!C25="","",ECHANTILLONS!C25)</f>
        <v>2500876</v>
      </c>
      <c r="D24" s="52">
        <f>IF('450-600 nm'!D29="","",'450-600 nm'!D29)</f>
        <v>4.1134751773049771</v>
      </c>
      <c r="E24" s="49" t="str">
        <f t="shared" si="0"/>
        <v>NEG</v>
      </c>
      <c r="F24" s="52">
        <f>IF('450-600 nm'!J29="","",'450-600 nm'!J29)</f>
        <v>16.060692814199825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>
      <c r="A25" s="36" t="s">
        <v>22</v>
      </c>
      <c r="B25" s="47">
        <f>IF(ECHANTILLONS!B26="","",ECHANTILLONS!B26)</f>
        <v>849</v>
      </c>
      <c r="C25" s="51">
        <f>IF(ECHANTILLONS!C26="","",ECHANTILLONS!C26)</f>
        <v>2502361</v>
      </c>
      <c r="D25" s="52">
        <f>IF('450-600 nm'!E29="","",'450-600 nm'!E29)</f>
        <v>1.7021276595744865</v>
      </c>
      <c r="E25" s="49" t="str">
        <f t="shared" si="0"/>
        <v>NEG</v>
      </c>
      <c r="F25" s="52">
        <f>IF('450-600 nm'!K29="","",'450-600 nm'!K29)</f>
        <v>8.4454623532779891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>
      <c r="A26" s="36" t="s">
        <v>23</v>
      </c>
      <c r="B26" s="47">
        <f>IF(ECHANTILLONS!B27="","",ECHANTILLONS!B27)</f>
        <v>850</v>
      </c>
      <c r="C26" s="51">
        <f>IF(ECHANTILLONS!C27="","",ECHANTILLONS!C27)</f>
        <v>2502677</v>
      </c>
      <c r="D26" s="52">
        <f>IF('450-600 nm'!F29="","",'450-600 nm'!F29)</f>
        <v>-5.2482269503546064</v>
      </c>
      <c r="E26" s="49" t="str">
        <f t="shared" si="0"/>
        <v>NEG</v>
      </c>
      <c r="F26" s="52">
        <f>IF('450-600 nm'!L29="","",'450-600 nm'!L29)</f>
        <v>-6.4987117091325644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>
      <c r="A27" s="36" t="s">
        <v>24</v>
      </c>
      <c r="B27" s="47">
        <f>IF(ECHANTILLONS!B28="","",ECHANTILLONS!B28)</f>
        <v>851</v>
      </c>
      <c r="C27" s="51">
        <f>IF(ECHANTILLONS!C28="","",ECHANTILLONS!C28)</f>
        <v>2503082</v>
      </c>
      <c r="D27" s="52">
        <f>IF('450-600 nm'!G29="","",'450-600 nm'!G29)</f>
        <v>-4.3971631205673702</v>
      </c>
      <c r="E27" s="49" t="str">
        <f t="shared" si="0"/>
        <v>NEG</v>
      </c>
      <c r="F27" s="52">
        <f>IF('450-600 nm'!M29="","",'450-600 nm'!M29)</f>
        <v>-6.2124248496993886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>
      <c r="A28" s="36" t="s">
        <v>25</v>
      </c>
      <c r="B28" s="47">
        <f>IF(ECHANTILLONS!B29="","",ECHANTILLONS!B29)</f>
        <v>852</v>
      </c>
      <c r="C28" s="51">
        <f>IF(ECHANTILLONS!C29="","",ECHANTILLONS!C29)</f>
        <v>2503090</v>
      </c>
      <c r="D28" s="52">
        <f>IF('450-600 nm'!B30="","",'450-600 nm'!B30)</f>
        <v>6.0992907801418568</v>
      </c>
      <c r="E28" s="49" t="str">
        <f t="shared" si="0"/>
        <v>NEG</v>
      </c>
      <c r="F28" s="52">
        <f>IF('450-600 nm'!H30="","",'450-600 nm'!H30)</f>
        <v>14.686515888920695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>
      <c r="A29" s="36" t="s">
        <v>26</v>
      </c>
      <c r="B29" s="47">
        <f>IF(ECHANTILLONS!B30="","",ECHANTILLONS!B30)</f>
        <v>853</v>
      </c>
      <c r="C29" s="51">
        <f>IF(ECHANTILLONS!C30="","",ECHANTILLONS!C30)</f>
        <v>2502265</v>
      </c>
      <c r="D29" s="52">
        <f>IF('450-600 nm'!C30="","",'450-600 nm'!C30)</f>
        <v>28.368794326241144</v>
      </c>
      <c r="E29" s="49" t="str">
        <f t="shared" si="0"/>
        <v>NEG</v>
      </c>
      <c r="F29" s="52">
        <f>IF('450-600 nm'!I30="","",'450-600 nm'!I30)</f>
        <v>28.256513026052104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>
      <c r="A30" s="36" t="s">
        <v>27</v>
      </c>
      <c r="B30" s="47">
        <f>IF(ECHANTILLONS!B31="","",ECHANTILLONS!B31)</f>
        <v>854</v>
      </c>
      <c r="C30" s="51">
        <f>IF(ECHANTILLONS!C31="","",ECHANTILLONS!C31)</f>
        <v>2501302</v>
      </c>
      <c r="D30" s="52">
        <f>IF('450-600 nm'!D30="","",'450-600 nm'!D30)</f>
        <v>-1.1347517730496293</v>
      </c>
      <c r="E30" s="49" t="str">
        <f t="shared" si="0"/>
        <v>NEG</v>
      </c>
      <c r="F30" s="52">
        <f>IF('450-600 nm'!J30="","",'450-600 nm'!J30)</f>
        <v>27.512167191525904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>
      <c r="A31" s="36" t="s">
        <v>28</v>
      </c>
      <c r="B31" s="47">
        <f>IF(ECHANTILLONS!B32="","",ECHANTILLONS!B32)</f>
        <v>855</v>
      </c>
      <c r="C31" s="51">
        <f>IF(ECHANTILLONS!C32="","",ECHANTILLONS!C32)</f>
        <v>2501334</v>
      </c>
      <c r="D31" s="52">
        <f>IF('450-600 nm'!E30="","",'450-600 nm'!E30)</f>
        <v>6.5248226950354677</v>
      </c>
      <c r="E31" s="49" t="str">
        <f t="shared" si="0"/>
        <v>NEG</v>
      </c>
      <c r="F31" s="52">
        <f>IF('450-600 nm'!K30="","",'450-600 nm'!K30)</f>
        <v>21.729172630976237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>
      <c r="A32" s="36" t="s">
        <v>29</v>
      </c>
      <c r="B32" s="47">
        <f>IF(ECHANTILLONS!B33="","",ECHANTILLONS!B33)</f>
        <v>856</v>
      </c>
      <c r="C32" s="51">
        <f>IF(ECHANTILLONS!C33="","",ECHANTILLONS!C33)</f>
        <v>2502209</v>
      </c>
      <c r="D32" s="52">
        <f>IF('450-600 nm'!F30="","",'450-600 nm'!F30)</f>
        <v>0.70921985815604671</v>
      </c>
      <c r="E32" s="49" t="str">
        <f t="shared" si="0"/>
        <v>NEG</v>
      </c>
      <c r="F32" s="52">
        <f>IF('450-600 nm'!L30="","",'450-600 nm'!L30)</f>
        <v>-10.277698253650144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>
      <c r="A33" s="36" t="s">
        <v>30</v>
      </c>
      <c r="B33" s="47">
        <f>IF(ECHANTILLONS!B34="","",ECHANTILLONS!B34)</f>
        <v>857</v>
      </c>
      <c r="C33" s="51">
        <f>IF(ECHANTILLONS!C34="","",ECHANTILLONS!C34)</f>
        <v>2500811</v>
      </c>
      <c r="D33" s="52">
        <f>IF('450-600 nm'!G30="","",'450-600 nm'!G30)</f>
        <v>7.2340425531915002</v>
      </c>
      <c r="E33" s="49" t="str">
        <f t="shared" si="0"/>
        <v>NEG</v>
      </c>
      <c r="F33" s="52">
        <f>IF('450-600 nm'!M30="","",'450-600 nm'!M30)</f>
        <v>-6.6704838247924556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>
      <c r="A34" s="36" t="s">
        <v>31</v>
      </c>
      <c r="B34" s="47">
        <f>IF(ECHANTILLONS!B35="","",ECHANTILLONS!B35)</f>
        <v>858</v>
      </c>
      <c r="C34" s="51">
        <f>IF(ECHANTILLONS!C35="","",ECHANTILLONS!C35)</f>
        <v>2500817</v>
      </c>
      <c r="D34" s="52">
        <f>IF('450-600 nm'!B31="","",'450-600 nm'!B31)</f>
        <v>6.9503546099290929</v>
      </c>
      <c r="E34" s="49" t="str">
        <f t="shared" si="0"/>
        <v>NEG</v>
      </c>
      <c r="F34" s="52">
        <f>IF('450-600 nm'!H31="","",'450-600 nm'!H31)</f>
        <v>25.164614944174062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>
      <c r="A35" s="36" t="s">
        <v>32</v>
      </c>
      <c r="B35" s="47">
        <f>IF(ECHANTILLONS!B36="","",ECHANTILLONS!B36)</f>
        <v>859</v>
      </c>
      <c r="C35" s="51">
        <f>IF(ECHANTILLONS!C36="","",ECHANTILLONS!C36)</f>
        <v>2501996</v>
      </c>
      <c r="D35" s="52">
        <f>IF('450-600 nm'!C31="","",'450-600 nm'!C31)</f>
        <v>7.6595744680851112</v>
      </c>
      <c r="E35" s="49" t="str">
        <f t="shared" si="0"/>
        <v>NEG</v>
      </c>
      <c r="F35" s="52">
        <f>IF('450-600 nm'!I31="","",'450-600 nm'!I31)</f>
        <v>17.721156598912103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>
      <c r="A36" s="36" t="s">
        <v>33</v>
      </c>
      <c r="B36" s="47">
        <f>IF(ECHANTILLONS!B37="","",ECHANTILLONS!B37)</f>
        <v>860</v>
      </c>
      <c r="C36" s="51">
        <f>IF(ECHANTILLONS!C37="","",ECHANTILLONS!C37)</f>
        <v>2501951</v>
      </c>
      <c r="D36" s="52">
        <f>IF('450-600 nm'!D31="","",'450-600 nm'!D31)</f>
        <v>7.3758865248227039</v>
      </c>
      <c r="E36" s="49" t="str">
        <f t="shared" si="0"/>
        <v>NEG</v>
      </c>
      <c r="F36" s="52">
        <f>IF('450-600 nm'!J31="","",'450-600 nm'!J31)</f>
        <v>23.790438018894932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>
      <c r="A37" s="36" t="s">
        <v>34</v>
      </c>
      <c r="B37" s="47">
        <f>IF(ECHANTILLONS!B38="","",ECHANTILLONS!B38)</f>
        <v>861</v>
      </c>
      <c r="C37" s="51">
        <f>IF(ECHANTILLONS!C38="","",ECHANTILLONS!C38)</f>
        <v>2501948</v>
      </c>
      <c r="D37" s="52">
        <f>IF('450-600 nm'!E31="","",'450-600 nm'!E31)</f>
        <v>2.1276595744680975</v>
      </c>
      <c r="E37" s="49" t="str">
        <f t="shared" si="0"/>
        <v>NEG</v>
      </c>
      <c r="F37" s="52">
        <f>IF('450-600 nm'!K31="","",'450-600 nm'!K31)</f>
        <v>21.442885771543075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>
      <c r="A38" s="36" t="s">
        <v>35</v>
      </c>
      <c r="B38" s="47">
        <f>IF(ECHANTILLONS!B39="","",ECHANTILLONS!B39)</f>
        <v>862</v>
      </c>
      <c r="C38" s="51">
        <f>IF(ECHANTILLONS!C39="","",ECHANTILLONS!C39)</f>
        <v>2500076</v>
      </c>
      <c r="D38" s="52">
        <f>IF('450-600 nm'!F31="","",'450-600 nm'!F31)</f>
        <v>13.049645390070935</v>
      </c>
      <c r="E38" s="49" t="str">
        <f t="shared" si="0"/>
        <v>NEG</v>
      </c>
      <c r="F38" s="52">
        <f>IF('450-600 nm'!L31="","",'450-600 nm'!L31)</f>
        <v>18.980818780417977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>
      <c r="A39" s="36" t="s">
        <v>36</v>
      </c>
      <c r="B39" s="47">
        <f>IF(ECHANTILLONS!B40="","",ECHANTILLONS!B40)</f>
        <v>863</v>
      </c>
      <c r="C39" s="51">
        <f>IF(ECHANTILLONS!C40="","",ECHANTILLONS!C40)</f>
        <v>2500077</v>
      </c>
      <c r="D39" s="52">
        <f>IF('450-600 nm'!G31="","",'450-600 nm'!G31)</f>
        <v>13.191489361702139</v>
      </c>
      <c r="E39" s="49" t="str">
        <f t="shared" si="0"/>
        <v>NEG</v>
      </c>
      <c r="F39" s="52">
        <f>IF('450-600 nm'!M31="","",'450-600 nm'!M31)</f>
        <v>36.387059833953614</v>
      </c>
      <c r="G39" s="49" t="str">
        <f t="shared" si="1"/>
        <v>POS</v>
      </c>
      <c r="H39" s="49" t="str">
        <f t="shared" si="2"/>
        <v>P</v>
      </c>
      <c r="I39" s="50" t="str">
        <f>IF(ECHANTILLONS!D40="","",ECHANTILLONS!D40)</f>
        <v/>
      </c>
      <c r="J39" s="50"/>
    </row>
    <row r="40" spans="1:10" ht="15" customHeight="1">
      <c r="A40" s="36" t="s">
        <v>37</v>
      </c>
      <c r="B40" s="47">
        <f>IF(ECHANTILLONS!B41="","",ECHANTILLONS!B41)</f>
        <v>864</v>
      </c>
      <c r="C40" s="51">
        <f>IF(ECHANTILLONS!C41="","",ECHANTILLONS!C41)</f>
        <v>2502080</v>
      </c>
      <c r="D40" s="52">
        <f>IF('450-600 nm'!B32="","",'450-600 nm'!B32)</f>
        <v>-9.3617021276595693</v>
      </c>
      <c r="E40" s="49" t="str">
        <f t="shared" si="0"/>
        <v>NEG</v>
      </c>
      <c r="F40" s="52">
        <f>IF('450-600 nm'!H32="","",'450-600 nm'!H32)</f>
        <v>15.259089607787004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>
      <c r="A41" s="36" t="s">
        <v>38</v>
      </c>
      <c r="B41" s="47">
        <f>IF(ECHANTILLONS!B42="","",ECHANTILLONS!B42)</f>
        <v>865</v>
      </c>
      <c r="C41" s="51">
        <f>IF(ECHANTILLONS!C42="","",ECHANTILLONS!C42)</f>
        <v>2502098</v>
      </c>
      <c r="D41" s="52">
        <f>IF('450-600 nm'!C32="","",'450-600 nm'!C32)</f>
        <v>-15.17730496453899</v>
      </c>
      <c r="E41" s="49" t="str">
        <f t="shared" si="0"/>
        <v>NEG</v>
      </c>
      <c r="F41" s="52">
        <f>IF('450-600 nm'!I32="","",'450-600 nm'!I32)</f>
        <v>19.209848267964489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>
      <c r="A42" s="36" t="s">
        <v>39</v>
      </c>
      <c r="B42" s="47">
        <f>IF(ECHANTILLONS!B43="","",ECHANTILLONS!B43)</f>
        <v>866</v>
      </c>
      <c r="C42" s="51">
        <f>IF(ECHANTILLONS!C43="","",ECHANTILLONS!C43)</f>
        <v>2501934</v>
      </c>
      <c r="D42" s="52">
        <f>IF('450-600 nm'!D32="","",'450-600 nm'!D32)</f>
        <v>-17.446808510638292</v>
      </c>
      <c r="E42" s="49" t="str">
        <f t="shared" si="0"/>
        <v>NEG</v>
      </c>
      <c r="F42" s="52">
        <f>IF('450-600 nm'!J32="","",'450-600 nm'!J32)</f>
        <v>18.12195820211852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>
      <c r="A43" s="36" t="s">
        <v>40</v>
      </c>
      <c r="B43" s="47">
        <f>IF(ECHANTILLONS!B44="","",ECHANTILLONS!B44)</f>
        <v>867</v>
      </c>
      <c r="C43" s="51">
        <f>IF(ECHANTILLONS!C44="","",ECHANTILLONS!C44)</f>
        <v>2501989</v>
      </c>
      <c r="D43" s="52">
        <f>IF('450-600 nm'!E32="","",'450-600 nm'!E32)</f>
        <v>-14.609929078014176</v>
      </c>
      <c r="E43" s="49" t="str">
        <f t="shared" si="0"/>
        <v>NEG</v>
      </c>
      <c r="F43" s="52">
        <f>IF('450-600 nm'!K32="","",'450-600 nm'!K32)</f>
        <v>12.567993129115379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>
      <c r="A44" s="36" t="s">
        <v>41</v>
      </c>
      <c r="B44" s="47">
        <f>IF(ECHANTILLONS!B45="","",ECHANTILLONS!B45)</f>
        <v>868</v>
      </c>
      <c r="C44" s="51">
        <f>IF(ECHANTILLONS!C45="","",ECHANTILLONS!C45)</f>
        <v>2502079</v>
      </c>
      <c r="D44" s="52">
        <f>IF('450-600 nm'!F32="","",'450-600 nm'!F32)</f>
        <v>-10.78014184397162</v>
      </c>
      <c r="E44" s="49" t="str">
        <f t="shared" si="0"/>
        <v>NEG</v>
      </c>
      <c r="F44" s="52">
        <f>IF('450-600 nm'!L32="","",'450-600 nm'!L32)</f>
        <v>13.99942742628113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>
      <c r="A45" s="36" t="s">
        <v>42</v>
      </c>
      <c r="B45" s="47">
        <f>IF(ECHANTILLONS!B46="","",ECHANTILLONS!B46)</f>
        <v>869</v>
      </c>
      <c r="C45" s="51">
        <f>IF(ECHANTILLONS!C46="","",ECHANTILLONS!C46)</f>
        <v>2502096</v>
      </c>
      <c r="D45" s="52">
        <f>IF('450-600 nm'!G32="","",'450-600 nm'!G32)</f>
        <v>-13.617021276595736</v>
      </c>
      <c r="E45" s="49" t="str">
        <f t="shared" si="0"/>
        <v>NEG</v>
      </c>
      <c r="F45" s="52">
        <f>IF('450-600 nm'!M32="","",'450-600 nm'!M32)</f>
        <v>16.63326653306612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>
      <c r="A46" s="36" t="s">
        <v>43</v>
      </c>
      <c r="B46" s="47">
        <f>IF(ECHANTILLONS!B47="","",ECHANTILLONS!B47)</f>
        <v>870</v>
      </c>
      <c r="C46" s="51">
        <f>IF(ECHANTILLONS!C47="","",ECHANTILLONS!C47)</f>
        <v>2501041</v>
      </c>
      <c r="D46" s="52">
        <f>IF('450-600 nm'!B33="","",'450-600 nm'!B33)</f>
        <v>-1.5602836879432544</v>
      </c>
      <c r="E46" s="49" t="str">
        <f t="shared" si="0"/>
        <v>NEG</v>
      </c>
      <c r="F46" s="52">
        <f>IF('450-600 nm'!H33="","",'450-600 nm'!H33)</f>
        <v>3.9221299742341813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>
      <c r="A47" s="36" t="s">
        <v>44</v>
      </c>
      <c r="B47" s="47">
        <f>IF(ECHANTILLONS!B48="","",ECHANTILLONS!B48)</f>
        <v>871</v>
      </c>
      <c r="C47" s="51">
        <f>IF(ECHANTILLONS!C48="","",ECHANTILLONS!C48)</f>
        <v>2501033</v>
      </c>
      <c r="D47" s="52">
        <f>IF('450-600 nm'!C33="","",'450-600 nm'!C33)</f>
        <v>-19.716312056737564</v>
      </c>
      <c r="E47" s="49" t="str">
        <f t="shared" si="0"/>
        <v>NEG</v>
      </c>
      <c r="F47" s="52">
        <f>IF('450-600 nm'!I33="","",'450-600 nm'!I33)</f>
        <v>7.5293444030918977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>
      <c r="A48" s="36" t="s">
        <v>45</v>
      </c>
      <c r="B48" s="47">
        <f>IF(ECHANTILLONS!B49="","",ECHANTILLONS!B49)</f>
        <v>872</v>
      </c>
      <c r="C48" s="51">
        <f>IF(ECHANTILLONS!C49="","",ECHANTILLONS!C49)</f>
        <v>2501046</v>
      </c>
      <c r="D48" s="52">
        <f>IF('450-600 nm'!D33="","",'450-600 nm'!D33)</f>
        <v>-21.418439716312037</v>
      </c>
      <c r="E48" s="49" t="str">
        <f t="shared" si="0"/>
        <v>NEG</v>
      </c>
      <c r="F48" s="52">
        <f>IF('450-600 nm'!J33="","",'450-600 nm'!J33)</f>
        <v>7.8728886344116802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>
      <c r="A49" s="36" t="s">
        <v>46</v>
      </c>
      <c r="B49" s="47">
        <f>IF(ECHANTILLONS!B50="","",ECHANTILLONS!B50)</f>
        <v>873</v>
      </c>
      <c r="C49" s="51">
        <f>IF(ECHANTILLONS!C50="","",ECHANTILLONS!C50)</f>
        <v>2402583</v>
      </c>
      <c r="D49" s="52">
        <f>IF('450-600 nm'!E33="","",'450-600 nm'!E33)</f>
        <v>-21.276595744680833</v>
      </c>
      <c r="E49" s="49" t="str">
        <f t="shared" si="0"/>
        <v>NEG</v>
      </c>
      <c r="F49" s="52">
        <f>IF('450-600 nm'!K33="","",'450-600 nm'!K33)</f>
        <v>-1.0592613799026651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>
      <c r="A50" s="36" t="s">
        <v>47</v>
      </c>
      <c r="B50" s="47">
        <f>IF(ECHANTILLONS!B51="","",ECHANTILLONS!B51)</f>
        <v>874</v>
      </c>
      <c r="C50" s="51">
        <f>IF(ECHANTILLONS!C51="","",ECHANTILLONS!C51)</f>
        <v>2502240</v>
      </c>
      <c r="D50" s="52">
        <f>IF('450-600 nm'!F33="","",'450-600 nm'!F33)</f>
        <v>-40</v>
      </c>
      <c r="E50" s="49" t="str">
        <f t="shared" si="0"/>
        <v>NEG</v>
      </c>
      <c r="F50" s="52">
        <f>IF('450-600 nm'!L33="","",'450-600 nm'!L33)</f>
        <v>0.37217291726308588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>
      <c r="A51" s="36" t="s">
        <v>48</v>
      </c>
      <c r="B51" s="47">
        <f>IF(ECHANTILLONS!B52="","",ECHANTILLONS!B52)</f>
        <v>875</v>
      </c>
      <c r="C51" s="51">
        <f>IF(ECHANTILLONS!C52="","",ECHANTILLONS!C52)</f>
        <v>2502210</v>
      </c>
      <c r="D51" s="52">
        <f>IF('450-600 nm'!G33="","",'450-600 nm'!G33)</f>
        <v>-21.418439716312037</v>
      </c>
      <c r="E51" s="49" t="str">
        <f t="shared" si="0"/>
        <v>NEG</v>
      </c>
      <c r="F51" s="52">
        <f>IF('450-600 nm'!M33="","",'450-600 nm'!M33)</f>
        <v>32.035499570569698</v>
      </c>
      <c r="G51" s="49" t="str">
        <f t="shared" si="1"/>
        <v>POS</v>
      </c>
      <c r="H51" s="49" t="str">
        <f t="shared" si="2"/>
        <v>P</v>
      </c>
      <c r="I51" s="50" t="str">
        <f>IF(ECHANTILLONS!D52="","",ECHANTILLONS!D52)</f>
        <v/>
      </c>
      <c r="J51" s="50"/>
    </row>
    <row r="52" spans="1:10" ht="15" customHeight="1">
      <c r="A52" s="36" t="s">
        <v>49</v>
      </c>
      <c r="B52" s="47">
        <f>IF(ECHANTILLONS!B53="","",ECHANTILLONS!B53)</f>
        <v>876</v>
      </c>
      <c r="C52" s="51">
        <f>IF(ECHANTILLONS!C53="","",ECHANTILLONS!C53)</f>
        <v>2502243</v>
      </c>
      <c r="D52" s="52">
        <f>IF('450-600 nm'!B34="","",'450-600 nm'!B34)</f>
        <v>1.5602836879432687</v>
      </c>
      <c r="E52" s="49" t="str">
        <f t="shared" si="0"/>
        <v>NEG</v>
      </c>
      <c r="F52" s="52">
        <f>IF('450-600 nm'!H34="","",'450-600 nm'!H34)</f>
        <v>-4.8382479244202727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>
      <c r="A53" s="36" t="s">
        <v>50</v>
      </c>
      <c r="B53" s="47">
        <f>IF(ECHANTILLONS!B54="","",ECHANTILLONS!B54)</f>
        <v>877</v>
      </c>
      <c r="C53" s="51">
        <f>IF(ECHANTILLONS!C54="","",ECHANTILLONS!C54)</f>
        <v>2502086</v>
      </c>
      <c r="D53" s="52">
        <f>IF('450-600 nm'!C34="","",'450-600 nm'!C34)</f>
        <v>-20.425531914893597</v>
      </c>
      <c r="E53" s="49" t="str">
        <f t="shared" si="0"/>
        <v>NEG</v>
      </c>
      <c r="F53" s="52">
        <f>IF('450-600 nm'!I34="","",'450-600 nm'!I34)</f>
        <v>-12.739765244775271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>
      <c r="A54" s="36" t="s">
        <v>51</v>
      </c>
      <c r="B54" s="47">
        <f>IF(ECHANTILLONS!B55="","",ECHANTILLONS!B55)</f>
        <v>878</v>
      </c>
      <c r="C54" s="51">
        <f>IF(ECHANTILLONS!C55="","",ECHANTILLONS!C55)</f>
        <v>2502100</v>
      </c>
      <c r="D54" s="52">
        <f>IF('450-600 nm'!D34="","",'450-600 nm'!D34)</f>
        <v>-18.581560283687935</v>
      </c>
      <c r="E54" s="49" t="str">
        <f t="shared" si="0"/>
        <v>NEG</v>
      </c>
      <c r="F54" s="52">
        <f>IF('450-600 nm'!J34="","",'450-600 nm'!J34)</f>
        <v>-2.3761809332951742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>
      <c r="A55" s="36" t="s">
        <v>52</v>
      </c>
      <c r="B55" s="47">
        <f>IF(ECHANTILLONS!B56="","",ECHANTILLONS!B56)</f>
        <v>879</v>
      </c>
      <c r="C55" s="51">
        <f>IF(ECHANTILLONS!C56="","",ECHANTILLONS!C56)</f>
        <v>2502075</v>
      </c>
      <c r="D55" s="52">
        <f>IF('450-600 nm'!E34="","",'450-600 nm'!E34)</f>
        <v>-25.815602836879421</v>
      </c>
      <c r="E55" s="49" t="str">
        <f t="shared" si="0"/>
        <v>NEG</v>
      </c>
      <c r="F55" s="52">
        <f>IF('450-600 nm'!K34="","",'450-600 nm'!K34)</f>
        <v>-15.373604351560274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>
      <c r="A56" s="36" t="s">
        <v>53</v>
      </c>
      <c r="B56" s="47">
        <f>IF(ECHANTILLONS!B57="","",ECHANTILLONS!B57)</f>
        <v>880</v>
      </c>
      <c r="C56" s="51">
        <f>IF(ECHANTILLONS!C57="","",ECHANTILLONS!C57)</f>
        <v>2502213</v>
      </c>
      <c r="D56" s="52">
        <f>IF('450-600 nm'!F34="","",'450-600 nm'!F34)</f>
        <v>-39.007092198581546</v>
      </c>
      <c r="E56" s="49" t="str">
        <f t="shared" si="0"/>
        <v>NEG</v>
      </c>
      <c r="F56" s="52">
        <f>IF('450-600 nm'!L34="","",'450-600 nm'!L34)</f>
        <v>-3.120526767821346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>
      <c r="A57" s="36" t="s">
        <v>54</v>
      </c>
      <c r="B57" s="47">
        <f>IF(ECHANTILLONS!B58="","",ECHANTILLONS!B58)</f>
        <v>881</v>
      </c>
      <c r="C57" s="51">
        <f>IF(ECHANTILLONS!C58="","",ECHANTILLONS!C58)</f>
        <v>2502085</v>
      </c>
      <c r="D57" s="52">
        <f>IF('450-600 nm'!G34="","",'450-600 nm'!G34)</f>
        <v>-48.652482269503537</v>
      </c>
      <c r="E57" s="49" t="str">
        <f t="shared" si="0"/>
        <v>NEG</v>
      </c>
      <c r="F57" s="52">
        <f>IF('450-600 nm'!M34="","",'450-600 nm'!M34)</f>
        <v>-7.7011165187517889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2026-03-06T13:51:32+00:00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EC518F5B-E403-465B-8CE7-BF84EBB44AA4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2026-03-09T11:05:04Z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