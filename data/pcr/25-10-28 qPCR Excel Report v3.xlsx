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AF9A43AA-62E0-45CE-AA4C-2484673A4543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<sst xmlns="http://schemas.openxmlformats.org/spreadsheetml/2006/main" count="419" uniqueCount="75">
  <si>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</si>
  <si>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</si>
  <si>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</si>
  <si>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</si>
  <si>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</si>
  <si>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</si>
  <si>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</si>
  <si>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</si>
  <si>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</si>
  <si>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</si>
  <si>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</si>
  <si>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</si>
  <si>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</si>
  <si>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</si>
  <si>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</si>
  <si>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</si>
  <si>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</si>
  <si>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</si>
  <si>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</si>
  <si>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</si>
  <si>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</si>
  <si>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</si>
  <si>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</si>
  <si>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</si>
  <si>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</si>
  <si>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</si>
  <si>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</si>
  <si>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</si>
  <si>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</si>
  <si>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</si>
  <si>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</si>
  <si>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</si>
  <si>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</si>
  <si>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</si>
  <si>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</si>
  <si>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</si>
  <si>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</si>
  <si>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</si>
  <si>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</si>
  <si>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</si>
  <si>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</si>
  <si>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</si>
  <si>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</si>
  <si>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</si>
  <si>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</si>
  <si>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2025-10-28 11.46.25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</si>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</sst>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309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309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309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309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324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324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324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324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325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325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325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325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326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326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326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326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327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327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327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327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328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328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328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328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329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329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329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329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330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330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330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330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331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331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331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331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332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332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332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332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28.030942676277899</v>
      </c>
      <c r="D42" s="8">
        <v>0.89596795561654896</v>
      </c>
      <c r="E42" s="8">
        <v>0.99905999999999995</v>
      </c>
      <c r="F42" s="8"/>
    </row>
    <row r="43" spans="1:6">
      <c r="A43" s="8">
        <v>42</v>
      </c>
      <c r="B43" s="8" t="s">
        <v>7</v>
      </c>
      <c r="C43" s="8">
        <v>24.0564933920624</v>
      </c>
      <c r="D43" s="8">
        <v>0.83257035999081197</v>
      </c>
      <c r="E43" s="8">
        <v>0.99994000000000005</v>
      </c>
      <c r="F43" s="8"/>
    </row>
    <row r="44" spans="1:6">
      <c r="A44" s="8">
        <v>43</v>
      </c>
      <c r="B44" s="8" t="s">
        <v>7</v>
      </c>
      <c r="C44" s="8">
        <v>23.604994479933001</v>
      </c>
      <c r="D44" s="8">
        <v>0.838017222811823</v>
      </c>
      <c r="E44" s="8">
        <v>0.99978999999999996</v>
      </c>
      <c r="F44" s="8"/>
    </row>
    <row r="45" spans="1:6">
      <c r="A45" s="8">
        <v>44</v>
      </c>
      <c r="B45" s="8" t="s">
        <v>7</v>
      </c>
      <c r="C45" s="8">
        <v>23.622802102547599</v>
      </c>
      <c r="D45" s="8">
        <v>0.84511336863474695</v>
      </c>
      <c r="E45" s="8">
        <v>0.99978999999999996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309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309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309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309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324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324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324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324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325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325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325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325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326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326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326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326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327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327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327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327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328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328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328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328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329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329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329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329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330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330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330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330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331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331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331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331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332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332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332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332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22.951393354987001</v>
      </c>
      <c r="D42" s="9">
        <v>0.83199568376408295</v>
      </c>
      <c r="E42" s="9">
        <v>0.99777000000000005</v>
      </c>
      <c r="F42" s="9"/>
    </row>
    <row r="43" spans="1:6">
      <c r="A43" s="9">
        <v>42</v>
      </c>
      <c r="B43" s="9" t="s">
        <v>7</v>
      </c>
      <c r="C43" s="9">
        <v>21.359249868041498</v>
      </c>
      <c r="D43" s="9">
        <v>0.812880681468654</v>
      </c>
      <c r="E43" s="9">
        <v>0.99883999999999995</v>
      </c>
      <c r="F43" s="9"/>
    </row>
    <row r="44" spans="1:6">
      <c r="A44" s="9">
        <v>43</v>
      </c>
      <c r="B44" s="9" t="s">
        <v>7</v>
      </c>
      <c r="C44" s="9">
        <v>21.405676304813401</v>
      </c>
      <c r="D44" s="9">
        <v>0.80568500916446995</v>
      </c>
      <c r="E44" s="9">
        <v>0.99872000000000005</v>
      </c>
      <c r="F44" s="9"/>
    </row>
    <row r="45" spans="1:6">
      <c r="A45" s="9">
        <v>44</v>
      </c>
      <c r="B45" s="9" t="s">
        <v>7</v>
      </c>
      <c r="C45" s="9">
        <v>21.3065338283978</v>
      </c>
      <c r="D45" s="9">
        <v>0.81018033331902195</v>
      </c>
      <c r="E45" s="9">
        <v>0.99865000000000004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309</v>
      </c>
      <c r="C2" s="10">
        <v>22.838939976710599</v>
      </c>
      <c r="D2" s="10">
        <v>0.90247650323111095</v>
      </c>
      <c r="E2" s="10">
        <v>0.99956999999999996</v>
      </c>
      <c r="F2" s="10"/>
    </row>
    <row r="3" spans="1:6">
      <c r="A3" s="10">
        <v>2</v>
      </c>
      <c r="B3" s="10">
        <v>309</v>
      </c>
      <c r="C3" s="10">
        <v>22.949077411555901</v>
      </c>
      <c r="D3" s="10">
        <v>0.90702380699544105</v>
      </c>
      <c r="E3" s="10">
        <v>0.99946000000000002</v>
      </c>
      <c r="F3" s="10"/>
    </row>
    <row r="4" spans="1:6">
      <c r="A4" s="10">
        <v>3</v>
      </c>
      <c r="B4" s="10">
        <v>309</v>
      </c>
      <c r="C4" s="10">
        <v>22.807531135670601</v>
      </c>
      <c r="D4" s="10">
        <v>0.90381492544703501</v>
      </c>
      <c r="E4" s="10">
        <v>0.99955000000000005</v>
      </c>
      <c r="F4" s="10"/>
    </row>
    <row r="5" spans="1:6">
      <c r="A5" s="10">
        <v>4</v>
      </c>
      <c r="B5" s="10">
        <v>309</v>
      </c>
      <c r="C5" s="10">
        <v>22.822227970521102</v>
      </c>
      <c r="D5" s="10">
        <v>0.94179967891986904</v>
      </c>
      <c r="E5" s="10">
        <v>0.99922999999999995</v>
      </c>
      <c r="F5" s="10"/>
    </row>
    <row r="6" spans="1:6">
      <c r="A6" s="10">
        <v>5</v>
      </c>
      <c r="B6" s="10">
        <v>324</v>
      </c>
      <c r="C6" s="10">
        <v>22.556350973929302</v>
      </c>
      <c r="D6" s="10">
        <v>0.95270361561794203</v>
      </c>
      <c r="E6" s="10">
        <v>0.99961</v>
      </c>
      <c r="F6" s="10"/>
    </row>
    <row r="7" spans="1:6">
      <c r="A7" s="10">
        <v>6</v>
      </c>
      <c r="B7" s="10">
        <v>324</v>
      </c>
      <c r="C7" s="10">
        <v>22.531833559456299</v>
      </c>
      <c r="D7" s="10">
        <v>0.992796790772835</v>
      </c>
      <c r="E7" s="10">
        <v>0.99931999999999999</v>
      </c>
      <c r="F7" s="10"/>
    </row>
    <row r="8" spans="1:6">
      <c r="A8" s="10">
        <v>7</v>
      </c>
      <c r="B8" s="10">
        <v>324</v>
      </c>
      <c r="C8" s="10">
        <v>22.416118051508501</v>
      </c>
      <c r="D8" s="10">
        <v>0.96647264310363001</v>
      </c>
      <c r="E8" s="10">
        <v>0.99953000000000003</v>
      </c>
      <c r="F8" s="10"/>
    </row>
    <row r="9" spans="1:6">
      <c r="A9" s="10">
        <v>8</v>
      </c>
      <c r="B9" s="10">
        <v>324</v>
      </c>
      <c r="C9" s="10">
        <v>22.486472476106499</v>
      </c>
      <c r="D9" s="10">
        <v>0.97180728111702497</v>
      </c>
      <c r="E9" s="10">
        <v>0.99948999999999999</v>
      </c>
      <c r="F9" s="10"/>
    </row>
    <row r="10" spans="1:6">
      <c r="A10" s="10">
        <v>9</v>
      </c>
      <c r="B10" s="10">
        <v>325</v>
      </c>
      <c r="C10" s="10">
        <v>21.6339429649835</v>
      </c>
      <c r="D10" s="10">
        <v>0.95315257733149406</v>
      </c>
      <c r="E10" s="10">
        <v>0.99936999999999998</v>
      </c>
      <c r="F10" s="10"/>
    </row>
    <row r="11" spans="1:6">
      <c r="A11" s="10">
        <v>10</v>
      </c>
      <c r="B11" s="10">
        <v>325</v>
      </c>
      <c r="C11" s="10">
        <v>21.5109041139923</v>
      </c>
      <c r="D11" s="10">
        <v>0.96265631467033697</v>
      </c>
      <c r="E11" s="10">
        <v>0.99951999999999996</v>
      </c>
      <c r="F11" s="10"/>
    </row>
    <row r="12" spans="1:6">
      <c r="A12" s="10">
        <v>11</v>
      </c>
      <c r="B12" s="10">
        <v>325</v>
      </c>
      <c r="C12" s="10">
        <v>21.560600568513902</v>
      </c>
      <c r="D12" s="10">
        <v>0.94998739274214505</v>
      </c>
      <c r="E12" s="10">
        <v>0.99955000000000005</v>
      </c>
      <c r="F12" s="10"/>
    </row>
    <row r="13" spans="1:6">
      <c r="A13" s="10">
        <v>12</v>
      </c>
      <c r="B13" s="10">
        <v>325</v>
      </c>
      <c r="C13" s="10">
        <v>21.514739951696502</v>
      </c>
      <c r="D13" s="10">
        <v>0.94822706955353897</v>
      </c>
      <c r="E13" s="10">
        <v>0.99956</v>
      </c>
      <c r="F13" s="10"/>
    </row>
    <row r="14" spans="1:6">
      <c r="A14" s="10">
        <v>13</v>
      </c>
      <c r="B14" s="10">
        <v>326</v>
      </c>
      <c r="C14" s="10">
        <v>20.968202301040201</v>
      </c>
      <c r="D14" s="10">
        <v>0.91791956502876404</v>
      </c>
      <c r="E14" s="10">
        <v>0.99950000000000006</v>
      </c>
      <c r="F14" s="10"/>
    </row>
    <row r="15" spans="1:6">
      <c r="A15" s="10">
        <v>14</v>
      </c>
      <c r="B15" s="10">
        <v>326</v>
      </c>
      <c r="C15" s="10">
        <v>20.949841088356798</v>
      </c>
      <c r="D15" s="10">
        <v>0.94151766573725204</v>
      </c>
      <c r="E15" s="10">
        <v>0.99926999999999999</v>
      </c>
      <c r="F15" s="10"/>
    </row>
    <row r="16" spans="1:6">
      <c r="A16" s="10">
        <v>15</v>
      </c>
      <c r="B16" s="10">
        <v>326</v>
      </c>
      <c r="C16" s="10">
        <v>20.9299286269131</v>
      </c>
      <c r="D16" s="10">
        <v>0.94541124461300396</v>
      </c>
      <c r="E16" s="10">
        <v>0.99917</v>
      </c>
      <c r="F16" s="10"/>
    </row>
    <row r="17" spans="1:6">
      <c r="A17" s="10">
        <v>16</v>
      </c>
      <c r="B17" s="10">
        <v>326</v>
      </c>
      <c r="C17" s="10">
        <v>20.891500473933</v>
      </c>
      <c r="D17" s="10">
        <v>0.94708397919960596</v>
      </c>
      <c r="E17" s="10">
        <v>0.99919000000000002</v>
      </c>
      <c r="F17" s="10"/>
    </row>
    <row r="18" spans="1:6">
      <c r="A18" s="10">
        <v>17</v>
      </c>
      <c r="B18" s="10">
        <v>327</v>
      </c>
      <c r="C18" s="10">
        <v>21.182519831708699</v>
      </c>
      <c r="D18" s="10">
        <v>1.02877970946078</v>
      </c>
      <c r="E18" s="10">
        <v>0.99846000000000001</v>
      </c>
      <c r="F18" s="10"/>
    </row>
    <row r="19" spans="1:6">
      <c r="A19" s="10">
        <v>18</v>
      </c>
      <c r="B19" s="10">
        <v>327</v>
      </c>
      <c r="C19" s="10">
        <v>21.013452924864499</v>
      </c>
      <c r="D19" s="10">
        <v>0.93551481541209702</v>
      </c>
      <c r="E19" s="10">
        <v>0.99926000000000004</v>
      </c>
      <c r="F19" s="10"/>
    </row>
    <row r="20" spans="1:6">
      <c r="A20" s="10">
        <v>19</v>
      </c>
      <c r="B20" s="10">
        <v>327</v>
      </c>
      <c r="C20" s="10">
        <v>21.0382413466216</v>
      </c>
      <c r="D20" s="10">
        <v>0.93686726665358</v>
      </c>
      <c r="E20" s="10">
        <v>0.99927999999999995</v>
      </c>
      <c r="F20" s="10"/>
    </row>
    <row r="21" spans="1:6">
      <c r="A21" s="10">
        <v>20</v>
      </c>
      <c r="B21" s="10">
        <v>327</v>
      </c>
      <c r="C21" s="10">
        <v>21.014007599068101</v>
      </c>
      <c r="D21" s="10">
        <v>0.95031193598068497</v>
      </c>
      <c r="E21" s="10">
        <v>0.99916000000000005</v>
      </c>
      <c r="F21" s="10"/>
    </row>
    <row r="22" spans="1:6">
      <c r="A22" s="10">
        <v>21</v>
      </c>
      <c r="B22" s="10">
        <v>328</v>
      </c>
      <c r="C22" s="10">
        <v>22.3958343394814</v>
      </c>
      <c r="D22" s="10">
        <v>0.95759477450632902</v>
      </c>
      <c r="E22" s="10">
        <v>0.99953999999999998</v>
      </c>
      <c r="F22" s="10"/>
    </row>
    <row r="23" spans="1:6">
      <c r="A23" s="10">
        <v>22</v>
      </c>
      <c r="B23" s="10">
        <v>328</v>
      </c>
      <c r="C23" s="10">
        <v>22.291247507222099</v>
      </c>
      <c r="D23" s="10">
        <v>0.96514229458511303</v>
      </c>
      <c r="E23" s="10">
        <v>0.99924000000000002</v>
      </c>
      <c r="F23" s="10"/>
    </row>
    <row r="24" spans="1:6">
      <c r="A24" s="10">
        <v>23</v>
      </c>
      <c r="B24" s="10">
        <v>328</v>
      </c>
      <c r="C24" s="10">
        <v>22.281296621116301</v>
      </c>
      <c r="D24" s="10">
        <v>0.96132699375771702</v>
      </c>
      <c r="E24" s="10">
        <v>0.99917</v>
      </c>
      <c r="F24" s="10"/>
    </row>
    <row r="25" spans="1:6">
      <c r="A25" s="10">
        <v>24</v>
      </c>
      <c r="B25" s="10">
        <v>328</v>
      </c>
      <c r="C25" s="10">
        <v>22.278161677034799</v>
      </c>
      <c r="D25" s="10">
        <v>0.95131049655908495</v>
      </c>
      <c r="E25" s="10">
        <v>0.99922</v>
      </c>
      <c r="F25" s="10"/>
    </row>
    <row r="26" spans="1:6">
      <c r="A26" s="10">
        <v>25</v>
      </c>
      <c r="B26" s="10">
        <v>329</v>
      </c>
      <c r="C26" s="10">
        <v>22.146920997956499</v>
      </c>
      <c r="D26" s="10">
        <v>0.99831211393589603</v>
      </c>
      <c r="E26" s="10">
        <v>0.99873000000000001</v>
      </c>
      <c r="F26" s="10"/>
    </row>
    <row r="27" spans="1:6">
      <c r="A27" s="10">
        <v>26</v>
      </c>
      <c r="B27" s="10">
        <v>329</v>
      </c>
      <c r="C27" s="10">
        <v>21.8915303916909</v>
      </c>
      <c r="D27" s="10">
        <v>0.89097135029573005</v>
      </c>
      <c r="E27" s="10">
        <v>0.99966999999999995</v>
      </c>
      <c r="F27" s="10"/>
    </row>
    <row r="28" spans="1:6">
      <c r="A28" s="10">
        <v>27</v>
      </c>
      <c r="B28" s="10">
        <v>329</v>
      </c>
      <c r="C28" s="10">
        <v>21.812196844049499</v>
      </c>
      <c r="D28" s="10">
        <v>0.894283756716721</v>
      </c>
      <c r="E28" s="10">
        <v>0.99966999999999995</v>
      </c>
      <c r="F28" s="10"/>
    </row>
    <row r="29" spans="1:6">
      <c r="A29" s="10">
        <v>28</v>
      </c>
      <c r="B29" s="10">
        <v>329</v>
      </c>
      <c r="C29" s="10">
        <v>21.808617902067098</v>
      </c>
      <c r="D29" s="10">
        <v>0.85801953557631505</v>
      </c>
      <c r="E29" s="10">
        <v>0.99985000000000002</v>
      </c>
      <c r="F29" s="10"/>
    </row>
    <row r="30" spans="1:6">
      <c r="A30" s="10">
        <v>29</v>
      </c>
      <c r="B30" s="10">
        <v>330</v>
      </c>
      <c r="C30" s="10">
        <v>25.6781315723312</v>
      </c>
      <c r="D30" s="10">
        <v>0.92550545589299604</v>
      </c>
      <c r="E30" s="10">
        <v>0.99948000000000004</v>
      </c>
      <c r="F30" s="10"/>
    </row>
    <row r="31" spans="1:6">
      <c r="A31" s="10">
        <v>30</v>
      </c>
      <c r="B31" s="10">
        <v>330</v>
      </c>
      <c r="C31" s="10">
        <v>25.5793475325762</v>
      </c>
      <c r="D31" s="10">
        <v>0.939469234965991</v>
      </c>
      <c r="E31" s="10">
        <v>0.99958999999999998</v>
      </c>
      <c r="F31" s="10"/>
    </row>
    <row r="32" spans="1:6">
      <c r="A32" s="10">
        <v>31</v>
      </c>
      <c r="B32" s="10">
        <v>330</v>
      </c>
      <c r="C32" s="10">
        <v>25.7112039625036</v>
      </c>
      <c r="D32" s="10">
        <v>0.93934767781539197</v>
      </c>
      <c r="E32" s="10">
        <v>0.99948999999999999</v>
      </c>
      <c r="F32" s="10"/>
    </row>
    <row r="33" spans="1:6">
      <c r="A33" s="10">
        <v>32</v>
      </c>
      <c r="B33" s="10">
        <v>330</v>
      </c>
      <c r="C33" s="10">
        <v>25.5854621985591</v>
      </c>
      <c r="D33" s="10">
        <v>0.93861835976839003</v>
      </c>
      <c r="E33" s="10">
        <v>0.99956</v>
      </c>
      <c r="F33" s="10"/>
    </row>
    <row r="34" spans="1:6">
      <c r="A34" s="10">
        <v>33</v>
      </c>
      <c r="B34" s="10">
        <v>331</v>
      </c>
      <c r="C34" s="10">
        <v>22.232674135391999</v>
      </c>
      <c r="D34" s="10">
        <v>0.95425118638970197</v>
      </c>
      <c r="E34" s="10">
        <v>0.99921000000000004</v>
      </c>
      <c r="F34" s="10"/>
    </row>
    <row r="35" spans="1:6">
      <c r="A35" s="10">
        <v>34</v>
      </c>
      <c r="B35" s="10">
        <v>331</v>
      </c>
      <c r="C35" s="10">
        <v>22.124989309885901</v>
      </c>
      <c r="D35" s="10">
        <v>0.99791192717564903</v>
      </c>
      <c r="E35" s="10">
        <v>0.99873000000000001</v>
      </c>
      <c r="F35" s="10"/>
    </row>
    <row r="36" spans="1:6">
      <c r="A36" s="10">
        <v>35</v>
      </c>
      <c r="B36" s="10">
        <v>331</v>
      </c>
      <c r="C36" s="10">
        <v>22.2150367687935</v>
      </c>
      <c r="D36" s="10">
        <v>0.97251753328947699</v>
      </c>
      <c r="E36" s="10">
        <v>0.99904999999999999</v>
      </c>
      <c r="F36" s="10"/>
    </row>
    <row r="37" spans="1:6">
      <c r="A37" s="10">
        <v>36</v>
      </c>
      <c r="B37" s="10">
        <v>331</v>
      </c>
      <c r="C37" s="10">
        <v>22.150101277313698</v>
      </c>
      <c r="D37" s="10">
        <v>0.98505882033604897</v>
      </c>
      <c r="E37" s="10">
        <v>0.99888999999999994</v>
      </c>
      <c r="F37" s="10"/>
    </row>
    <row r="38" spans="1:6">
      <c r="A38" s="10">
        <v>37</v>
      </c>
      <c r="B38" s="10">
        <v>332</v>
      </c>
      <c r="C38" s="10">
        <v>23.583836667695799</v>
      </c>
      <c r="D38" s="10">
        <v>0.95444441259679402</v>
      </c>
      <c r="E38" s="10">
        <v>0.99953999999999998</v>
      </c>
      <c r="F38" s="10"/>
    </row>
    <row r="39" spans="1:6">
      <c r="A39" s="10">
        <v>38</v>
      </c>
      <c r="B39" s="10">
        <v>332</v>
      </c>
      <c r="C39" s="10">
        <v>23.407262972302298</v>
      </c>
      <c r="D39" s="10">
        <v>0.925447508119144</v>
      </c>
      <c r="E39" s="10">
        <v>0.99961999999999995</v>
      </c>
      <c r="F39" s="10"/>
    </row>
    <row r="40" spans="1:6">
      <c r="A40" s="10">
        <v>39</v>
      </c>
      <c r="B40" s="10">
        <v>332</v>
      </c>
      <c r="C40" s="10">
        <v>23.316572883680699</v>
      </c>
      <c r="D40" s="10">
        <v>0.97427073734265202</v>
      </c>
      <c r="E40" s="10">
        <v>0.99922</v>
      </c>
      <c r="F40" s="10"/>
    </row>
    <row r="41" spans="1:6">
      <c r="A41" s="10">
        <v>40</v>
      </c>
      <c r="B41" s="10">
        <v>332</v>
      </c>
      <c r="C41" s="10">
        <v>23.288795904766602</v>
      </c>
      <c r="D41" s="10">
        <v>0.96805542846520098</v>
      </c>
      <c r="E41" s="10">
        <v>0.99922</v>
      </c>
      <c r="F41" s="10"/>
    </row>
    <row r="42" spans="1:6">
      <c r="A42" s="10">
        <v>41</v>
      </c>
      <c r="B42" s="10" t="s">
        <v>7</v>
      </c>
      <c r="C42" s="10">
        <v>37.296385538032901</v>
      </c>
      <c r="D42" s="10">
        <v>0.58566064002339902</v>
      </c>
      <c r="E42" s="10">
        <v>0.99431000000000003</v>
      </c>
      <c r="F42" s="10"/>
    </row>
    <row r="43" spans="1:6">
      <c r="A43" s="10">
        <v>42</v>
      </c>
      <c r="B43" s="10" t="s">
        <v>7</v>
      </c>
      <c r="C43" s="10">
        <v>36.234568000858403</v>
      </c>
      <c r="D43" s="10">
        <v>0.59689413721242301</v>
      </c>
      <c r="E43" s="10">
        <v>0.99926999999999999</v>
      </c>
      <c r="F43" s="10"/>
    </row>
    <row r="44" spans="1:6">
      <c r="A44" s="10">
        <v>43</v>
      </c>
      <c r="B44" s="10" t="s">
        <v>7</v>
      </c>
      <c r="C44" s="10">
        <v>33.845775477888999</v>
      </c>
      <c r="D44" s="10">
        <v>0.69663947779302104</v>
      </c>
      <c r="E44" s="10">
        <v>0.99972000000000005</v>
      </c>
      <c r="F44" s="10"/>
    </row>
    <row r="45" spans="1:6">
      <c r="A45" s="10">
        <v>44</v>
      </c>
      <c r="B45" s="10" t="s">
        <v>7</v>
      </c>
      <c r="C45" s="10">
        <v>35.2896014676231</v>
      </c>
      <c r="D45" s="10">
        <v>0.65694945150002504</v>
      </c>
      <c r="E45" s="10">
        <v>0.99955000000000005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37.9895924669121</v>
      </c>
      <c r="D47" s="10">
        <v>0.620939269296648</v>
      </c>
      <c r="E47" s="10">
        <v>0.98809000000000002</v>
      </c>
      <c r="F47" s="10"/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37.780491590369699</v>
      </c>
      <c r="D49" s="10">
        <v>0.80636788175082996</v>
      </c>
      <c r="E49" s="10">
        <v>0.99309999999999998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309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22.838939976710599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309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22.949077411555901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309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22.807531135670601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309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22.822227970521102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324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22.556350973929302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324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22.531833559456299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324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22.416118051508501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324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22.486472476106499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325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21.6339429649835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325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21.5109041139923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325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21.560600568513902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325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21.514739951696502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326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20.968202301040201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326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20.949841088356798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326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20.9299286269131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326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20.891500473933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327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21.182519831708699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327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21.013452924864499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327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21.0382413466216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327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21.014007599068101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328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22.3958343394814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328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22.291247507222099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328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22.281296621116301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328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22.278161677034799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329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22.146920997956499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329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21.8915303916909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329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21.812196844049499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329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21.808617902067098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330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25.6781315723312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330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25.5793475325762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330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25.7112039625036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330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25.5854621985591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331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22.232674135391999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331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22.124989309885901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331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22.2150367687935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331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22.150101277313698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332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23.583836667695799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332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23.407262972302298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332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23.316572883680699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332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23.288795904766602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28.030942676277899</v>
      </c>
      <c r="C42">
        <f>IF('18S2'!C42="", "", '18S2'!C42)</f>
        <v>22.951393354987001</v>
      </c>
      <c r="D42">
        <f>IF(RNAseP!C42="", "", RNAseP!C42)</f>
        <v>37.296385538032901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24.0564933920624</v>
      </c>
      <c r="C43">
        <f>IF('18S2'!C43="", "", '18S2'!C43)</f>
        <v>21.359249868041498</v>
      </c>
      <c r="D43">
        <f>IF(RNAseP!C43="", "", RNAseP!C43)</f>
        <v>36.234568000858403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23.604994479933001</v>
      </c>
      <c r="C44">
        <f>IF('18S2'!C44="", "", '18S2'!C44)</f>
        <v>21.405676304813401</v>
      </c>
      <c r="D44">
        <f>IF(RNAseP!C44="", "", RNAseP!C44)</f>
        <v>33.845775477888999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23.622802102547599</v>
      </c>
      <c r="C45">
        <f>IF('18S2'!C45="", "", '18S2'!C45)</f>
        <v>21.3065338283978</v>
      </c>
      <c r="D45">
        <f>IF(RNAseP!C45="", "", RNAseP!C45)</f>
        <v>35.2896014676231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37.9895924669121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37.780491590369699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C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45958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6">
        <v>45771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309</v>
      </c>
      <c r="B16" s="11">
        <v>2500038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22,9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324</v>
      </c>
      <c r="B17" s="11">
        <v>2400888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22,5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325</v>
      </c>
      <c r="B18" s="11">
        <v>2502124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21,6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326</v>
      </c>
      <c r="B19" s="11">
        <v>2502125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20,9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327</v>
      </c>
      <c r="B20" s="11">
        <v>2500124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21,1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328</v>
      </c>
      <c r="B21" s="11">
        <v>2501974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22,3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329</v>
      </c>
      <c r="B22" s="11">
        <v>2402958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21,9 +/- 0,2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330</v>
      </c>
      <c r="B23" s="11">
        <v>2500833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25,6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331</v>
      </c>
      <c r="B24" s="11">
        <v>2500793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22,2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332</v>
      </c>
      <c r="B25" s="11">
        <v>2500747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23,4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24,8 +/- 2,1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21,8 +/- 0,8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35,7 +/- 1,5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I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37,9 +/- 0,1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309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22,9 +/- 0,1</v>
      </c>
    </row>
    <row r="3" spans="1:11">
      <c r="A3" s="3">
        <f>Report!A17</f>
        <v>324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22,5 +/- 0,1</v>
      </c>
    </row>
    <row r="4" spans="1:11">
      <c r="A4" s="3">
        <f>Report!A18</f>
        <v>325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21,6 +/- 0,1</v>
      </c>
    </row>
    <row r="5" spans="1:11">
      <c r="A5" s="3">
        <f>Report!A19</f>
        <v>326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20,9 +/- 0</v>
      </c>
    </row>
    <row r="6" spans="1:11">
      <c r="A6" s="3">
        <f>Report!A20</f>
        <v>327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21,1 +/- 0,1</v>
      </c>
    </row>
    <row r="7" spans="1:11">
      <c r="A7" s="3">
        <f>Report!A21</f>
        <v>328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22,3 +/- 0,1</v>
      </c>
      <c r="K7" s="4"/>
    </row>
    <row r="8" spans="1:11">
      <c r="A8" s="3">
        <f>Report!A22</f>
        <v>329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21,9 +/- 0,2</v>
      </c>
    </row>
    <row r="9" spans="1:11">
      <c r="A9" s="3">
        <f>Report!A23</f>
        <v>330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25,6 +/- 0,1</v>
      </c>
    </row>
    <row r="10" spans="1:11">
      <c r="A10" s="3">
        <f>Report!A24</f>
        <v>331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22,2 +/- 0,1</v>
      </c>
    </row>
    <row r="11" spans="1:11">
      <c r="A11" s="3">
        <f>Report!A25</f>
        <v>332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23,4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24,8 +/- 2,1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21,8 +/- 0,8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35,7 +/- 1,5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F, OK, F</v>
      </c>
      <c r="C13" s="3" t="str" cm="1">
        <f t="array" ref="C13">_xlfn.TEXTJOIN(", ", TRUE, IF(Analysis!$A$2:$A$82=A13, Analysis!$I$2:$I$82, ""))</f>
        <v>clean, RNAseP, clean,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Tie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37,9 +/- 0,1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2025-10-29T12:16:52+00:00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e87eaa95000704986ec9793e0a125378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62f458a92204135354ae950c3fbe0d07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61D0E2-D7E7-4DEA-A43D-988680C4BB0D}"/>
</file>

<file path=customXml/itemProps2.xml><?xml version="1.0" encoding="utf-8"?>
<ds:datastoreItem xmlns:ds="http://schemas.openxmlformats.org/officeDocument/2006/customXml" ds:itemID="{1E2A3CF0-345C-4DCC-9955-CE38D049A41F}"/>
</file>

<file path=customXml/itemProps3.xml><?xml version="1.0" encoding="utf-8"?>
<ds:datastoreItem xmlns:ds="http://schemas.openxmlformats.org/officeDocument/2006/customXml" ds:itemID="{ADD8B0D7-DA01-4250-A59D-928419AAA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2025-10-30T09:18:29Z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