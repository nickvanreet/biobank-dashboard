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gitm.sharepoint.com/sites/THA-DigitalManagementSystem-CRTDipumbaUpload/Gedeelde documenten/CRT Dipumba Upload/03 - Biologie Moléculaire/0302 - Résultats qPCR/"/>
    </mc:Choice>
  </mc:AlternateContent>
  <xr:revisionPtr revIDLastSave="1" documentId="13_ncr:1_{CF30A25F-8B5E-4043-BD89-8447F1BB78D5}" xr6:coauthVersionLast="47" xr6:coauthVersionMax="47" xr10:uidLastSave="{E28AC45B-F169-4DEF-AAB3-2A836F3BE20D}"/>
  <bookViews>
    <workbookView xWindow="-120" yWindow="-120" windowWidth="29040" windowHeight="15840" firstSheet="1" activeTab="1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<sst xmlns="http://schemas.openxmlformats.org/spreadsheetml/2006/main" count="420" uniqueCount="74">
  <si>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</si>
  <si>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</si>
  <si>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</si>
  <si>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</si>
  <si>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</si>
  <si>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</si>
  <si>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</si>
  <si>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</si>
  <si>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</si>
  <si>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</si>
  <si>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</si>
  <si>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</si>
  <si>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</si>
  <si>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</si>
  <si>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</si>
  <si>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</si>
  <si>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</si>
  <si>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</si>
  <si>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</si>
  <si>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</si>
  <si>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</si>
  <si>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</si>
  <si>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</si>
  <si>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</si>
  <si>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</si>
  <si>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</si>
  <si>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</si>
  <si>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</si>
  <si>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</si>
  <si>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</si>
  <si>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</si>
  <si>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</si>
  <si>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</si>
  <si>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</si>
  <si>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</si>
  <si>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</si>
  <si>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</si>
  <si>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</si>
  <si>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</si>
  <si>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</si>
  <si>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</si>
  <si>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</si>
  <si>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</si>
  <si>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</si>
  <si>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</si>
  <si>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2025-05-06 13.29.03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</si>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</sst>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quotePrefix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0" fillId="5" borderId="2" xfId="0" applyNumberFormat="1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Standaard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>
      <c r="A2" s="13">
        <v>1</v>
      </c>
      <c r="B2" s="13">
        <v>1</v>
      </c>
      <c r="C2" s="13">
        <v>-1</v>
      </c>
      <c r="D2" s="13">
        <v>-1</v>
      </c>
      <c r="E2" s="13"/>
      <c r="F2" s="13" t="s">
        <v>6</v>
      </c>
    </row>
    <row r="3" spans="1:6">
      <c r="A3" s="13">
        <v>2</v>
      </c>
      <c r="B3" s="13">
        <v>1</v>
      </c>
      <c r="C3" s="13">
        <v>-1</v>
      </c>
      <c r="D3" s="13">
        <v>-1</v>
      </c>
      <c r="E3" s="13"/>
      <c r="F3" s="13" t="s">
        <v>6</v>
      </c>
    </row>
    <row r="4" spans="1:6">
      <c r="A4" s="13">
        <v>3</v>
      </c>
      <c r="B4" s="13">
        <v>1</v>
      </c>
      <c r="C4" s="13">
        <v>-1</v>
      </c>
      <c r="D4" s="13">
        <v>-1</v>
      </c>
      <c r="E4" s="13"/>
      <c r="F4" s="13" t="s">
        <v>6</v>
      </c>
    </row>
    <row r="5" spans="1:6">
      <c r="A5" s="13">
        <v>4</v>
      </c>
      <c r="B5" s="13">
        <v>1</v>
      </c>
      <c r="C5" s="13">
        <v>-1</v>
      </c>
      <c r="D5" s="13">
        <v>-1</v>
      </c>
      <c r="E5" s="13"/>
      <c r="F5" s="13" t="s">
        <v>6</v>
      </c>
    </row>
    <row r="6" spans="1:6">
      <c r="A6" s="13">
        <v>5</v>
      </c>
      <c r="B6" s="13">
        <v>2</v>
      </c>
      <c r="C6" s="13">
        <v>-1</v>
      </c>
      <c r="D6" s="13">
        <v>-1</v>
      </c>
      <c r="E6" s="13"/>
      <c r="F6" s="13" t="s">
        <v>6</v>
      </c>
    </row>
    <row r="7" spans="1:6">
      <c r="A7" s="13">
        <v>6</v>
      </c>
      <c r="B7" s="13">
        <v>2</v>
      </c>
      <c r="C7" s="13">
        <v>-1</v>
      </c>
      <c r="D7" s="13">
        <v>-1</v>
      </c>
      <c r="E7" s="13"/>
      <c r="F7" s="13" t="s">
        <v>6</v>
      </c>
    </row>
    <row r="8" spans="1:6">
      <c r="A8" s="13">
        <v>7</v>
      </c>
      <c r="B8" s="13">
        <v>2</v>
      </c>
      <c r="C8" s="13">
        <v>-1</v>
      </c>
      <c r="D8" s="13">
        <v>-1</v>
      </c>
      <c r="E8" s="13"/>
      <c r="F8" s="13" t="s">
        <v>6</v>
      </c>
    </row>
    <row r="9" spans="1:6">
      <c r="A9" s="13">
        <v>8</v>
      </c>
      <c r="B9" s="13">
        <v>2</v>
      </c>
      <c r="C9" s="13">
        <v>-1</v>
      </c>
      <c r="D9" s="13">
        <v>-1</v>
      </c>
      <c r="E9" s="13"/>
      <c r="F9" s="13" t="s">
        <v>6</v>
      </c>
    </row>
    <row r="10" spans="1:6">
      <c r="A10" s="13">
        <v>9</v>
      </c>
      <c r="B10" s="13">
        <v>3</v>
      </c>
      <c r="C10" s="13">
        <v>-1</v>
      </c>
      <c r="D10" s="13">
        <v>-1</v>
      </c>
      <c r="E10" s="13"/>
      <c r="F10" s="13" t="s">
        <v>6</v>
      </c>
    </row>
    <row r="11" spans="1:6">
      <c r="A11" s="13">
        <v>10</v>
      </c>
      <c r="B11" s="13">
        <v>3</v>
      </c>
      <c r="C11" s="13">
        <v>-1</v>
      </c>
      <c r="D11" s="13">
        <v>-1</v>
      </c>
      <c r="E11" s="13"/>
      <c r="F11" s="13" t="s">
        <v>6</v>
      </c>
    </row>
    <row r="12" spans="1:6">
      <c r="A12" s="13">
        <v>11</v>
      </c>
      <c r="B12" s="13">
        <v>3</v>
      </c>
      <c r="C12" s="13">
        <v>-1</v>
      </c>
      <c r="D12" s="13">
        <v>-1</v>
      </c>
      <c r="E12" s="13"/>
      <c r="F12" s="13" t="s">
        <v>6</v>
      </c>
    </row>
    <row r="13" spans="1:6">
      <c r="A13" s="13">
        <v>12</v>
      </c>
      <c r="B13" s="13">
        <v>3</v>
      </c>
      <c r="C13" s="13">
        <v>-1</v>
      </c>
      <c r="D13" s="13">
        <v>-1</v>
      </c>
      <c r="E13" s="13"/>
      <c r="F13" s="13" t="s">
        <v>6</v>
      </c>
    </row>
    <row r="14" spans="1:6">
      <c r="A14" s="13">
        <v>13</v>
      </c>
      <c r="B14" s="13">
        <v>4</v>
      </c>
      <c r="C14" s="13">
        <v>-1</v>
      </c>
      <c r="D14" s="13">
        <v>-1</v>
      </c>
      <c r="E14" s="13"/>
      <c r="F14" s="13" t="s">
        <v>6</v>
      </c>
    </row>
    <row r="15" spans="1:6">
      <c r="A15" s="13">
        <v>14</v>
      </c>
      <c r="B15" s="13">
        <v>4</v>
      </c>
      <c r="C15" s="13">
        <v>-1</v>
      </c>
      <c r="D15" s="13">
        <v>-1</v>
      </c>
      <c r="E15" s="13"/>
      <c r="F15" s="13" t="s">
        <v>6</v>
      </c>
    </row>
    <row r="16" spans="1:6">
      <c r="A16" s="13">
        <v>15</v>
      </c>
      <c r="B16" s="13">
        <v>4</v>
      </c>
      <c r="C16" s="13">
        <v>-1</v>
      </c>
      <c r="D16" s="13">
        <v>-1</v>
      </c>
      <c r="E16" s="13"/>
      <c r="F16" s="13" t="s">
        <v>6</v>
      </c>
    </row>
    <row r="17" spans="1:6">
      <c r="A17" s="13">
        <v>16</v>
      </c>
      <c r="B17" s="13">
        <v>4</v>
      </c>
      <c r="C17" s="13">
        <v>-1</v>
      </c>
      <c r="D17" s="13">
        <v>-1</v>
      </c>
      <c r="E17" s="13"/>
      <c r="F17" s="13" t="s">
        <v>6</v>
      </c>
    </row>
    <row r="18" spans="1:6">
      <c r="A18" s="13">
        <v>17</v>
      </c>
      <c r="B18" s="13">
        <v>5</v>
      </c>
      <c r="C18" s="13">
        <v>-1</v>
      </c>
      <c r="D18" s="13">
        <v>-1</v>
      </c>
      <c r="E18" s="13"/>
      <c r="F18" s="13" t="s">
        <v>6</v>
      </c>
    </row>
    <row r="19" spans="1:6">
      <c r="A19" s="13">
        <v>18</v>
      </c>
      <c r="B19" s="13">
        <v>5</v>
      </c>
      <c r="C19" s="13">
        <v>-1</v>
      </c>
      <c r="D19" s="13">
        <v>-1</v>
      </c>
      <c r="E19" s="13"/>
      <c r="F19" s="13" t="s">
        <v>6</v>
      </c>
    </row>
    <row r="20" spans="1:6">
      <c r="A20" s="13">
        <v>19</v>
      </c>
      <c r="B20" s="13">
        <v>5</v>
      </c>
      <c r="C20" s="13">
        <v>-1</v>
      </c>
      <c r="D20" s="13">
        <v>-1</v>
      </c>
      <c r="E20" s="13"/>
      <c r="F20" s="13" t="s">
        <v>6</v>
      </c>
    </row>
    <row r="21" spans="1:6">
      <c r="A21" s="13">
        <v>20</v>
      </c>
      <c r="B21" s="13">
        <v>5</v>
      </c>
      <c r="C21" s="13">
        <v>-1</v>
      </c>
      <c r="D21" s="13">
        <v>-1</v>
      </c>
      <c r="E21" s="13"/>
      <c r="F21" s="13" t="s">
        <v>6</v>
      </c>
    </row>
    <row r="22" spans="1:6">
      <c r="A22" s="13">
        <v>21</v>
      </c>
      <c r="B22" s="13">
        <v>6</v>
      </c>
      <c r="C22" s="13">
        <v>-1</v>
      </c>
      <c r="D22" s="13">
        <v>-1</v>
      </c>
      <c r="E22" s="13"/>
      <c r="F22" s="13" t="s">
        <v>6</v>
      </c>
    </row>
    <row r="23" spans="1:6">
      <c r="A23" s="13">
        <v>22</v>
      </c>
      <c r="B23" s="13">
        <v>6</v>
      </c>
      <c r="C23" s="13">
        <v>-1</v>
      </c>
      <c r="D23" s="13">
        <v>-1</v>
      </c>
      <c r="E23" s="13"/>
      <c r="F23" s="13" t="s">
        <v>6</v>
      </c>
    </row>
    <row r="24" spans="1:6">
      <c r="A24" s="13">
        <v>23</v>
      </c>
      <c r="B24" s="13">
        <v>6</v>
      </c>
      <c r="C24" s="13">
        <v>-1</v>
      </c>
      <c r="D24" s="13">
        <v>-1</v>
      </c>
      <c r="E24" s="13"/>
      <c r="F24" s="13" t="s">
        <v>6</v>
      </c>
    </row>
    <row r="25" spans="1:6">
      <c r="A25" s="13">
        <v>24</v>
      </c>
      <c r="B25" s="13">
        <v>6</v>
      </c>
      <c r="C25" s="13">
        <v>-1</v>
      </c>
      <c r="D25" s="13">
        <v>-1</v>
      </c>
      <c r="E25" s="13"/>
      <c r="F25" s="13" t="s">
        <v>6</v>
      </c>
    </row>
    <row r="26" spans="1:6">
      <c r="A26" s="13">
        <v>25</v>
      </c>
      <c r="B26" s="13">
        <v>7</v>
      </c>
      <c r="C26" s="13">
        <v>-1</v>
      </c>
      <c r="D26" s="13">
        <v>-1</v>
      </c>
      <c r="E26" s="13"/>
      <c r="F26" s="13" t="s">
        <v>6</v>
      </c>
    </row>
    <row r="27" spans="1:6">
      <c r="A27" s="13">
        <v>26</v>
      </c>
      <c r="B27" s="13">
        <v>7</v>
      </c>
      <c r="C27" s="13">
        <v>-1</v>
      </c>
      <c r="D27" s="13">
        <v>-1</v>
      </c>
      <c r="E27" s="13"/>
      <c r="F27" s="13" t="s">
        <v>6</v>
      </c>
    </row>
    <row r="28" spans="1:6">
      <c r="A28" s="13">
        <v>27</v>
      </c>
      <c r="B28" s="13">
        <v>7</v>
      </c>
      <c r="C28" s="13">
        <v>-1</v>
      </c>
      <c r="D28" s="13">
        <v>-1</v>
      </c>
      <c r="E28" s="13"/>
      <c r="F28" s="13" t="s">
        <v>6</v>
      </c>
    </row>
    <row r="29" spans="1:6">
      <c r="A29" s="13">
        <v>28</v>
      </c>
      <c r="B29" s="13">
        <v>7</v>
      </c>
      <c r="C29" s="13">
        <v>-1</v>
      </c>
      <c r="D29" s="13">
        <v>-1</v>
      </c>
      <c r="E29" s="13"/>
      <c r="F29" s="13" t="s">
        <v>6</v>
      </c>
    </row>
    <row r="30" spans="1:6">
      <c r="A30" s="13">
        <v>29</v>
      </c>
      <c r="B30" s="13">
        <v>8</v>
      </c>
      <c r="C30" s="13">
        <v>-1</v>
      </c>
      <c r="D30" s="13">
        <v>-1</v>
      </c>
      <c r="E30" s="13"/>
      <c r="F30" s="13" t="s">
        <v>6</v>
      </c>
    </row>
    <row r="31" spans="1:6">
      <c r="A31" s="13">
        <v>30</v>
      </c>
      <c r="B31" s="13">
        <v>8</v>
      </c>
      <c r="C31" s="13">
        <v>-1</v>
      </c>
      <c r="D31" s="13">
        <v>-1</v>
      </c>
      <c r="E31" s="13"/>
      <c r="F31" s="13" t="s">
        <v>6</v>
      </c>
    </row>
    <row r="32" spans="1:6">
      <c r="A32" s="13">
        <v>31</v>
      </c>
      <c r="B32" s="13">
        <v>8</v>
      </c>
      <c r="C32" s="13">
        <v>-1</v>
      </c>
      <c r="D32" s="13">
        <v>-1</v>
      </c>
      <c r="E32" s="13"/>
      <c r="F32" s="13" t="s">
        <v>6</v>
      </c>
    </row>
    <row r="33" spans="1:6">
      <c r="A33" s="13">
        <v>32</v>
      </c>
      <c r="B33" s="13">
        <v>8</v>
      </c>
      <c r="C33" s="13">
        <v>-1</v>
      </c>
      <c r="D33" s="13">
        <v>-1</v>
      </c>
      <c r="E33" s="13"/>
      <c r="F33" s="13" t="s">
        <v>6</v>
      </c>
    </row>
    <row r="34" spans="1:6">
      <c r="A34" s="13">
        <v>33</v>
      </c>
      <c r="B34" s="13">
        <v>9</v>
      </c>
      <c r="C34" s="13">
        <v>-1</v>
      </c>
      <c r="D34" s="13">
        <v>-1</v>
      </c>
      <c r="E34" s="13"/>
      <c r="F34" s="13" t="s">
        <v>6</v>
      </c>
    </row>
    <row r="35" spans="1:6">
      <c r="A35" s="13">
        <v>34</v>
      </c>
      <c r="B35" s="13">
        <v>9</v>
      </c>
      <c r="C35" s="13">
        <v>-1</v>
      </c>
      <c r="D35" s="13">
        <v>-1</v>
      </c>
      <c r="E35" s="13"/>
      <c r="F35" s="13" t="s">
        <v>6</v>
      </c>
    </row>
    <row r="36" spans="1:6">
      <c r="A36" s="13">
        <v>35</v>
      </c>
      <c r="B36" s="13">
        <v>9</v>
      </c>
      <c r="C36" s="13">
        <v>-1</v>
      </c>
      <c r="D36" s="13">
        <v>-1</v>
      </c>
      <c r="E36" s="13"/>
      <c r="F36" s="13" t="s">
        <v>6</v>
      </c>
    </row>
    <row r="37" spans="1:6">
      <c r="A37" s="13">
        <v>36</v>
      </c>
      <c r="B37" s="13">
        <v>9</v>
      </c>
      <c r="C37" s="13">
        <v>-1</v>
      </c>
      <c r="D37" s="13">
        <v>-1</v>
      </c>
      <c r="E37" s="13"/>
      <c r="F37" s="13" t="s">
        <v>6</v>
      </c>
    </row>
    <row r="38" spans="1:6">
      <c r="A38" s="13">
        <v>37</v>
      </c>
      <c r="B38" s="13">
        <v>10</v>
      </c>
      <c r="C38" s="13">
        <v>-1</v>
      </c>
      <c r="D38" s="13">
        <v>-1</v>
      </c>
      <c r="E38" s="13"/>
      <c r="F38" s="13" t="s">
        <v>6</v>
      </c>
    </row>
    <row r="39" spans="1:6">
      <c r="A39" s="13">
        <v>38</v>
      </c>
      <c r="B39" s="13">
        <v>10</v>
      </c>
      <c r="C39" s="13">
        <v>-1</v>
      </c>
      <c r="D39" s="13">
        <v>-1</v>
      </c>
      <c r="E39" s="13"/>
      <c r="F39" s="13" t="s">
        <v>6</v>
      </c>
    </row>
    <row r="40" spans="1:6">
      <c r="A40" s="13">
        <v>39</v>
      </c>
      <c r="B40" s="13">
        <v>10</v>
      </c>
      <c r="C40" s="13">
        <v>-1</v>
      </c>
      <c r="D40" s="13">
        <v>-1</v>
      </c>
      <c r="E40" s="13"/>
      <c r="F40" s="13" t="s">
        <v>6</v>
      </c>
    </row>
    <row r="41" spans="1:6">
      <c r="A41" s="13">
        <v>40</v>
      </c>
      <c r="B41" s="13">
        <v>10</v>
      </c>
      <c r="C41" s="13">
        <v>-1</v>
      </c>
      <c r="D41" s="13">
        <v>-1</v>
      </c>
      <c r="E41" s="13"/>
      <c r="F41" s="13" t="s">
        <v>6</v>
      </c>
    </row>
    <row r="42" spans="1:6">
      <c r="A42" s="13">
        <v>41</v>
      </c>
      <c r="B42" s="13" t="s">
        <v>7</v>
      </c>
      <c r="C42" s="13">
        <v>23.654236038493298</v>
      </c>
      <c r="D42" s="13">
        <v>0.79621531254788902</v>
      </c>
      <c r="E42" s="13">
        <v>0.99975999999999998</v>
      </c>
      <c r="F42" s="13"/>
    </row>
    <row r="43" spans="1:6">
      <c r="A43" s="13">
        <v>42</v>
      </c>
      <c r="B43" s="13" t="s">
        <v>7</v>
      </c>
      <c r="C43" s="13">
        <v>23.1318261717587</v>
      </c>
      <c r="D43" s="13">
        <v>0.79065828707284502</v>
      </c>
      <c r="E43" s="13">
        <v>0.99983</v>
      </c>
      <c r="F43" s="13"/>
    </row>
    <row r="44" spans="1:6">
      <c r="A44" s="13">
        <v>43</v>
      </c>
      <c r="B44" s="13" t="s">
        <v>7</v>
      </c>
      <c r="C44" s="13">
        <v>22.463345954113102</v>
      </c>
      <c r="D44" s="13">
        <v>0.85406937757072798</v>
      </c>
      <c r="E44" s="13">
        <v>0.99919000000000002</v>
      </c>
      <c r="F44" s="13"/>
    </row>
    <row r="45" spans="1:6">
      <c r="A45" s="13">
        <v>44</v>
      </c>
      <c r="B45" s="13" t="s">
        <v>7</v>
      </c>
      <c r="C45" s="13">
        <v>23.118088832543201</v>
      </c>
      <c r="D45" s="13">
        <v>0.78634977917416304</v>
      </c>
      <c r="E45" s="13">
        <v>0.99985000000000002</v>
      </c>
      <c r="F45" s="13"/>
    </row>
    <row r="46" spans="1:6">
      <c r="A46" s="13">
        <v>45</v>
      </c>
      <c r="B46" s="13" t="s">
        <v>8</v>
      </c>
      <c r="C46" s="13">
        <v>-1</v>
      </c>
      <c r="D46" s="13">
        <v>-1</v>
      </c>
      <c r="E46" s="13"/>
      <c r="F46" s="13" t="s">
        <v>6</v>
      </c>
    </row>
    <row r="47" spans="1:6">
      <c r="A47" s="13">
        <v>46</v>
      </c>
      <c r="B47" s="13" t="s">
        <v>8</v>
      </c>
      <c r="C47" s="13">
        <v>-1</v>
      </c>
      <c r="D47" s="13">
        <v>-1</v>
      </c>
      <c r="E47" s="13"/>
      <c r="F47" s="13" t="s">
        <v>6</v>
      </c>
    </row>
    <row r="48" spans="1:6">
      <c r="A48" s="13">
        <v>47</v>
      </c>
      <c r="B48" s="13" t="s">
        <v>8</v>
      </c>
      <c r="C48" s="13">
        <v>-1</v>
      </c>
      <c r="D48" s="13">
        <v>-1</v>
      </c>
      <c r="E48" s="13"/>
      <c r="F48" s="13" t="s">
        <v>6</v>
      </c>
    </row>
    <row r="49" spans="1:6">
      <c r="A49" s="13">
        <v>48</v>
      </c>
      <c r="B49" s="13" t="s">
        <v>8</v>
      </c>
      <c r="C49" s="13">
        <v>-1</v>
      </c>
      <c r="D49" s="13">
        <v>-1</v>
      </c>
      <c r="E49" s="13"/>
      <c r="F49" s="13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tabSelected="1" topLeftCell="A13" workbookViewId="0">
      <selection sqref="A1:F49"/>
    </sheetView>
  </sheetViews>
  <sheetFormatPr defaultColWidth="9.140625" defaultRowHeight="15"/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4">
        <v>1</v>
      </c>
      <c r="B2" s="14">
        <v>1</v>
      </c>
      <c r="C2" s="14">
        <v>-1</v>
      </c>
      <c r="D2" s="14">
        <v>-1</v>
      </c>
      <c r="E2" s="14"/>
      <c r="F2" s="14" t="s">
        <v>6</v>
      </c>
    </row>
    <row r="3" spans="1:6">
      <c r="A3" s="14">
        <v>2</v>
      </c>
      <c r="B3" s="14">
        <v>1</v>
      </c>
      <c r="C3" s="14">
        <v>-1</v>
      </c>
      <c r="D3" s="14">
        <v>-1</v>
      </c>
      <c r="E3" s="14"/>
      <c r="F3" s="14" t="s">
        <v>6</v>
      </c>
    </row>
    <row r="4" spans="1:6">
      <c r="A4" s="14">
        <v>3</v>
      </c>
      <c r="B4" s="14">
        <v>1</v>
      </c>
      <c r="C4" s="14">
        <v>-1</v>
      </c>
      <c r="D4" s="14">
        <v>-1</v>
      </c>
      <c r="E4" s="14"/>
      <c r="F4" s="14" t="s">
        <v>6</v>
      </c>
    </row>
    <row r="5" spans="1:6">
      <c r="A5" s="14">
        <v>4</v>
      </c>
      <c r="B5" s="14">
        <v>1</v>
      </c>
      <c r="C5" s="14">
        <v>-1</v>
      </c>
      <c r="D5" s="14">
        <v>-1</v>
      </c>
      <c r="E5" s="14"/>
      <c r="F5" s="14" t="s">
        <v>6</v>
      </c>
    </row>
    <row r="6" spans="1:6">
      <c r="A6" s="14">
        <v>5</v>
      </c>
      <c r="B6" s="14">
        <v>2</v>
      </c>
      <c r="C6" s="14">
        <v>-1</v>
      </c>
      <c r="D6" s="14">
        <v>-1</v>
      </c>
      <c r="E6" s="14"/>
      <c r="F6" s="14" t="s">
        <v>6</v>
      </c>
    </row>
    <row r="7" spans="1:6">
      <c r="A7" s="14">
        <v>6</v>
      </c>
      <c r="B7" s="14">
        <v>2</v>
      </c>
      <c r="C7" s="14">
        <v>-1</v>
      </c>
      <c r="D7" s="14">
        <v>-1</v>
      </c>
      <c r="E7" s="14"/>
      <c r="F7" s="14" t="s">
        <v>6</v>
      </c>
    </row>
    <row r="8" spans="1:6">
      <c r="A8" s="14">
        <v>7</v>
      </c>
      <c r="B8" s="14">
        <v>2</v>
      </c>
      <c r="C8" s="14">
        <v>-1</v>
      </c>
      <c r="D8" s="14">
        <v>-1</v>
      </c>
      <c r="E8" s="14"/>
      <c r="F8" s="14" t="s">
        <v>6</v>
      </c>
    </row>
    <row r="9" spans="1:6">
      <c r="A9" s="14">
        <v>8</v>
      </c>
      <c r="B9" s="14">
        <v>2</v>
      </c>
      <c r="C9" s="14">
        <v>-1</v>
      </c>
      <c r="D9" s="14">
        <v>-1</v>
      </c>
      <c r="E9" s="14"/>
      <c r="F9" s="14" t="s">
        <v>6</v>
      </c>
    </row>
    <row r="10" spans="1:6">
      <c r="A10" s="14">
        <v>9</v>
      </c>
      <c r="B10" s="14">
        <v>3</v>
      </c>
      <c r="C10" s="14">
        <v>-1</v>
      </c>
      <c r="D10" s="14">
        <v>-1</v>
      </c>
      <c r="E10" s="14"/>
      <c r="F10" s="14" t="s">
        <v>6</v>
      </c>
    </row>
    <row r="11" spans="1:6">
      <c r="A11" s="14">
        <v>10</v>
      </c>
      <c r="B11" s="14">
        <v>3</v>
      </c>
      <c r="C11" s="14">
        <v>-1</v>
      </c>
      <c r="D11" s="14">
        <v>-1</v>
      </c>
      <c r="E11" s="14"/>
      <c r="F11" s="14" t="s">
        <v>6</v>
      </c>
    </row>
    <row r="12" spans="1:6">
      <c r="A12" s="14">
        <v>11</v>
      </c>
      <c r="B12" s="14">
        <v>3</v>
      </c>
      <c r="C12" s="14">
        <v>-1</v>
      </c>
      <c r="D12" s="14">
        <v>-1</v>
      </c>
      <c r="E12" s="14"/>
      <c r="F12" s="14" t="s">
        <v>6</v>
      </c>
    </row>
    <row r="13" spans="1:6">
      <c r="A13" s="14">
        <v>12</v>
      </c>
      <c r="B13" s="14">
        <v>3</v>
      </c>
      <c r="C13" s="14">
        <v>-1</v>
      </c>
      <c r="D13" s="14">
        <v>-1</v>
      </c>
      <c r="E13" s="14"/>
      <c r="F13" s="14" t="s">
        <v>6</v>
      </c>
    </row>
    <row r="14" spans="1:6">
      <c r="A14" s="14">
        <v>13</v>
      </c>
      <c r="B14" s="14">
        <v>4</v>
      </c>
      <c r="C14" s="14">
        <v>-1</v>
      </c>
      <c r="D14" s="14">
        <v>-1</v>
      </c>
      <c r="E14" s="14"/>
      <c r="F14" s="14" t="s">
        <v>6</v>
      </c>
    </row>
    <row r="15" spans="1:6">
      <c r="A15" s="14">
        <v>14</v>
      </c>
      <c r="B15" s="14">
        <v>4</v>
      </c>
      <c r="C15" s="14">
        <v>-1</v>
      </c>
      <c r="D15" s="14">
        <v>-1</v>
      </c>
      <c r="E15" s="14"/>
      <c r="F15" s="14" t="s">
        <v>6</v>
      </c>
    </row>
    <row r="16" spans="1:6">
      <c r="A16" s="14">
        <v>15</v>
      </c>
      <c r="B16" s="14">
        <v>4</v>
      </c>
      <c r="C16" s="14">
        <v>-1</v>
      </c>
      <c r="D16" s="14">
        <v>-1</v>
      </c>
      <c r="E16" s="14"/>
      <c r="F16" s="14" t="s">
        <v>6</v>
      </c>
    </row>
    <row r="17" spans="1:6">
      <c r="A17" s="14">
        <v>16</v>
      </c>
      <c r="B17" s="14">
        <v>4</v>
      </c>
      <c r="C17" s="14">
        <v>-1</v>
      </c>
      <c r="D17" s="14">
        <v>-1</v>
      </c>
      <c r="E17" s="14"/>
      <c r="F17" s="14" t="s">
        <v>6</v>
      </c>
    </row>
    <row r="18" spans="1:6">
      <c r="A18" s="14">
        <v>17</v>
      </c>
      <c r="B18" s="14">
        <v>5</v>
      </c>
      <c r="C18" s="14">
        <v>-1</v>
      </c>
      <c r="D18" s="14">
        <v>-1</v>
      </c>
      <c r="E18" s="14"/>
      <c r="F18" s="14" t="s">
        <v>6</v>
      </c>
    </row>
    <row r="19" spans="1:6">
      <c r="A19" s="14">
        <v>18</v>
      </c>
      <c r="B19" s="14">
        <v>5</v>
      </c>
      <c r="C19" s="14">
        <v>-1</v>
      </c>
      <c r="D19" s="14">
        <v>-1</v>
      </c>
      <c r="E19" s="14"/>
      <c r="F19" s="14" t="s">
        <v>6</v>
      </c>
    </row>
    <row r="20" spans="1:6">
      <c r="A20" s="14">
        <v>19</v>
      </c>
      <c r="B20" s="14">
        <v>5</v>
      </c>
      <c r="C20" s="14">
        <v>-1</v>
      </c>
      <c r="D20" s="14">
        <v>-1</v>
      </c>
      <c r="E20" s="14"/>
      <c r="F20" s="14" t="s">
        <v>6</v>
      </c>
    </row>
    <row r="21" spans="1:6">
      <c r="A21" s="14">
        <v>20</v>
      </c>
      <c r="B21" s="14">
        <v>5</v>
      </c>
      <c r="C21" s="14">
        <v>-1</v>
      </c>
      <c r="D21" s="14">
        <v>-1</v>
      </c>
      <c r="E21" s="14"/>
      <c r="F21" s="14" t="s">
        <v>6</v>
      </c>
    </row>
    <row r="22" spans="1:6">
      <c r="A22" s="14">
        <v>21</v>
      </c>
      <c r="B22" s="14">
        <v>6</v>
      </c>
      <c r="C22" s="14">
        <v>-1</v>
      </c>
      <c r="D22" s="14">
        <v>-1</v>
      </c>
      <c r="E22" s="14"/>
      <c r="F22" s="14" t="s">
        <v>6</v>
      </c>
    </row>
    <row r="23" spans="1:6">
      <c r="A23" s="14">
        <v>22</v>
      </c>
      <c r="B23" s="14">
        <v>6</v>
      </c>
      <c r="C23" s="14">
        <v>-1</v>
      </c>
      <c r="D23" s="14">
        <v>-1</v>
      </c>
      <c r="E23" s="14"/>
      <c r="F23" s="14" t="s">
        <v>6</v>
      </c>
    </row>
    <row r="24" spans="1:6">
      <c r="A24" s="14">
        <v>23</v>
      </c>
      <c r="B24" s="14">
        <v>6</v>
      </c>
      <c r="C24" s="14">
        <v>-1</v>
      </c>
      <c r="D24" s="14">
        <v>-1</v>
      </c>
      <c r="E24" s="14"/>
      <c r="F24" s="14" t="s">
        <v>6</v>
      </c>
    </row>
    <row r="25" spans="1:6">
      <c r="A25" s="14">
        <v>24</v>
      </c>
      <c r="B25" s="14">
        <v>6</v>
      </c>
      <c r="C25" s="14">
        <v>-1</v>
      </c>
      <c r="D25" s="14">
        <v>-1</v>
      </c>
      <c r="E25" s="14"/>
      <c r="F25" s="14" t="s">
        <v>6</v>
      </c>
    </row>
    <row r="26" spans="1:6">
      <c r="A26" s="14">
        <v>25</v>
      </c>
      <c r="B26" s="14">
        <v>7</v>
      </c>
      <c r="C26" s="14">
        <v>-1</v>
      </c>
      <c r="D26" s="14">
        <v>-1</v>
      </c>
      <c r="E26" s="14"/>
      <c r="F26" s="14" t="s">
        <v>6</v>
      </c>
    </row>
    <row r="27" spans="1:6">
      <c r="A27" s="14">
        <v>26</v>
      </c>
      <c r="B27" s="14">
        <v>7</v>
      </c>
      <c r="C27" s="14">
        <v>-1</v>
      </c>
      <c r="D27" s="14">
        <v>-1</v>
      </c>
      <c r="E27" s="14"/>
      <c r="F27" s="14" t="s">
        <v>6</v>
      </c>
    </row>
    <row r="28" spans="1:6">
      <c r="A28" s="14">
        <v>27</v>
      </c>
      <c r="B28" s="14">
        <v>7</v>
      </c>
      <c r="C28" s="14">
        <v>-1</v>
      </c>
      <c r="D28" s="14">
        <v>-1</v>
      </c>
      <c r="E28" s="14"/>
      <c r="F28" s="14" t="s">
        <v>6</v>
      </c>
    </row>
    <row r="29" spans="1:6">
      <c r="A29" s="14">
        <v>28</v>
      </c>
      <c r="B29" s="14">
        <v>7</v>
      </c>
      <c r="C29" s="14">
        <v>-1</v>
      </c>
      <c r="D29" s="14">
        <v>-1</v>
      </c>
      <c r="E29" s="14"/>
      <c r="F29" s="14" t="s">
        <v>6</v>
      </c>
    </row>
    <row r="30" spans="1:6">
      <c r="A30" s="14">
        <v>29</v>
      </c>
      <c r="B30" s="14">
        <v>8</v>
      </c>
      <c r="C30" s="14">
        <v>-1</v>
      </c>
      <c r="D30" s="14">
        <v>-1</v>
      </c>
      <c r="E30" s="14"/>
      <c r="F30" s="14" t="s">
        <v>6</v>
      </c>
    </row>
    <row r="31" spans="1:6">
      <c r="A31" s="14">
        <v>30</v>
      </c>
      <c r="B31" s="14">
        <v>8</v>
      </c>
      <c r="C31" s="14">
        <v>-1</v>
      </c>
      <c r="D31" s="14">
        <v>-1</v>
      </c>
      <c r="E31" s="14"/>
      <c r="F31" s="14" t="s">
        <v>6</v>
      </c>
    </row>
    <row r="32" spans="1:6">
      <c r="A32" s="14">
        <v>31</v>
      </c>
      <c r="B32" s="14">
        <v>8</v>
      </c>
      <c r="C32" s="14">
        <v>-1</v>
      </c>
      <c r="D32" s="14">
        <v>-1</v>
      </c>
      <c r="E32" s="14"/>
      <c r="F32" s="14" t="s">
        <v>6</v>
      </c>
    </row>
    <row r="33" spans="1:6">
      <c r="A33" s="14">
        <v>32</v>
      </c>
      <c r="B33" s="14">
        <v>8</v>
      </c>
      <c r="C33" s="14">
        <v>-1</v>
      </c>
      <c r="D33" s="14">
        <v>-1</v>
      </c>
      <c r="E33" s="14"/>
      <c r="F33" s="14" t="s">
        <v>6</v>
      </c>
    </row>
    <row r="34" spans="1:6">
      <c r="A34" s="14">
        <v>33</v>
      </c>
      <c r="B34" s="14">
        <v>9</v>
      </c>
      <c r="C34" s="14">
        <v>-1</v>
      </c>
      <c r="D34" s="14">
        <v>-1</v>
      </c>
      <c r="E34" s="14"/>
      <c r="F34" s="14" t="s">
        <v>6</v>
      </c>
    </row>
    <row r="35" spans="1:6">
      <c r="A35" s="14">
        <v>34</v>
      </c>
      <c r="B35" s="14">
        <v>9</v>
      </c>
      <c r="C35" s="14">
        <v>-1</v>
      </c>
      <c r="D35" s="14">
        <v>-1</v>
      </c>
      <c r="E35" s="14"/>
      <c r="F35" s="14" t="s">
        <v>6</v>
      </c>
    </row>
    <row r="36" spans="1:6">
      <c r="A36" s="14">
        <v>35</v>
      </c>
      <c r="B36" s="14">
        <v>9</v>
      </c>
      <c r="C36" s="14">
        <v>-1</v>
      </c>
      <c r="D36" s="14">
        <v>-1</v>
      </c>
      <c r="E36" s="14"/>
      <c r="F36" s="14" t="s">
        <v>6</v>
      </c>
    </row>
    <row r="37" spans="1:6">
      <c r="A37" s="14">
        <v>36</v>
      </c>
      <c r="B37" s="14">
        <v>9</v>
      </c>
      <c r="C37" s="14">
        <v>-1</v>
      </c>
      <c r="D37" s="14">
        <v>-1</v>
      </c>
      <c r="E37" s="14"/>
      <c r="F37" s="14" t="s">
        <v>6</v>
      </c>
    </row>
    <row r="38" spans="1:6">
      <c r="A38" s="14">
        <v>37</v>
      </c>
      <c r="B38" s="14">
        <v>10</v>
      </c>
      <c r="C38" s="14">
        <v>-1</v>
      </c>
      <c r="D38" s="14">
        <v>-1</v>
      </c>
      <c r="E38" s="14"/>
      <c r="F38" s="14" t="s">
        <v>6</v>
      </c>
    </row>
    <row r="39" spans="1:6">
      <c r="A39" s="14">
        <v>38</v>
      </c>
      <c r="B39" s="14">
        <v>10</v>
      </c>
      <c r="C39" s="14">
        <v>-1</v>
      </c>
      <c r="D39" s="14">
        <v>-1</v>
      </c>
      <c r="E39" s="14"/>
      <c r="F39" s="14" t="s">
        <v>6</v>
      </c>
    </row>
    <row r="40" spans="1:6">
      <c r="A40" s="14">
        <v>39</v>
      </c>
      <c r="B40" s="14">
        <v>10</v>
      </c>
      <c r="C40" s="14">
        <v>-1</v>
      </c>
      <c r="D40" s="14">
        <v>-1</v>
      </c>
      <c r="E40" s="14"/>
      <c r="F40" s="14" t="s">
        <v>6</v>
      </c>
    </row>
    <row r="41" spans="1:6">
      <c r="A41" s="14">
        <v>40</v>
      </c>
      <c r="B41" s="14">
        <v>10</v>
      </c>
      <c r="C41" s="14">
        <v>-1</v>
      </c>
      <c r="D41" s="14">
        <v>-1</v>
      </c>
      <c r="E41" s="14"/>
      <c r="F41" s="14" t="s">
        <v>6</v>
      </c>
    </row>
    <row r="42" spans="1:6">
      <c r="A42" s="14">
        <v>41</v>
      </c>
      <c r="B42" s="14" t="s">
        <v>7</v>
      </c>
      <c r="C42" s="14">
        <v>19.623643362617301</v>
      </c>
      <c r="D42" s="14">
        <v>0.85691016615376303</v>
      </c>
      <c r="E42" s="14">
        <v>0.99844999999999995</v>
      </c>
      <c r="F42" s="14"/>
    </row>
    <row r="43" spans="1:6">
      <c r="A43" s="14">
        <v>42</v>
      </c>
      <c r="B43" s="14" t="s">
        <v>7</v>
      </c>
      <c r="C43" s="14">
        <v>19.6147679133617</v>
      </c>
      <c r="D43" s="14">
        <v>0.85146915368106901</v>
      </c>
      <c r="E43" s="14">
        <v>0.99836999999999998</v>
      </c>
      <c r="F43" s="14"/>
    </row>
    <row r="44" spans="1:6">
      <c r="A44" s="14">
        <v>43</v>
      </c>
      <c r="B44" s="14" t="s">
        <v>7</v>
      </c>
      <c r="C44" s="14">
        <v>19.261706964024</v>
      </c>
      <c r="D44" s="14">
        <v>0.82670755145251795</v>
      </c>
      <c r="E44" s="14">
        <v>0.99875999999999998</v>
      </c>
      <c r="F44" s="14"/>
    </row>
    <row r="45" spans="1:6">
      <c r="A45" s="14">
        <v>44</v>
      </c>
      <c r="B45" s="14" t="s">
        <v>7</v>
      </c>
      <c r="C45" s="14">
        <v>19.567028271902601</v>
      </c>
      <c r="D45" s="14">
        <v>0.85036028892482096</v>
      </c>
      <c r="E45" s="14">
        <v>0.99829999999999997</v>
      </c>
      <c r="F45" s="14"/>
    </row>
    <row r="46" spans="1:6">
      <c r="A46" s="14">
        <v>45</v>
      </c>
      <c r="B46" s="14" t="s">
        <v>8</v>
      </c>
      <c r="C46" s="14">
        <v>-1</v>
      </c>
      <c r="D46" s="14">
        <v>-1</v>
      </c>
      <c r="E46" s="14"/>
      <c r="F46" s="14" t="s">
        <v>6</v>
      </c>
    </row>
    <row r="47" spans="1:6">
      <c r="A47" s="14">
        <v>46</v>
      </c>
      <c r="B47" s="14" t="s">
        <v>8</v>
      </c>
      <c r="C47" s="14">
        <v>-1</v>
      </c>
      <c r="D47" s="14">
        <v>-1</v>
      </c>
      <c r="E47" s="14"/>
      <c r="F47" s="14" t="s">
        <v>6</v>
      </c>
    </row>
    <row r="48" spans="1:6">
      <c r="A48" s="14">
        <v>47</v>
      </c>
      <c r="B48" s="14" t="s">
        <v>8</v>
      </c>
      <c r="C48" s="14">
        <v>-1</v>
      </c>
      <c r="D48" s="14">
        <v>-1</v>
      </c>
      <c r="E48" s="14"/>
      <c r="F48" s="14" t="s">
        <v>6</v>
      </c>
    </row>
    <row r="49" spans="1:6">
      <c r="A49" s="14">
        <v>48</v>
      </c>
      <c r="B49" s="14" t="s">
        <v>8</v>
      </c>
      <c r="C49" s="14">
        <v>-1</v>
      </c>
      <c r="D49" s="14">
        <v>-1</v>
      </c>
      <c r="E49" s="14"/>
      <c r="F49" s="14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>
      <c r="A2" s="15">
        <v>1</v>
      </c>
      <c r="B2" s="15">
        <v>1</v>
      </c>
      <c r="C2" s="15">
        <v>23.887449342602999</v>
      </c>
      <c r="D2" s="15">
        <v>0.83528046416132495</v>
      </c>
      <c r="E2" s="15">
        <v>0.99853999999999998</v>
      </c>
      <c r="F2" s="15"/>
    </row>
    <row r="3" spans="1:6">
      <c r="A3" s="15">
        <v>2</v>
      </c>
      <c r="B3" s="15">
        <v>1</v>
      </c>
      <c r="C3" s="15">
        <v>23.963665171634101</v>
      </c>
      <c r="D3" s="15">
        <v>0.828362189953881</v>
      </c>
      <c r="E3" s="15">
        <v>0.99851999999999996</v>
      </c>
      <c r="F3" s="15"/>
    </row>
    <row r="4" spans="1:6">
      <c r="A4" s="15">
        <v>3</v>
      </c>
      <c r="B4" s="15">
        <v>1</v>
      </c>
      <c r="C4" s="15">
        <v>24.008203089053598</v>
      </c>
      <c r="D4" s="15">
        <v>0.82270893414579305</v>
      </c>
      <c r="E4" s="15">
        <v>0.99861</v>
      </c>
      <c r="F4" s="15"/>
    </row>
    <row r="5" spans="1:6">
      <c r="A5" s="15">
        <v>4</v>
      </c>
      <c r="B5" s="15">
        <v>1</v>
      </c>
      <c r="C5" s="15">
        <v>23.958927183461601</v>
      </c>
      <c r="D5" s="15">
        <v>0.81763322442911002</v>
      </c>
      <c r="E5" s="15">
        <v>0.99855000000000005</v>
      </c>
      <c r="F5" s="15"/>
    </row>
    <row r="6" spans="1:6">
      <c r="A6" s="15">
        <v>5</v>
      </c>
      <c r="B6" s="15">
        <v>2</v>
      </c>
      <c r="C6" s="15">
        <v>25.219418477460501</v>
      </c>
      <c r="D6" s="15">
        <v>0.86695018568626403</v>
      </c>
      <c r="E6" s="15">
        <v>0.99865000000000004</v>
      </c>
      <c r="F6" s="15"/>
    </row>
    <row r="7" spans="1:6">
      <c r="A7" s="15">
        <v>6</v>
      </c>
      <c r="B7" s="15">
        <v>2</v>
      </c>
      <c r="C7" s="15">
        <v>25.286479187996399</v>
      </c>
      <c r="D7" s="15">
        <v>0.81390786755806499</v>
      </c>
      <c r="E7" s="15">
        <v>0.99912000000000001</v>
      </c>
      <c r="F7" s="15"/>
    </row>
    <row r="8" spans="1:6">
      <c r="A8" s="15">
        <v>7</v>
      </c>
      <c r="B8" s="15">
        <v>2</v>
      </c>
      <c r="C8" s="15">
        <v>25.3031263849008</v>
      </c>
      <c r="D8" s="15">
        <v>0.81643125166132402</v>
      </c>
      <c r="E8" s="15">
        <v>0.99909999999999999</v>
      </c>
      <c r="F8" s="15"/>
    </row>
    <row r="9" spans="1:6">
      <c r="A9" s="15">
        <v>8</v>
      </c>
      <c r="B9" s="15">
        <v>2</v>
      </c>
      <c r="C9" s="15">
        <v>25.303862632438399</v>
      </c>
      <c r="D9" s="15">
        <v>0.81192575463554495</v>
      </c>
      <c r="E9" s="15">
        <v>0.99887999999999999</v>
      </c>
      <c r="F9" s="15"/>
    </row>
    <row r="10" spans="1:6">
      <c r="A10" s="15">
        <v>9</v>
      </c>
      <c r="B10" s="15">
        <v>3</v>
      </c>
      <c r="C10" s="15">
        <v>23.8173609033487</v>
      </c>
      <c r="D10" s="15">
        <v>0.83309049508842303</v>
      </c>
      <c r="E10" s="15">
        <v>0.99856999999999996</v>
      </c>
      <c r="F10" s="15"/>
    </row>
    <row r="11" spans="1:6">
      <c r="A11" s="15">
        <v>10</v>
      </c>
      <c r="B11" s="15">
        <v>3</v>
      </c>
      <c r="C11" s="15">
        <v>23.907819031294299</v>
      </c>
      <c r="D11" s="15">
        <v>0.82847876894097205</v>
      </c>
      <c r="E11" s="15">
        <v>0.99856</v>
      </c>
      <c r="F11" s="15"/>
    </row>
    <row r="12" spans="1:6">
      <c r="A12" s="15">
        <v>11</v>
      </c>
      <c r="B12" s="15">
        <v>3</v>
      </c>
      <c r="C12" s="15">
        <v>23.795852288715199</v>
      </c>
      <c r="D12" s="15">
        <v>0.82741533097939601</v>
      </c>
      <c r="E12" s="15">
        <v>0.99858000000000002</v>
      </c>
      <c r="F12" s="15"/>
    </row>
    <row r="13" spans="1:6">
      <c r="A13" s="15">
        <v>12</v>
      </c>
      <c r="B13" s="15">
        <v>3</v>
      </c>
      <c r="C13" s="15">
        <v>23.7682386397518</v>
      </c>
      <c r="D13" s="15">
        <v>0.84090307307193002</v>
      </c>
      <c r="E13" s="15">
        <v>0.99887999999999999</v>
      </c>
      <c r="F13" s="15"/>
    </row>
    <row r="14" spans="1:6">
      <c r="A14" s="15">
        <v>13</v>
      </c>
      <c r="B14" s="15">
        <v>4</v>
      </c>
      <c r="C14" s="15">
        <v>22.397168758192901</v>
      </c>
      <c r="D14" s="15">
        <v>0.83192120960305105</v>
      </c>
      <c r="E14" s="15">
        <v>0.99902000000000002</v>
      </c>
      <c r="F14" s="15"/>
    </row>
    <row r="15" spans="1:6">
      <c r="A15" s="15">
        <v>14</v>
      </c>
      <c r="B15" s="15">
        <v>4</v>
      </c>
      <c r="C15" s="15">
        <v>22.550823758024901</v>
      </c>
      <c r="D15" s="15">
        <v>0.82498992936017901</v>
      </c>
      <c r="E15" s="15">
        <v>0.99878999999999996</v>
      </c>
      <c r="F15" s="15"/>
    </row>
    <row r="16" spans="1:6">
      <c r="A16" s="15">
        <v>15</v>
      </c>
      <c r="B16" s="15">
        <v>4</v>
      </c>
      <c r="C16" s="15">
        <v>22.594741419864199</v>
      </c>
      <c r="D16" s="15">
        <v>0.82963250530376698</v>
      </c>
      <c r="E16" s="15">
        <v>0.99875999999999998</v>
      </c>
      <c r="F16" s="15"/>
    </row>
    <row r="17" spans="1:6">
      <c r="A17" s="15">
        <v>16</v>
      </c>
      <c r="B17" s="15">
        <v>4</v>
      </c>
      <c r="C17" s="15">
        <v>22.3347964868092</v>
      </c>
      <c r="D17" s="15">
        <v>0.80747063665545904</v>
      </c>
      <c r="E17" s="15">
        <v>0.99890000000000001</v>
      </c>
      <c r="F17" s="15"/>
    </row>
    <row r="18" spans="1:6">
      <c r="A18" s="15">
        <v>17</v>
      </c>
      <c r="B18" s="15">
        <v>5</v>
      </c>
      <c r="C18" s="15">
        <v>24.025355931485201</v>
      </c>
      <c r="D18" s="15">
        <v>0.82501262688875998</v>
      </c>
      <c r="E18" s="15">
        <v>0.99890000000000001</v>
      </c>
      <c r="F18" s="15"/>
    </row>
    <row r="19" spans="1:6">
      <c r="A19" s="15">
        <v>18</v>
      </c>
      <c r="B19" s="15">
        <v>5</v>
      </c>
      <c r="C19" s="15">
        <v>24.152842978521299</v>
      </c>
      <c r="D19" s="15">
        <v>0.81605777452952899</v>
      </c>
      <c r="E19" s="15">
        <v>0.99878999999999996</v>
      </c>
      <c r="F19" s="15"/>
    </row>
    <row r="20" spans="1:6">
      <c r="A20" s="15">
        <v>19</v>
      </c>
      <c r="B20" s="15">
        <v>5</v>
      </c>
      <c r="C20" s="15">
        <v>24.102345294750599</v>
      </c>
      <c r="D20" s="15">
        <v>0.81261074974061698</v>
      </c>
      <c r="E20" s="15">
        <v>0.99868000000000001</v>
      </c>
      <c r="F20" s="15"/>
    </row>
    <row r="21" spans="1:6">
      <c r="A21" s="15">
        <v>20</v>
      </c>
      <c r="B21" s="15">
        <v>5</v>
      </c>
      <c r="C21" s="15">
        <v>24.115493804946102</v>
      </c>
      <c r="D21" s="15">
        <v>0.81091896550840903</v>
      </c>
      <c r="E21" s="15">
        <v>0.99853999999999998</v>
      </c>
      <c r="F21" s="15"/>
    </row>
    <row r="22" spans="1:6">
      <c r="A22" s="15">
        <v>21</v>
      </c>
      <c r="B22" s="15">
        <v>6</v>
      </c>
      <c r="C22" s="15">
        <v>25.3511103654122</v>
      </c>
      <c r="D22" s="15">
        <v>0.82981467336377701</v>
      </c>
      <c r="E22" s="15">
        <v>0.99916000000000005</v>
      </c>
      <c r="F22" s="15"/>
    </row>
    <row r="23" spans="1:6">
      <c r="A23" s="15">
        <v>22</v>
      </c>
      <c r="B23" s="15">
        <v>6</v>
      </c>
      <c r="C23" s="15">
        <v>25.0812138909588</v>
      </c>
      <c r="D23" s="15">
        <v>0.81064859993079996</v>
      </c>
      <c r="E23" s="15">
        <v>0.99895</v>
      </c>
      <c r="F23" s="15"/>
    </row>
    <row r="24" spans="1:6">
      <c r="A24" s="15">
        <v>23</v>
      </c>
      <c r="B24" s="15">
        <v>6</v>
      </c>
      <c r="C24" s="15">
        <v>25.200791808229901</v>
      </c>
      <c r="D24" s="15">
        <v>0.81983893923756002</v>
      </c>
      <c r="E24" s="15">
        <v>0.99892999999999998</v>
      </c>
      <c r="F24" s="15"/>
    </row>
    <row r="25" spans="1:6">
      <c r="A25" s="15">
        <v>24</v>
      </c>
      <c r="B25" s="15">
        <v>6</v>
      </c>
      <c r="C25" s="15">
        <v>25.352127060281202</v>
      </c>
      <c r="D25" s="15">
        <v>0.79105296810026804</v>
      </c>
      <c r="E25" s="15">
        <v>0.99868000000000001</v>
      </c>
      <c r="F25" s="15"/>
    </row>
    <row r="26" spans="1:6">
      <c r="A26" s="15">
        <v>25</v>
      </c>
      <c r="B26" s="15">
        <v>7</v>
      </c>
      <c r="C26" s="15">
        <v>20.149921093941298</v>
      </c>
      <c r="D26" s="15">
        <v>0.80966326166584401</v>
      </c>
      <c r="E26" s="15">
        <v>0.99892000000000003</v>
      </c>
      <c r="F26" s="15"/>
    </row>
    <row r="27" spans="1:6">
      <c r="A27" s="15">
        <v>26</v>
      </c>
      <c r="B27" s="15">
        <v>7</v>
      </c>
      <c r="C27" s="15">
        <v>20.089680365179799</v>
      </c>
      <c r="D27" s="15">
        <v>0.80683559394395199</v>
      </c>
      <c r="E27" s="15">
        <v>0.99873999999999996</v>
      </c>
      <c r="F27" s="15"/>
    </row>
    <row r="28" spans="1:6">
      <c r="A28" s="15">
        <v>27</v>
      </c>
      <c r="B28" s="15">
        <v>7</v>
      </c>
      <c r="C28" s="15">
        <v>20.1167979291473</v>
      </c>
      <c r="D28" s="15">
        <v>0.80627203473106601</v>
      </c>
      <c r="E28" s="15">
        <v>0.99853000000000003</v>
      </c>
      <c r="F28" s="15"/>
    </row>
    <row r="29" spans="1:6">
      <c r="A29" s="15">
        <v>28</v>
      </c>
      <c r="B29" s="15">
        <v>7</v>
      </c>
      <c r="C29" s="15">
        <v>20.045526593022299</v>
      </c>
      <c r="D29" s="15">
        <v>0.80402467337168704</v>
      </c>
      <c r="E29" s="15">
        <v>0.99872000000000005</v>
      </c>
      <c r="F29" s="15"/>
    </row>
    <row r="30" spans="1:6">
      <c r="A30" s="15">
        <v>29</v>
      </c>
      <c r="B30" s="15">
        <v>8</v>
      </c>
      <c r="C30" s="15">
        <v>24.533036558590801</v>
      </c>
      <c r="D30" s="15">
        <v>0.82796330075496605</v>
      </c>
      <c r="E30" s="15">
        <v>0.99929999999999997</v>
      </c>
      <c r="F30" s="15"/>
    </row>
    <row r="31" spans="1:6">
      <c r="A31" s="15">
        <v>30</v>
      </c>
      <c r="B31" s="15">
        <v>8</v>
      </c>
      <c r="C31" s="15">
        <v>24.650149969232299</v>
      </c>
      <c r="D31" s="15">
        <v>0.82825764629349896</v>
      </c>
      <c r="E31" s="15">
        <v>0.99888999999999994</v>
      </c>
      <c r="F31" s="15"/>
    </row>
    <row r="32" spans="1:6">
      <c r="A32" s="15">
        <v>31</v>
      </c>
      <c r="B32" s="15">
        <v>8</v>
      </c>
      <c r="C32" s="15">
        <v>24.621093883299199</v>
      </c>
      <c r="D32" s="15">
        <v>0.83089218482841598</v>
      </c>
      <c r="E32" s="15">
        <v>0.99885000000000002</v>
      </c>
      <c r="F32" s="15"/>
    </row>
    <row r="33" spans="1:6">
      <c r="A33" s="15">
        <v>32</v>
      </c>
      <c r="B33" s="15">
        <v>8</v>
      </c>
      <c r="C33" s="15">
        <v>24.584475884169098</v>
      </c>
      <c r="D33" s="15">
        <v>0.83190657644780197</v>
      </c>
      <c r="E33" s="15">
        <v>0.99878999999999996</v>
      </c>
      <c r="F33" s="15"/>
    </row>
    <row r="34" spans="1:6">
      <c r="A34" s="15">
        <v>33</v>
      </c>
      <c r="B34" s="15">
        <v>9</v>
      </c>
      <c r="C34" s="15">
        <v>22.467933319075101</v>
      </c>
      <c r="D34" s="15">
        <v>0.84397914440305399</v>
      </c>
      <c r="E34" s="15">
        <v>0.99897999999999998</v>
      </c>
      <c r="F34" s="15"/>
    </row>
    <row r="35" spans="1:6">
      <c r="A35" s="15">
        <v>34</v>
      </c>
      <c r="B35" s="15">
        <v>9</v>
      </c>
      <c r="C35" s="15">
        <v>22.573428654708099</v>
      </c>
      <c r="D35" s="15">
        <v>0.82569641283713702</v>
      </c>
      <c r="E35" s="15">
        <v>0.99912999999999996</v>
      </c>
      <c r="F35" s="15"/>
    </row>
    <row r="36" spans="1:6">
      <c r="A36" s="15">
        <v>35</v>
      </c>
      <c r="B36" s="15">
        <v>9</v>
      </c>
      <c r="C36" s="15">
        <v>22.539877105276599</v>
      </c>
      <c r="D36" s="15">
        <v>0.83374087270887698</v>
      </c>
      <c r="E36" s="15">
        <v>0.99890000000000001</v>
      </c>
      <c r="F36" s="15"/>
    </row>
    <row r="37" spans="1:6">
      <c r="A37" s="15">
        <v>36</v>
      </c>
      <c r="B37" s="15">
        <v>9</v>
      </c>
      <c r="C37" s="15">
        <v>22.497953247469301</v>
      </c>
      <c r="D37" s="15">
        <v>0.83193999083728998</v>
      </c>
      <c r="E37" s="15">
        <v>0.99890999999999996</v>
      </c>
      <c r="F37" s="15"/>
    </row>
    <row r="38" spans="1:6">
      <c r="A38" s="15">
        <v>37</v>
      </c>
      <c r="B38" s="15">
        <v>10</v>
      </c>
      <c r="C38" s="15">
        <v>23.132077630456099</v>
      </c>
      <c r="D38" s="15">
        <v>0.80647854535987396</v>
      </c>
      <c r="E38" s="15">
        <v>0.99907999999999997</v>
      </c>
      <c r="F38" s="15"/>
    </row>
    <row r="39" spans="1:6">
      <c r="A39" s="15">
        <v>38</v>
      </c>
      <c r="B39" s="15">
        <v>10</v>
      </c>
      <c r="C39" s="15">
        <v>23.254668873073999</v>
      </c>
      <c r="D39" s="15">
        <v>0.79545842978569004</v>
      </c>
      <c r="E39" s="15">
        <v>0.99929000000000001</v>
      </c>
      <c r="F39" s="15"/>
    </row>
    <row r="40" spans="1:6">
      <c r="A40" s="15">
        <v>39</v>
      </c>
      <c r="B40" s="15">
        <v>10</v>
      </c>
      <c r="C40" s="15">
        <v>23.2505568501802</v>
      </c>
      <c r="D40" s="15">
        <v>0.80922833625098201</v>
      </c>
      <c r="E40" s="15">
        <v>0.99880999999999998</v>
      </c>
      <c r="F40" s="15"/>
    </row>
    <row r="41" spans="1:6">
      <c r="A41" s="15">
        <v>40</v>
      </c>
      <c r="B41" s="15">
        <v>10</v>
      </c>
      <c r="C41" s="15">
        <v>23.189570784657601</v>
      </c>
      <c r="D41" s="15">
        <v>0.80327781896009998</v>
      </c>
      <c r="E41" s="15">
        <v>0.99885999999999997</v>
      </c>
      <c r="F41" s="15"/>
    </row>
    <row r="42" spans="1:6">
      <c r="A42" s="15">
        <v>41</v>
      </c>
      <c r="B42" s="15" t="s">
        <v>7</v>
      </c>
      <c r="C42" s="15">
        <v>35.057959235765097</v>
      </c>
      <c r="D42" s="15">
        <v>0.50122798206349195</v>
      </c>
      <c r="E42" s="15">
        <v>0.99529999999999996</v>
      </c>
      <c r="F42" s="15"/>
    </row>
    <row r="43" spans="1:6">
      <c r="A43" s="15">
        <v>42</v>
      </c>
      <c r="B43" s="15" t="s">
        <v>7</v>
      </c>
      <c r="C43" s="15">
        <v>35.244942104879399</v>
      </c>
      <c r="D43" s="15">
        <v>0.49617948661911998</v>
      </c>
      <c r="E43" s="15">
        <v>0.99543999999999999</v>
      </c>
      <c r="F43" s="15"/>
    </row>
    <row r="44" spans="1:6">
      <c r="A44" s="15">
        <v>43</v>
      </c>
      <c r="B44" s="15" t="s">
        <v>7</v>
      </c>
      <c r="C44" s="15">
        <v>35.646369054780202</v>
      </c>
      <c r="D44" s="15">
        <v>0.488783339817629</v>
      </c>
      <c r="E44" s="15">
        <v>0.99473</v>
      </c>
      <c r="F44" s="15"/>
    </row>
    <row r="45" spans="1:6">
      <c r="A45" s="15">
        <v>44</v>
      </c>
      <c r="B45" s="15" t="s">
        <v>7</v>
      </c>
      <c r="C45" s="15">
        <v>35.510307722461398</v>
      </c>
      <c r="D45" s="15">
        <v>0.504242453892494</v>
      </c>
      <c r="E45" s="15">
        <v>0.99541000000000002</v>
      </c>
      <c r="F45" s="15"/>
    </row>
    <row r="46" spans="1:6">
      <c r="A46" s="15">
        <v>45</v>
      </c>
      <c r="B46" s="15" t="s">
        <v>8</v>
      </c>
      <c r="C46" s="15">
        <v>-1</v>
      </c>
      <c r="D46" s="15">
        <v>-1</v>
      </c>
      <c r="E46" s="15"/>
      <c r="F46" s="15" t="s">
        <v>6</v>
      </c>
    </row>
    <row r="47" spans="1:6">
      <c r="A47" s="15">
        <v>46</v>
      </c>
      <c r="B47" s="15" t="s">
        <v>8</v>
      </c>
      <c r="C47" s="15">
        <v>-1</v>
      </c>
      <c r="D47" s="15">
        <v>-1</v>
      </c>
      <c r="E47" s="15"/>
      <c r="F47" s="15" t="s">
        <v>6</v>
      </c>
    </row>
    <row r="48" spans="1:6">
      <c r="A48" s="15">
        <v>47</v>
      </c>
      <c r="B48" s="15" t="s">
        <v>8</v>
      </c>
      <c r="C48" s="15">
        <v>-1</v>
      </c>
      <c r="D48" s="15">
        <v>-1</v>
      </c>
      <c r="E48" s="15"/>
      <c r="F48" s="15" t="s">
        <v>6</v>
      </c>
    </row>
    <row r="49" spans="1:6">
      <c r="A49" s="15">
        <v>48</v>
      </c>
      <c r="B49" s="15" t="s">
        <v>8</v>
      </c>
      <c r="C49" s="15">
        <v>-1</v>
      </c>
      <c r="D49" s="15">
        <v>-1</v>
      </c>
      <c r="E49" s="15"/>
      <c r="F49" s="15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</v>
      </c>
      <c r="B2">
        <f>IF('177T'!C2="", "", '177T'!C2)</f>
        <v>-1</v>
      </c>
      <c r="C2">
        <f>IF('18S2'!C2="", "", '18S2'!C2)</f>
        <v>-1</v>
      </c>
      <c r="D2">
        <f>IF(RNAseP!C2="", "", RNAseP!C2)</f>
        <v>23.887449342602999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</v>
      </c>
      <c r="B3">
        <f>IF('177T'!C3="", "", '177T'!C3)</f>
        <v>-1</v>
      </c>
      <c r="C3">
        <f>IF('18S2'!C3="", "", '18S2'!C3)</f>
        <v>-1</v>
      </c>
      <c r="D3">
        <f>IF(RNAseP!C3="", "", RNAseP!C3)</f>
        <v>23.963665171634101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</v>
      </c>
      <c r="B4">
        <f>IF('177T'!C4="", "", '177T'!C4)</f>
        <v>-1</v>
      </c>
      <c r="C4">
        <f>IF('18S2'!C4="", "", '18S2'!C4)</f>
        <v>-1</v>
      </c>
      <c r="D4">
        <f>IF(RNAseP!C4="", "", RNAseP!C4)</f>
        <v>24.008203089053598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</v>
      </c>
      <c r="B5">
        <f>IF('177T'!C5="", "", '177T'!C5)</f>
        <v>-1</v>
      </c>
      <c r="C5">
        <f>IF('18S2'!C5="", "", '18S2'!C5)</f>
        <v>-1</v>
      </c>
      <c r="D5">
        <f>IF(RNAseP!C5="", "", RNAseP!C5)</f>
        <v>23.958927183461601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</v>
      </c>
      <c r="B6">
        <f>IF('177T'!C6="", "", '177T'!C6)</f>
        <v>-1</v>
      </c>
      <c r="C6">
        <f>IF('18S2'!C6="", "", '18S2'!C6)</f>
        <v>-1</v>
      </c>
      <c r="D6">
        <f>IF(RNAseP!C6="", "", RNAseP!C6)</f>
        <v>25.219418477460501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</v>
      </c>
      <c r="B7">
        <f>IF('177T'!C7="", "", '177T'!C7)</f>
        <v>-1</v>
      </c>
      <c r="C7">
        <f>IF('18S2'!C7="", "", '18S2'!C7)</f>
        <v>-1</v>
      </c>
      <c r="D7">
        <f>IF(RNAseP!C7="", "", RNAseP!C7)</f>
        <v>25.286479187996399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2</v>
      </c>
      <c r="B8">
        <f>IF('177T'!C8="", "", '177T'!C8)</f>
        <v>-1</v>
      </c>
      <c r="C8">
        <f>IF('18S2'!C8="", "", '18S2'!C8)</f>
        <v>-1</v>
      </c>
      <c r="D8">
        <f>IF(RNAseP!C8="", "", RNAseP!C8)</f>
        <v>25.3031263849008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</v>
      </c>
      <c r="B9">
        <f>IF('177T'!C9="", "", '177T'!C9)</f>
        <v>-1</v>
      </c>
      <c r="C9">
        <f>IF('18S2'!C9="", "", '18S2'!C9)</f>
        <v>-1</v>
      </c>
      <c r="D9">
        <f>IF(RNAseP!C9="", "", RNAseP!C9)</f>
        <v>25.303862632438399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23.8173609033487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23.907819031294299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23.795852288715199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23.7682386397518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22.397168758192901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22.550823758024901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22.594741419864199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22.3347964868092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24.025355931485201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24.152842978521299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24.102345294750599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24.115493804946102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25.3511103654122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25.0812138909588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25.200791808229901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25.352127060281202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20.149921093941298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20.089680365179799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20.1167979291473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20.045526593022299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24.533036558590801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24.650149969232299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24.621093883299199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24.584475884169098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22.467933319075101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22.573428654708099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22.539877105276599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22.497953247469301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23.132077630456099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23.254668873073999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23.2505568501802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23.189570784657601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23.654236038493298</v>
      </c>
      <c r="C42">
        <f>IF('18S2'!C42="", "", '18S2'!C42)</f>
        <v>19.623643362617301</v>
      </c>
      <c r="D42">
        <f>IF(RNAseP!C42="", "", RNAseP!C42)</f>
        <v>35.057959235765097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23.1318261717587</v>
      </c>
      <c r="C43">
        <f>IF('18S2'!C43="", "", '18S2'!C43)</f>
        <v>19.6147679133617</v>
      </c>
      <c r="D43">
        <f>IF(RNAseP!C43="", "", RNAseP!C43)</f>
        <v>35.244942104879399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22.463345954113102</v>
      </c>
      <c r="C44">
        <f>IF('18S2'!C44="", "", '18S2'!C44)</f>
        <v>19.261706964024</v>
      </c>
      <c r="D44">
        <f>IF(RNAseP!C44="", "", RNAseP!C44)</f>
        <v>35.646369054780202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23.118088832543201</v>
      </c>
      <c r="C45">
        <f>IF('18S2'!C45="", "", '18S2'!C45)</f>
        <v>19.567028271902601</v>
      </c>
      <c r="D45">
        <f>IF(RNAseP!C45="", "", RNAseP!C45)</f>
        <v>35.510307722461398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workbookViewId="0">
      <selection activeCell="C4" sqref="C4:F4"/>
    </sheetView>
  </sheetViews>
  <sheetFormatPr defaultColWidth="9.140625" defaultRowHeight="15"/>
  <cols>
    <col min="1" max="1" width="13.42578125" style="3" bestFit="1" customWidth="1"/>
    <col min="2" max="2" width="13.42578125" style="3" customWidth="1"/>
    <col min="3" max="3" width="13.42578125" customWidth="1"/>
    <col min="4" max="6" width="14.85546875" customWidth="1"/>
    <col min="7" max="8" width="13.42578125" customWidth="1"/>
  </cols>
  <sheetData>
    <row r="1" spans="1:8" ht="18.75">
      <c r="A1" s="24" t="s">
        <v>40</v>
      </c>
      <c r="B1" s="24"/>
    </row>
    <row r="3" spans="1:8">
      <c r="A3" s="18" t="s">
        <v>41</v>
      </c>
      <c r="B3" s="19"/>
      <c r="C3" s="20">
        <v>45783</v>
      </c>
      <c r="D3" s="21"/>
      <c r="E3" s="21"/>
      <c r="F3" s="22"/>
    </row>
    <row r="4" spans="1:8">
      <c r="A4" s="18" t="s">
        <v>42</v>
      </c>
      <c r="B4" s="19"/>
      <c r="C4" s="23" t="s">
        <v>43</v>
      </c>
      <c r="D4" s="21"/>
      <c r="E4" s="21"/>
      <c r="F4" s="22"/>
    </row>
    <row r="5" spans="1:8">
      <c r="A5" s="18" t="s">
        <v>44</v>
      </c>
      <c r="B5" s="19"/>
      <c r="C5" s="23" t="s">
        <v>45</v>
      </c>
      <c r="D5" s="21"/>
      <c r="E5" s="21"/>
      <c r="F5" s="22"/>
    </row>
    <row r="6" spans="1:8">
      <c r="A6" s="18" t="s">
        <v>46</v>
      </c>
      <c r="B6" s="19"/>
      <c r="C6" s="23">
        <v>301</v>
      </c>
      <c r="D6" s="21"/>
      <c r="E6" s="21"/>
      <c r="F6" s="22"/>
    </row>
    <row r="7" spans="1:8">
      <c r="A7" s="18" t="s">
        <v>47</v>
      </c>
      <c r="B7" s="19"/>
      <c r="C7" s="23">
        <v>66262118</v>
      </c>
      <c r="D7" s="21"/>
      <c r="E7" s="21"/>
      <c r="F7" s="22"/>
    </row>
    <row r="8" spans="1:8">
      <c r="A8" s="18" t="s">
        <v>48</v>
      </c>
      <c r="B8" s="19"/>
      <c r="C8" s="20">
        <v>45771</v>
      </c>
      <c r="D8" s="21"/>
      <c r="E8" s="21"/>
      <c r="F8" s="22"/>
    </row>
    <row r="9" spans="1:8">
      <c r="A9" s="18" t="s">
        <v>49</v>
      </c>
      <c r="B9" s="19"/>
      <c r="C9" s="20">
        <v>45771</v>
      </c>
      <c r="D9" s="21"/>
      <c r="E9" s="21"/>
      <c r="F9" s="22"/>
    </row>
    <row r="10" spans="1:8">
      <c r="A10" s="18" t="s">
        <v>50</v>
      </c>
      <c r="B10" s="19"/>
      <c r="C10" s="20">
        <v>45771</v>
      </c>
      <c r="D10" s="21"/>
      <c r="E10" s="21"/>
      <c r="F10" s="22"/>
    </row>
    <row r="11" spans="1:8">
      <c r="A11" s="18" t="s">
        <v>51</v>
      </c>
      <c r="B11" s="19"/>
      <c r="C11" s="23">
        <v>2311257</v>
      </c>
      <c r="D11" s="21"/>
      <c r="E11" s="21"/>
      <c r="F11" s="22"/>
    </row>
    <row r="12" spans="1:8">
      <c r="A12" s="18" t="s">
        <v>52</v>
      </c>
      <c r="B12" s="19"/>
      <c r="C12" s="20">
        <v>45771</v>
      </c>
      <c r="D12" s="21"/>
      <c r="E12" s="21"/>
      <c r="F12" s="22"/>
    </row>
    <row r="15" spans="1:8">
      <c r="A15" s="8" t="str" cm="1">
        <f t="array" ref="A15">IF(INDEX(Analysis!A:A,MATCH(0,COUNTIF($A$14:A14,Analysis!A:A),0))="","",INDEX(Analysis!A:A,MATCH(0,COUNTIF($A$14:A14,Analysis!A:A),0)))</f>
        <v>Sample</v>
      </c>
      <c r="B15" s="8" t="s">
        <v>53</v>
      </c>
      <c r="C15" s="8" t="s">
        <v>54</v>
      </c>
      <c r="D15" s="9" t="s">
        <v>9</v>
      </c>
      <c r="E15" s="10" t="s">
        <v>10</v>
      </c>
      <c r="F15" s="11" t="s">
        <v>11</v>
      </c>
      <c r="H15" s="17"/>
    </row>
    <row r="16" spans="1:8">
      <c r="A16" s="12" cm="1">
        <f t="array" ref="A16">IF(INDEX(Analysis!A:A,MATCH(0,COUNTIF($A$14:A15,Analysis!A:A),0))="","",INDEX(Analysis!A:A,MATCH(0,COUNTIF($A$14:A15,Analysis!A:A),0)))</f>
        <v>1</v>
      </c>
      <c r="B16" s="16">
        <v>2401072</v>
      </c>
      <c r="C16" s="12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12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12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12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 +/- 0</v>
      </c>
    </row>
    <row r="17" spans="1:12">
      <c r="A17" s="12" cm="1">
        <f t="array" ref="A17">IF(INDEX(Analysis!A:A,MATCH(0,COUNTIF($A$14:A16,Analysis!A:A),0))="","",INDEX(Analysis!A:A,MATCH(0,COUNTIF($A$14:A16,Analysis!A:A),0)))</f>
        <v>2</v>
      </c>
      <c r="B17" s="16">
        <v>2401079</v>
      </c>
      <c r="C17" s="12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12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12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12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25,3 +/- 0</v>
      </c>
      <c r="J17" s="17"/>
    </row>
    <row r="18" spans="1:12">
      <c r="A18" s="12" cm="1">
        <f t="array" ref="A18">IF(INDEX(Analysis!A:A,MATCH(0,COUNTIF($A$14:A17,Analysis!A:A),0))="","",INDEX(Analysis!A:A,MATCH(0,COUNTIF($A$14:A17,Analysis!A:A),0)))</f>
        <v>3</v>
      </c>
      <c r="B18" s="16">
        <v>2400846</v>
      </c>
      <c r="C18" s="12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12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12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12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23,8 +/- 0,1</v>
      </c>
    </row>
    <row r="19" spans="1:12">
      <c r="A19" s="12" cm="1">
        <f t="array" ref="A19">IF(INDEX(Analysis!A:A,MATCH(0,COUNTIF($A$14:A18,Analysis!A:A),0))="","",INDEX(Analysis!A:A,MATCH(0,COUNTIF($A$14:A18,Analysis!A:A),0)))</f>
        <v>4</v>
      </c>
      <c r="B19" s="16">
        <v>2400831</v>
      </c>
      <c r="C19" s="12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12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12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12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22,5 +/- 0,1</v>
      </c>
    </row>
    <row r="20" spans="1:12">
      <c r="A20" s="12" cm="1">
        <f t="array" ref="A20">IF(INDEX(Analysis!A:A,MATCH(0,COUNTIF($A$14:A19,Analysis!A:A),0))="","",INDEX(Analysis!A:A,MATCH(0,COUNTIF($A$14:A19,Analysis!A:A),0)))</f>
        <v>5</v>
      </c>
      <c r="B20" s="16">
        <v>2402995</v>
      </c>
      <c r="C20" s="12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12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12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12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24,1 +/- 0,1</v>
      </c>
    </row>
    <row r="21" spans="1:12">
      <c r="A21" s="12" cm="1">
        <f t="array" ref="A21">IF(INDEX(Analysis!A:A,MATCH(0,COUNTIF($A$14:A20,Analysis!A:A),0))="","",INDEX(Analysis!A:A,MATCH(0,COUNTIF($A$14:A20,Analysis!A:A),0)))</f>
        <v>6</v>
      </c>
      <c r="B21" s="16">
        <v>2400807</v>
      </c>
      <c r="C21" s="12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12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12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12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25,2 +/- 0,1</v>
      </c>
      <c r="L21" s="4"/>
    </row>
    <row r="22" spans="1:12">
      <c r="A22" s="12" cm="1">
        <f t="array" ref="A22">IF(INDEX(Analysis!A:A,MATCH(0,COUNTIF($A$14:A21,Analysis!A:A),0))="","",INDEX(Analysis!A:A,MATCH(0,COUNTIF($A$14:A21,Analysis!A:A),0)))</f>
        <v>7</v>
      </c>
      <c r="B22" s="16">
        <v>2402842</v>
      </c>
      <c r="C22" s="12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12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12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12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20,1 +/- 0</v>
      </c>
    </row>
    <row r="23" spans="1:12">
      <c r="A23" s="12" cm="1">
        <f t="array" ref="A23">IF(INDEX(Analysis!A:A,MATCH(0,COUNTIF($A$14:A22,Analysis!A:A),0))="","",INDEX(Analysis!A:A,MATCH(0,COUNTIF($A$14:A22,Analysis!A:A),0)))</f>
        <v>8</v>
      </c>
      <c r="B23" s="16">
        <v>2400904</v>
      </c>
      <c r="C23" s="12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12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12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12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24,6 +/- 0,1</v>
      </c>
    </row>
    <row r="24" spans="1:12">
      <c r="A24" s="12" cm="1">
        <f t="array" ref="A24">IF(INDEX(Analysis!A:A,MATCH(0,COUNTIF($A$14:A23,Analysis!A:A),0))="","",INDEX(Analysis!A:A,MATCH(0,COUNTIF($A$14:A23,Analysis!A:A),0)))</f>
        <v>9</v>
      </c>
      <c r="B24" s="16">
        <v>2402449</v>
      </c>
      <c r="C24" s="12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12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12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12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22,5 +/- 0</v>
      </c>
    </row>
    <row r="25" spans="1:12">
      <c r="A25" s="12" cm="1">
        <f t="array" ref="A25">IF(INDEX(Analysis!A:A,MATCH(0,COUNTIF($A$14:A24,Analysis!A:A),0))="","",INDEX(Analysis!A:A,MATCH(0,COUNTIF($A$14:A24,Analysis!A:A),0)))</f>
        <v>10</v>
      </c>
      <c r="B25" s="16">
        <v>2402970</v>
      </c>
      <c r="C25" s="12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12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12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12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23,2 +/- 0,1</v>
      </c>
    </row>
    <row r="26" spans="1:12">
      <c r="A26" s="12" t="str" cm="1">
        <f t="array" ref="A26">IF(INDEX(Analysis!A:A,MATCH(0,COUNTIF($A$14:A25,Analysis!A:A),0))="","",INDEX(Analysis!A:A,MATCH(0,COUNTIF($A$14:A25,Analysis!A:A),0)))</f>
        <v>CP</v>
      </c>
      <c r="B26" s="12"/>
      <c r="C26" s="12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12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23,1 +/- 0,5</v>
      </c>
      <c r="E26" s="12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19,5 +/- 0,2</v>
      </c>
      <c r="F26" s="12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+/- 0,3</v>
      </c>
    </row>
    <row r="27" spans="1:12">
      <c r="A27" s="12" t="str" cm="1">
        <f t="array" ref="A27">IF(INDEX(Analysis!A:A,MATCH(0,COUNTIF($A$14:A26,Analysis!A:A),0))="","",INDEX(Analysis!A:A,MATCH(0,COUNTIF($A$14:A26,Analysis!A:A),0)))</f>
        <v>CN</v>
      </c>
      <c r="B27" s="12"/>
      <c r="C27" s="12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12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12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12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28" spans="1:12">
      <c r="C28" s="3"/>
      <c r="D28" s="3"/>
      <c r="E28" s="3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8" t="s">
        <v>55</v>
      </c>
      <c r="B29" s="8" t="s">
        <v>56</v>
      </c>
      <c r="C29" s="26" t="s">
        <v>57</v>
      </c>
      <c r="D29" s="26"/>
      <c r="E29" s="3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2" t="s">
        <v>58</v>
      </c>
      <c r="B30" s="12" t="s">
        <v>59</v>
      </c>
      <c r="C30" s="25" t="s">
        <v>60</v>
      </c>
      <c r="D30" s="25"/>
      <c r="E30" s="3"/>
    </row>
    <row r="31" spans="1:12">
      <c r="A31" s="12" t="s">
        <v>20</v>
      </c>
      <c r="B31" s="12" t="s">
        <v>21</v>
      </c>
      <c r="C31" s="25" t="s">
        <v>61</v>
      </c>
      <c r="D31" s="25"/>
      <c r="E31" s="3"/>
    </row>
    <row r="32" spans="1:12">
      <c r="A32" s="12" t="s">
        <v>22</v>
      </c>
      <c r="B32" s="12" t="s">
        <v>62</v>
      </c>
      <c r="C32" s="25" t="s">
        <v>63</v>
      </c>
      <c r="D32" s="25"/>
      <c r="E32" s="3"/>
    </row>
    <row r="33" spans="1:5">
      <c r="A33" s="12" t="s">
        <v>64</v>
      </c>
      <c r="B33" s="12" t="s">
        <v>65</v>
      </c>
      <c r="C33" s="25" t="s">
        <v>66</v>
      </c>
      <c r="D33" s="25"/>
      <c r="E33" s="3"/>
    </row>
    <row r="34" spans="1:5">
      <c r="A34" s="12" t="s">
        <v>17</v>
      </c>
      <c r="B34" s="12" t="s">
        <v>67</v>
      </c>
      <c r="C34" s="25" t="s">
        <v>68</v>
      </c>
      <c r="D34" s="25"/>
      <c r="E34" s="3"/>
    </row>
    <row r="35" spans="1:5">
      <c r="A35" s="12" t="s">
        <v>69</v>
      </c>
      <c r="B35" s="12" t="s">
        <v>70</v>
      </c>
      <c r="C35" s="25" t="s">
        <v>71</v>
      </c>
      <c r="D35" s="25"/>
      <c r="E35" s="3"/>
    </row>
    <row r="36" spans="1:5">
      <c r="C36" s="3"/>
      <c r="D36" s="3"/>
      <c r="E36" s="3"/>
    </row>
    <row r="37" spans="1:5">
      <c r="C37" s="3"/>
      <c r="D37" s="3"/>
      <c r="E37" s="3"/>
    </row>
    <row r="38" spans="1:5">
      <c r="C38" s="3"/>
      <c r="D38" s="3"/>
      <c r="E38" s="3"/>
    </row>
    <row r="39" spans="1:5">
      <c r="C39" s="3"/>
      <c r="D39" s="3"/>
      <c r="E39" s="3"/>
    </row>
    <row r="40" spans="1:5">
      <c r="C40" s="3"/>
      <c r="D40" s="3"/>
      <c r="E40" s="3"/>
    </row>
    <row r="41" spans="1:5">
      <c r="C41" s="3"/>
      <c r="D41" s="3"/>
      <c r="E41" s="3"/>
    </row>
    <row r="42" spans="1:5">
      <c r="C42" s="3"/>
      <c r="D42" s="3"/>
      <c r="E42" s="3"/>
    </row>
    <row r="43" spans="1:5">
      <c r="C43" s="3"/>
      <c r="D43" s="3"/>
      <c r="E43" s="3"/>
    </row>
    <row r="44" spans="1:5">
      <c r="C44" s="3"/>
      <c r="D44" s="3"/>
      <c r="E44" s="3"/>
    </row>
    <row r="45" spans="1:5">
      <c r="C45" s="3"/>
      <c r="D45" s="3"/>
      <c r="E45" s="3"/>
    </row>
    <row r="46" spans="1:5">
      <c r="C46" s="3"/>
      <c r="D46" s="3"/>
      <c r="E46" s="3"/>
    </row>
    <row r="47" spans="1:5">
      <c r="C47" s="3"/>
      <c r="D47" s="3"/>
      <c r="E47" s="3"/>
    </row>
    <row r="48" spans="1:5">
      <c r="C48" s="3"/>
      <c r="D48" s="3"/>
      <c r="E48" s="3"/>
    </row>
    <row r="49" spans="3:5">
      <c r="C49" s="3"/>
      <c r="D49" s="3"/>
      <c r="E49" s="3"/>
    </row>
    <row r="50" spans="3:5">
      <c r="C50" s="3"/>
      <c r="D50" s="3"/>
      <c r="E50" s="3"/>
    </row>
    <row r="51" spans="3:5">
      <c r="C51" s="3"/>
      <c r="D51" s="3"/>
      <c r="E51" s="3"/>
    </row>
    <row r="52" spans="3:5">
      <c r="C52" s="3"/>
      <c r="D52" s="3"/>
      <c r="E52" s="3"/>
    </row>
    <row r="53" spans="3:5">
      <c r="C53" s="3"/>
      <c r="D53" s="3"/>
      <c r="E53" s="3"/>
    </row>
    <row r="54" spans="3:5">
      <c r="C54" s="3"/>
      <c r="D54" s="3"/>
      <c r="E54" s="3"/>
    </row>
    <row r="55" spans="3:5">
      <c r="C55" s="3"/>
      <c r="D55" s="3"/>
      <c r="E55" s="3"/>
    </row>
    <row r="56" spans="3:5">
      <c r="C56" s="3"/>
      <c r="D56" s="3"/>
      <c r="E56" s="3"/>
    </row>
    <row r="57" spans="3:5">
      <c r="C57" s="3"/>
      <c r="D57" s="3"/>
      <c r="E57" s="3"/>
    </row>
    <row r="58" spans="3:5">
      <c r="C58" s="3"/>
      <c r="D58" s="3"/>
      <c r="E58" s="3"/>
    </row>
  </sheetData>
  <sheetProtection algorithmName="SHA-512" hashValue="rKjxmGwevqxknI5thxn8MpvbHay9nSH5eu27d/O2HU7ZcwtcWpywiRbVDTyMVPAdyaXeSFMCH64P2/jD0Z001g==" saltValue="LZzVDa7ileSCkXDAWhBU8Q==" spinCount="100000" sheet="1" selectLockedCells="1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C6:F6"/>
    <mergeCell ref="A10:B10"/>
    <mergeCell ref="A11:B11"/>
    <mergeCell ref="C5:F5"/>
    <mergeCell ref="C4:F4"/>
    <mergeCell ref="C3:F3"/>
    <mergeCell ref="A5:B5"/>
    <mergeCell ref="A4:B4"/>
    <mergeCell ref="A3:B3"/>
    <mergeCell ref="A12:B12"/>
    <mergeCell ref="C10:F10"/>
    <mergeCell ref="C11:F11"/>
    <mergeCell ref="C12:F12"/>
    <mergeCell ref="A7:B7"/>
    <mergeCell ref="A8:B8"/>
    <mergeCell ref="A9:B9"/>
    <mergeCell ref="C7:F7"/>
    <mergeCell ref="C8:F8"/>
    <mergeCell ref="C9:F9"/>
  </mergeCells>
  <conditionalFormatting sqref="C15:C27">
    <cfRule type="cellIs" dxfId="8" priority="4" operator="equal">
      <formula>"OK"</formula>
    </cfRule>
    <cfRule type="cellIs" dxfId="7" priority="5" operator="equal">
      <formula>"N"</formula>
    </cfRule>
    <cfRule type="cellIs" dxfId="6" priority="6" operator="equal">
      <formula>"C"</formula>
    </cfRule>
  </conditionalFormatting>
  <conditionalFormatting sqref="C16:C25">
    <cfRule type="cellIs" dxfId="5" priority="1" operator="equal">
      <formula>"R"</formula>
    </cfRule>
    <cfRule type="cellIs" dxfId="4" priority="3" operator="equal">
      <formula>"P"</formula>
    </cfRule>
  </conditionalFormatting>
  <conditionalFormatting sqref="C16:C27">
    <cfRule type="cellIs" dxfId="3" priority="2" operator="equal">
      <formula>"S"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72</v>
      </c>
      <c r="C1" s="2" t="s">
        <v>73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 +/- 0</v>
      </c>
    </row>
    <row r="3" spans="1:11">
      <c r="A3" s="3">
        <f>Report!A17</f>
        <v>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25,3 +/- 0</v>
      </c>
    </row>
    <row r="4" spans="1:11">
      <c r="A4" s="3">
        <f>Report!A18</f>
        <v>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23,8 +/- 0,1</v>
      </c>
    </row>
    <row r="5" spans="1:11">
      <c r="A5" s="3">
        <f>Report!A19</f>
        <v>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22,5 +/- 0,1</v>
      </c>
    </row>
    <row r="6" spans="1:11">
      <c r="A6" s="3">
        <f>Report!A20</f>
        <v>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24,1 +/- 0,1</v>
      </c>
    </row>
    <row r="7" spans="1:11">
      <c r="A7" s="3">
        <f>Report!A21</f>
        <v>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25,2 +/- 0,1</v>
      </c>
      <c r="K7" s="4"/>
    </row>
    <row r="8" spans="1:11">
      <c r="A8" s="3">
        <f>Report!A22</f>
        <v>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20,1 +/- 0</v>
      </c>
    </row>
    <row r="9" spans="1:11">
      <c r="A9" s="3">
        <f>Report!A23</f>
        <v>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24,6 +/- 0,1</v>
      </c>
    </row>
    <row r="10" spans="1:11">
      <c r="A10" s="3">
        <f>Report!A24</f>
        <v>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22,5 +/- 0</v>
      </c>
    </row>
    <row r="11" spans="1:11">
      <c r="A11" s="3">
        <f>Report!A25</f>
        <v>10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23,2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23,1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19,5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35,4 +/- 0,3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2025-05-08T09:38:30+00:00</Uploaded>
  </documentManagement>
</p:properties>
</file>

<file path=customXml/itemProps1.xml><?xml version="1.0" encoding="utf-8"?>
<ds:datastoreItem xmlns:ds="http://schemas.openxmlformats.org/officeDocument/2006/customXml" ds:itemID="{DA6F6F11-A245-47A1-A9C7-CF1D12A8F10C}"/>
</file>

<file path=customXml/itemProps2.xml><?xml version="1.0" encoding="utf-8"?>
<ds:datastoreItem xmlns:ds="http://schemas.openxmlformats.org/officeDocument/2006/customXml" ds:itemID="{4936C0CD-F8BD-444C-AECC-DF61B70D6B56}"/>
</file>

<file path=customXml/itemProps3.xml><?xml version="1.0" encoding="utf-8"?>
<ds:datastoreItem xmlns:ds="http://schemas.openxmlformats.org/officeDocument/2006/customXml" ds:itemID="{A6E6F98C-F0BC-4CA3-931D-28C3B3D27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2025-10-01T16:19:38Z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