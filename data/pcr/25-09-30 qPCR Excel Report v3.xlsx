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14578439-77F1-46DC-9AA0-73F6C8D11B34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0" yWindow="0" windowWidth="14400" windowHeight="156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<sst xmlns="http://schemas.openxmlformats.org/spreadsheetml/2006/main" count="418" uniqueCount="75">
  <si>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</si>
  <si>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</si>
  <si>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</si>
  <si>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</si>
  <si>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</si>
  <si>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</si>
  <si>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</si>
  <si>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</si>
  <si>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</si>
  <si>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</si>
  <si>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</si>
  <si>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</si>
  <si>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</si>
  <si>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</si>
  <si>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</si>
  <si>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</si>
  <si>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</si>
  <si>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</si>
  <si>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</si>
  <si>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</si>
  <si>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</si>
  <si>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</si>
  <si>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</si>
  <si>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</si>
  <si>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</si>
  <si>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</si>
  <si>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</si>
  <si>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</si>
  <si>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</si>
  <si>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</si>
  <si>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</si>
  <si>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</si>
  <si>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</si>
  <si>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</si>
  <si>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</si>
  <si>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</si>
  <si>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</si>
  <si>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</si>
  <si>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</si>
  <si>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</si>
  <si>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</si>
  <si>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</si>
  <si>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</si>
  <si>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</si>
  <si>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</si>
  <si>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2025-09-30 13.14.53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</si>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</sst>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156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156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156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156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157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157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157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157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158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158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158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158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159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159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159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159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160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160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160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160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161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161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161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161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162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162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162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162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163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163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163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163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164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164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164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164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165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165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165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165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25.017989360454902</v>
      </c>
      <c r="D42" s="8">
        <v>0.90934846351241405</v>
      </c>
      <c r="E42" s="8">
        <v>0.99926999999999999</v>
      </c>
      <c r="F42" s="8"/>
    </row>
    <row r="43" spans="1:6">
      <c r="A43" s="8">
        <v>42</v>
      </c>
      <c r="B43" s="8" t="s">
        <v>7</v>
      </c>
      <c r="C43" s="8">
        <v>24.271422118216801</v>
      </c>
      <c r="D43" s="8">
        <v>0.79060201444816103</v>
      </c>
      <c r="E43" s="8">
        <v>0.99980000000000002</v>
      </c>
      <c r="F43" s="8"/>
    </row>
    <row r="44" spans="1:6">
      <c r="A44" s="8">
        <v>43</v>
      </c>
      <c r="B44" s="8" t="s">
        <v>7</v>
      </c>
      <c r="C44" s="8">
        <v>24.404471182709301</v>
      </c>
      <c r="D44" s="8">
        <v>0.80267333802698904</v>
      </c>
      <c r="E44" s="8">
        <v>0.99982000000000004</v>
      </c>
      <c r="F44" s="8"/>
    </row>
    <row r="45" spans="1:6">
      <c r="A45" s="8">
        <v>44</v>
      </c>
      <c r="B45" s="8" t="s">
        <v>7</v>
      </c>
      <c r="C45" s="8">
        <v>24.502387016550301</v>
      </c>
      <c r="D45" s="8">
        <v>0.81421103246593496</v>
      </c>
      <c r="E45" s="8">
        <v>0.99978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opLeftCell="A10"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156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156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156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156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157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157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157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157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158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158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158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158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159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159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159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159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160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160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160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160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161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161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161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161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162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162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162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162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163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163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163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163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164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164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164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164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165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165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165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165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21.237094173612601</v>
      </c>
      <c r="D42" s="9">
        <v>0.84110509579898096</v>
      </c>
      <c r="E42" s="9">
        <v>0.99883</v>
      </c>
      <c r="F42" s="9"/>
    </row>
    <row r="43" spans="1:6">
      <c r="A43" s="9">
        <v>42</v>
      </c>
      <c r="B43" s="9" t="s">
        <v>7</v>
      </c>
      <c r="C43" s="9">
        <v>21.396055577351301</v>
      </c>
      <c r="D43" s="9">
        <v>0.86521427907014403</v>
      </c>
      <c r="E43" s="9">
        <v>0.99853999999999998</v>
      </c>
      <c r="F43" s="9"/>
    </row>
    <row r="44" spans="1:6">
      <c r="A44" s="9">
        <v>43</v>
      </c>
      <c r="B44" s="9" t="s">
        <v>7</v>
      </c>
      <c r="C44" s="9">
        <v>21.0745655064398</v>
      </c>
      <c r="D44" s="9">
        <v>0.84738326421924604</v>
      </c>
      <c r="E44" s="9">
        <v>0.99844999999999995</v>
      </c>
      <c r="F44" s="9"/>
    </row>
    <row r="45" spans="1:6">
      <c r="A45" s="9">
        <v>44</v>
      </c>
      <c r="B45" s="9" t="s">
        <v>7</v>
      </c>
      <c r="C45" s="9">
        <v>21.2820743360612</v>
      </c>
      <c r="D45" s="9">
        <v>0.87714883127758703</v>
      </c>
      <c r="E45" s="9">
        <v>0.99851000000000001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156</v>
      </c>
      <c r="C2" s="10">
        <v>23.3323596066897</v>
      </c>
      <c r="D2" s="10">
        <v>0.94434848482060896</v>
      </c>
      <c r="E2" s="10">
        <v>0.99943000000000004</v>
      </c>
      <c r="F2" s="10"/>
    </row>
    <row r="3" spans="1:6">
      <c r="A3" s="10">
        <v>2</v>
      </c>
      <c r="B3" s="10">
        <v>156</v>
      </c>
      <c r="C3" s="10">
        <v>23.4130506973734</v>
      </c>
      <c r="D3" s="10">
        <v>0.97611255660315099</v>
      </c>
      <c r="E3" s="10">
        <v>0.99936000000000003</v>
      </c>
      <c r="F3" s="10"/>
    </row>
    <row r="4" spans="1:6">
      <c r="A4" s="10">
        <v>3</v>
      </c>
      <c r="B4" s="10">
        <v>156</v>
      </c>
      <c r="C4" s="10">
        <v>23.249604630015799</v>
      </c>
      <c r="D4" s="10">
        <v>0.97772031702534301</v>
      </c>
      <c r="E4" s="10">
        <v>0.99914000000000003</v>
      </c>
      <c r="F4" s="10"/>
    </row>
    <row r="5" spans="1:6">
      <c r="A5" s="10">
        <v>4</v>
      </c>
      <c r="B5" s="10">
        <v>156</v>
      </c>
      <c r="C5" s="10">
        <v>23.316943003013801</v>
      </c>
      <c r="D5" s="10">
        <v>0.95237220236017095</v>
      </c>
      <c r="E5" s="10">
        <v>0.99944</v>
      </c>
      <c r="F5" s="10"/>
    </row>
    <row r="6" spans="1:6">
      <c r="A6" s="10">
        <v>5</v>
      </c>
      <c r="B6" s="10">
        <v>157</v>
      </c>
      <c r="C6" s="10">
        <v>21.024145903772599</v>
      </c>
      <c r="D6" s="10">
        <v>0.98087018550635796</v>
      </c>
      <c r="E6" s="10">
        <v>0.99887999999999999</v>
      </c>
      <c r="F6" s="10"/>
    </row>
    <row r="7" spans="1:6">
      <c r="A7" s="10">
        <v>6</v>
      </c>
      <c r="B7" s="10">
        <v>157</v>
      </c>
      <c r="C7" s="10">
        <v>21.212872038361301</v>
      </c>
      <c r="D7" s="10">
        <v>1.05224237771596</v>
      </c>
      <c r="E7" s="10">
        <v>0.99834000000000001</v>
      </c>
      <c r="F7" s="10"/>
    </row>
    <row r="8" spans="1:6">
      <c r="A8" s="10">
        <v>7</v>
      </c>
      <c r="B8" s="10">
        <v>157</v>
      </c>
      <c r="C8" s="10">
        <v>21.1698970326775</v>
      </c>
      <c r="D8" s="10">
        <v>1.03634242028756</v>
      </c>
      <c r="E8" s="10">
        <v>0.99841000000000002</v>
      </c>
      <c r="F8" s="10"/>
    </row>
    <row r="9" spans="1:6">
      <c r="A9" s="10">
        <v>8</v>
      </c>
      <c r="B9" s="10">
        <v>157</v>
      </c>
      <c r="C9" s="10">
        <v>21.091228865384799</v>
      </c>
      <c r="D9" s="10">
        <v>1.0664509876903201</v>
      </c>
      <c r="E9" s="10">
        <v>0.998</v>
      </c>
      <c r="F9" s="10"/>
    </row>
    <row r="10" spans="1:6">
      <c r="A10" s="10">
        <v>9</v>
      </c>
      <c r="B10" s="10">
        <v>158</v>
      </c>
      <c r="C10" s="10">
        <v>22.422355405583701</v>
      </c>
      <c r="D10" s="10">
        <v>0.96655910933542599</v>
      </c>
      <c r="E10" s="10">
        <v>0.99956</v>
      </c>
      <c r="F10" s="10"/>
    </row>
    <row r="11" spans="1:6">
      <c r="A11" s="10">
        <v>10</v>
      </c>
      <c r="B11" s="10">
        <v>158</v>
      </c>
      <c r="C11" s="10">
        <v>22.320628851344001</v>
      </c>
      <c r="D11" s="10">
        <v>0.99459292453725001</v>
      </c>
      <c r="E11" s="10">
        <v>0.99914000000000003</v>
      </c>
      <c r="F11" s="10"/>
    </row>
    <row r="12" spans="1:6">
      <c r="A12" s="10">
        <v>11</v>
      </c>
      <c r="B12" s="10">
        <v>158</v>
      </c>
      <c r="C12" s="10">
        <v>22.274441410095601</v>
      </c>
      <c r="D12" s="10">
        <v>0.98006948629073498</v>
      </c>
      <c r="E12" s="10">
        <v>0.99922</v>
      </c>
      <c r="F12" s="10"/>
    </row>
    <row r="13" spans="1:6">
      <c r="A13" s="10">
        <v>12</v>
      </c>
      <c r="B13" s="10">
        <v>158</v>
      </c>
      <c r="C13" s="10">
        <v>22.2906776721615</v>
      </c>
      <c r="D13" s="10">
        <v>1.0028809220687001</v>
      </c>
      <c r="E13" s="10">
        <v>0.999</v>
      </c>
      <c r="F13" s="10"/>
    </row>
    <row r="14" spans="1:6">
      <c r="A14" s="10">
        <v>13</v>
      </c>
      <c r="B14" s="10">
        <v>159</v>
      </c>
      <c r="C14" s="10">
        <v>21.347427228562399</v>
      </c>
      <c r="D14" s="10">
        <v>0.976625955715265</v>
      </c>
      <c r="E14" s="10">
        <v>0.99941999999999998</v>
      </c>
      <c r="F14" s="10"/>
    </row>
    <row r="15" spans="1:6">
      <c r="A15" s="10">
        <v>14</v>
      </c>
      <c r="B15" s="10">
        <v>159</v>
      </c>
      <c r="C15" s="10">
        <v>21.1678700875628</v>
      </c>
      <c r="D15" s="10">
        <v>1.0008475669784</v>
      </c>
      <c r="E15" s="10">
        <v>0.99882000000000004</v>
      </c>
      <c r="F15" s="10"/>
    </row>
    <row r="16" spans="1:6">
      <c r="A16" s="10">
        <v>15</v>
      </c>
      <c r="B16" s="10">
        <v>159</v>
      </c>
      <c r="C16" s="10">
        <v>21.2180607717853</v>
      </c>
      <c r="D16" s="10">
        <v>1.0104937430162699</v>
      </c>
      <c r="E16" s="10">
        <v>0.99868000000000001</v>
      </c>
      <c r="F16" s="10"/>
    </row>
    <row r="17" spans="1:6">
      <c r="A17" s="10">
        <v>16</v>
      </c>
      <c r="B17" s="10">
        <v>159</v>
      </c>
      <c r="C17" s="10">
        <v>21.163460091738902</v>
      </c>
      <c r="D17" s="10">
        <v>1.02628311205995</v>
      </c>
      <c r="E17" s="10">
        <v>0.99851999999999996</v>
      </c>
      <c r="F17" s="10"/>
    </row>
    <row r="18" spans="1:6">
      <c r="A18" s="10">
        <v>17</v>
      </c>
      <c r="B18" s="10">
        <v>160</v>
      </c>
      <c r="C18" s="10">
        <v>22.834437737071202</v>
      </c>
      <c r="D18" s="10">
        <v>0.93072397691865505</v>
      </c>
      <c r="E18" s="10">
        <v>0.99946000000000002</v>
      </c>
      <c r="F18" s="10"/>
    </row>
    <row r="19" spans="1:6">
      <c r="A19" s="10">
        <v>18</v>
      </c>
      <c r="B19" s="10">
        <v>160</v>
      </c>
      <c r="C19" s="10">
        <v>22.8153884679021</v>
      </c>
      <c r="D19" s="10">
        <v>0.91208566237441002</v>
      </c>
      <c r="E19" s="10">
        <v>0.99955000000000005</v>
      </c>
      <c r="F19" s="10"/>
    </row>
    <row r="20" spans="1:6">
      <c r="A20" s="10">
        <v>19</v>
      </c>
      <c r="B20" s="10">
        <v>160</v>
      </c>
      <c r="C20" s="10">
        <v>22.776103952803599</v>
      </c>
      <c r="D20" s="10">
        <v>0.94093656935812697</v>
      </c>
      <c r="E20" s="10">
        <v>0.99938000000000005</v>
      </c>
      <c r="F20" s="10"/>
    </row>
    <row r="21" spans="1:6">
      <c r="A21" s="10">
        <v>20</v>
      </c>
      <c r="B21" s="10">
        <v>160</v>
      </c>
      <c r="C21" s="10">
        <v>22.700417698261099</v>
      </c>
      <c r="D21" s="10">
        <v>0.94442966359964797</v>
      </c>
      <c r="E21" s="10">
        <v>0.99946000000000002</v>
      </c>
      <c r="F21" s="10"/>
    </row>
    <row r="22" spans="1:6">
      <c r="A22" s="10">
        <v>21</v>
      </c>
      <c r="B22" s="10">
        <v>161</v>
      </c>
      <c r="C22" s="10">
        <v>22.109294973857899</v>
      </c>
      <c r="D22" s="10">
        <v>1.02478744245315</v>
      </c>
      <c r="E22" s="10">
        <v>0.99863000000000002</v>
      </c>
      <c r="F22" s="10"/>
    </row>
    <row r="23" spans="1:6">
      <c r="A23" s="10">
        <v>22</v>
      </c>
      <c r="B23" s="10">
        <v>161</v>
      </c>
      <c r="C23" s="10">
        <v>21.940110539489599</v>
      </c>
      <c r="D23" s="10">
        <v>1.0261773640013401</v>
      </c>
      <c r="E23" s="10">
        <v>0.99855000000000005</v>
      </c>
      <c r="F23" s="10"/>
    </row>
    <row r="24" spans="1:6">
      <c r="A24" s="10">
        <v>23</v>
      </c>
      <c r="B24" s="10">
        <v>161</v>
      </c>
      <c r="C24" s="10">
        <v>22.082375118067699</v>
      </c>
      <c r="D24" s="10">
        <v>1.0133645617082701</v>
      </c>
      <c r="E24" s="10">
        <v>0.99860000000000004</v>
      </c>
      <c r="F24" s="10"/>
    </row>
    <row r="25" spans="1:6">
      <c r="A25" s="10">
        <v>24</v>
      </c>
      <c r="B25" s="10">
        <v>161</v>
      </c>
      <c r="C25" s="10">
        <v>22.012576076450902</v>
      </c>
      <c r="D25" s="10">
        <v>1.0192915440936401</v>
      </c>
      <c r="E25" s="10">
        <v>0.99860000000000004</v>
      </c>
      <c r="F25" s="10"/>
    </row>
    <row r="26" spans="1:6">
      <c r="A26" s="10">
        <v>25</v>
      </c>
      <c r="B26" s="10">
        <v>162</v>
      </c>
      <c r="C26" s="10">
        <v>22.315031814656201</v>
      </c>
      <c r="D26" s="10">
        <v>0.96330613256040298</v>
      </c>
      <c r="E26" s="10">
        <v>0.99934999999999996</v>
      </c>
      <c r="F26" s="10"/>
    </row>
    <row r="27" spans="1:6">
      <c r="A27" s="10">
        <v>26</v>
      </c>
      <c r="B27" s="10">
        <v>162</v>
      </c>
      <c r="C27" s="10">
        <v>22.2276871516043</v>
      </c>
      <c r="D27" s="10">
        <v>0.99072276998418196</v>
      </c>
      <c r="E27" s="10">
        <v>0.99902000000000002</v>
      </c>
      <c r="F27" s="10"/>
    </row>
    <row r="28" spans="1:6">
      <c r="A28" s="10">
        <v>27</v>
      </c>
      <c r="B28" s="10">
        <v>162</v>
      </c>
      <c r="C28" s="10">
        <v>22.236635048267701</v>
      </c>
      <c r="D28" s="10">
        <v>1.01191902376631</v>
      </c>
      <c r="E28" s="10">
        <v>0.99880999999999998</v>
      </c>
      <c r="F28" s="10"/>
    </row>
    <row r="29" spans="1:6">
      <c r="A29" s="10">
        <v>28</v>
      </c>
      <c r="B29" s="10">
        <v>162</v>
      </c>
      <c r="C29" s="10">
        <v>22.264905536073201</v>
      </c>
      <c r="D29" s="10">
        <v>0.98566527494544498</v>
      </c>
      <c r="E29" s="10">
        <v>0.99912000000000001</v>
      </c>
      <c r="F29" s="10"/>
    </row>
    <row r="30" spans="1:6">
      <c r="A30" s="10">
        <v>29</v>
      </c>
      <c r="B30" s="10">
        <v>163</v>
      </c>
      <c r="C30" s="10">
        <v>21.179052695653699</v>
      </c>
      <c r="D30" s="10">
        <v>0.99273764348285898</v>
      </c>
      <c r="E30" s="10">
        <v>0.99887999999999999</v>
      </c>
      <c r="F30" s="10"/>
    </row>
    <row r="31" spans="1:6">
      <c r="A31" s="10">
        <v>30</v>
      </c>
      <c r="B31" s="10">
        <v>163</v>
      </c>
      <c r="C31" s="10">
        <v>21.1546650992073</v>
      </c>
      <c r="D31" s="10">
        <v>1.00829612360348</v>
      </c>
      <c r="E31" s="10">
        <v>0.99858999999999998</v>
      </c>
      <c r="F31" s="10"/>
    </row>
    <row r="32" spans="1:6">
      <c r="A32" s="10">
        <v>31</v>
      </c>
      <c r="B32" s="10">
        <v>163</v>
      </c>
      <c r="C32" s="10">
        <v>21.048251506222702</v>
      </c>
      <c r="D32" s="10">
        <v>1.0019887391264299</v>
      </c>
      <c r="E32" s="10">
        <v>0.99866999999999995</v>
      </c>
      <c r="F32" s="10"/>
    </row>
    <row r="33" spans="1:6">
      <c r="A33" s="10">
        <v>32</v>
      </c>
      <c r="B33" s="10">
        <v>163</v>
      </c>
      <c r="C33" s="10">
        <v>21.094682406238199</v>
      </c>
      <c r="D33" s="10">
        <v>1.0290712111056599</v>
      </c>
      <c r="E33" s="10">
        <v>0.99826999999999999</v>
      </c>
      <c r="F33" s="10"/>
    </row>
    <row r="34" spans="1:6">
      <c r="A34" s="10">
        <v>33</v>
      </c>
      <c r="B34" s="10">
        <v>164</v>
      </c>
      <c r="C34" s="10">
        <v>21.341958454649401</v>
      </c>
      <c r="D34" s="10">
        <v>0.94677956632589499</v>
      </c>
      <c r="E34" s="10">
        <v>0.99953999999999998</v>
      </c>
      <c r="F34" s="10"/>
    </row>
    <row r="35" spans="1:6">
      <c r="A35" s="10">
        <v>34</v>
      </c>
      <c r="B35" s="10">
        <v>164</v>
      </c>
      <c r="C35" s="10">
        <v>21.2982747387525</v>
      </c>
      <c r="D35" s="10">
        <v>0.99473283804120505</v>
      </c>
      <c r="E35" s="10">
        <v>0.99904000000000004</v>
      </c>
      <c r="F35" s="10"/>
    </row>
    <row r="36" spans="1:6">
      <c r="A36" s="10">
        <v>35</v>
      </c>
      <c r="B36" s="10">
        <v>164</v>
      </c>
      <c r="C36" s="10">
        <v>21.301520967195199</v>
      </c>
      <c r="D36" s="10">
        <v>0.99626806508471</v>
      </c>
      <c r="E36" s="10">
        <v>0.99902999999999997</v>
      </c>
      <c r="F36" s="10"/>
    </row>
    <row r="37" spans="1:6">
      <c r="A37" s="10">
        <v>36</v>
      </c>
      <c r="B37" s="10">
        <v>164</v>
      </c>
      <c r="C37" s="10">
        <v>21.265603410094201</v>
      </c>
      <c r="D37" s="10">
        <v>0.99503803466424301</v>
      </c>
      <c r="E37" s="10">
        <v>0.99897999999999998</v>
      </c>
      <c r="F37" s="10"/>
    </row>
    <row r="38" spans="1:6">
      <c r="A38" s="10">
        <v>37</v>
      </c>
      <c r="B38" s="10">
        <v>165</v>
      </c>
      <c r="C38" s="10">
        <v>22.052311304784901</v>
      </c>
      <c r="D38" s="10">
        <v>1.0143904076824399</v>
      </c>
      <c r="E38" s="10">
        <v>0.99858000000000002</v>
      </c>
      <c r="F38" s="10"/>
    </row>
    <row r="39" spans="1:6">
      <c r="A39" s="10">
        <v>38</v>
      </c>
      <c r="B39" s="10">
        <v>165</v>
      </c>
      <c r="C39" s="10">
        <v>22.025558765558099</v>
      </c>
      <c r="D39" s="10">
        <v>1.02416918232823</v>
      </c>
      <c r="E39" s="10">
        <v>0.99844999999999995</v>
      </c>
      <c r="F39" s="10"/>
    </row>
    <row r="40" spans="1:6">
      <c r="A40" s="10">
        <v>39</v>
      </c>
      <c r="B40" s="10">
        <v>165</v>
      </c>
      <c r="C40" s="10">
        <v>22.088850824875902</v>
      </c>
      <c r="D40" s="10">
        <v>0.99107815640196595</v>
      </c>
      <c r="E40" s="10">
        <v>0.99843999999999999</v>
      </c>
      <c r="F40" s="10"/>
    </row>
    <row r="41" spans="1:6">
      <c r="A41" s="10">
        <v>40</v>
      </c>
      <c r="B41" s="10">
        <v>165</v>
      </c>
      <c r="C41" s="10">
        <v>22.023477105306998</v>
      </c>
      <c r="D41" s="10">
        <v>1.01160853917789</v>
      </c>
      <c r="E41" s="10">
        <v>0.99858999999999998</v>
      </c>
      <c r="F41" s="10"/>
    </row>
    <row r="42" spans="1:6">
      <c r="A42" s="10">
        <v>41</v>
      </c>
      <c r="B42" s="10" t="s">
        <v>7</v>
      </c>
      <c r="C42" s="10">
        <v>36.810491622861697</v>
      </c>
      <c r="D42" s="10">
        <v>0.44635443786492401</v>
      </c>
      <c r="E42" s="10">
        <v>0.99277000000000004</v>
      </c>
      <c r="F42" s="10"/>
    </row>
    <row r="43" spans="1:6">
      <c r="A43" s="10">
        <v>42</v>
      </c>
      <c r="B43" s="10" t="s">
        <v>7</v>
      </c>
      <c r="C43" s="10">
        <v>35.677869117934698</v>
      </c>
      <c r="D43" s="10">
        <v>0.52780154519396105</v>
      </c>
      <c r="E43" s="10">
        <v>0.99739</v>
      </c>
      <c r="F43" s="10"/>
    </row>
    <row r="44" spans="1:6">
      <c r="A44" s="10">
        <v>43</v>
      </c>
      <c r="B44" s="10" t="s">
        <v>7</v>
      </c>
      <c r="C44" s="10">
        <v>35.803614597648</v>
      </c>
      <c r="D44" s="10">
        <v>0.45948681096817501</v>
      </c>
      <c r="E44" s="10">
        <v>0.99543000000000004</v>
      </c>
      <c r="F44" s="10"/>
    </row>
    <row r="45" spans="1:6">
      <c r="A45" s="10">
        <v>44</v>
      </c>
      <c r="B45" s="10" t="s">
        <v>7</v>
      </c>
      <c r="C45" s="10">
        <v>36.119534103316802</v>
      </c>
      <c r="D45" s="10">
        <v>0.42825108835166498</v>
      </c>
      <c r="E45" s="10">
        <v>0.99258999999999997</v>
      </c>
      <c r="F45" s="10"/>
    </row>
    <row r="46" spans="1:6">
      <c r="A46" s="10">
        <v>45</v>
      </c>
      <c r="B46" s="10" t="s">
        <v>8</v>
      </c>
      <c r="C46" s="10">
        <v>36.454200475170701</v>
      </c>
      <c r="D46" s="10">
        <v>0.504840322627088</v>
      </c>
      <c r="E46" s="10">
        <v>0.97448000000000001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36.362191163086202</v>
      </c>
      <c r="D48" s="10">
        <v>0.43388859325656798</v>
      </c>
      <c r="E48" s="10">
        <v>0.95931999999999995</v>
      </c>
      <c r="F48" s="10"/>
    </row>
    <row r="49" spans="1:6">
      <c r="A49" s="10">
        <v>48</v>
      </c>
      <c r="B49" s="10" t="s">
        <v>8</v>
      </c>
      <c r="C49" s="10">
        <v>36.195081905531602</v>
      </c>
      <c r="D49" s="10">
        <v>0.53443938712292405</v>
      </c>
      <c r="E49" s="10">
        <v>0.97767999999999999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156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23.3323596066897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156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23.4130506973734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156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23.249604630015799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156</v>
      </c>
      <c r="B5">
        <f>IF('177T'!C5="", "", '177T'!C5)</f>
        <v>-1</v>
      </c>
      <c r="C5">
        <f>IF('18S2'!C5="", "", '18S2'!C5)</f>
        <v>-1</v>
      </c>
      <c r="D5">
        <f>IF(RNAseP!C5="", "", RNAseP!C5)</f>
        <v>23.316943003013801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157</v>
      </c>
      <c r="B6">
        <f>IF('177T'!C6="", "", '177T'!C6)</f>
        <v>-1</v>
      </c>
      <c r="C6">
        <f>IF('18S2'!C6="", "", '18S2'!C6)</f>
        <v>-1</v>
      </c>
      <c r="D6">
        <f>IF(RNAseP!C6="", "", RNAseP!C6)</f>
        <v>21.024145903772599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157</v>
      </c>
      <c r="B7">
        <f>IF('177T'!C7="", "", '177T'!C7)</f>
        <v>-1</v>
      </c>
      <c r="C7">
        <f>IF('18S2'!C7="", "", '18S2'!C7)</f>
        <v>-1</v>
      </c>
      <c r="D7">
        <f>IF(RNAseP!C7="", "", RNAseP!C7)</f>
        <v>21.212872038361301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157</v>
      </c>
      <c r="B8">
        <f>IF('177T'!C8="", "", '177T'!C8)</f>
        <v>-1</v>
      </c>
      <c r="C8">
        <f>IF('18S2'!C8="", "", '18S2'!C8)</f>
        <v>-1</v>
      </c>
      <c r="D8">
        <f>IF(RNAseP!C8="", "", RNAseP!C8)</f>
        <v>21.1698970326775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157</v>
      </c>
      <c r="B9">
        <f>IF('177T'!C9="", "", '177T'!C9)</f>
        <v>-1</v>
      </c>
      <c r="C9">
        <f>IF('18S2'!C9="", "", '18S2'!C9)</f>
        <v>-1</v>
      </c>
      <c r="D9">
        <f>IF(RNAseP!C9="", "", RNAseP!C9)</f>
        <v>21.091228865384799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158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22.422355405583701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158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22.320628851344001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158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22.274441410095601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158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22.2906776721615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159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21.347427228562399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159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21.1678700875628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159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21.2180607717853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159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21.163460091738902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160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22.834437737071202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160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22.8153884679021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160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22.776103952803599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160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22.700417698261099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161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22.109294973857899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161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21.940110539489599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161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22.082375118067699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161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22.012576076450902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162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22.315031814656201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162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22.2276871516043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162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22.236635048267701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162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22.264905536073201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163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21.179052695653699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163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21.1546650992073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163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21.048251506222702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163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21.094682406238199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164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21.341958454649401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164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21.2982747387525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164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21.301520967195199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164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21.265603410094201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165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22.052311304784901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165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22.025558765558099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165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22.088850824875902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165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22.023477105306998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25.017989360454902</v>
      </c>
      <c r="C42">
        <f>IF('18S2'!C42="", "", '18S2'!C42)</f>
        <v>21.237094173612601</v>
      </c>
      <c r="D42">
        <f>IF(RNAseP!C42="", "", RNAseP!C42)</f>
        <v>36.810491622861697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24.271422118216801</v>
      </c>
      <c r="C43">
        <f>IF('18S2'!C43="", "", '18S2'!C43)</f>
        <v>21.396055577351301</v>
      </c>
      <c r="D43">
        <f>IF(RNAseP!C43="", "", RNAseP!C43)</f>
        <v>35.677869117934698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24.404471182709301</v>
      </c>
      <c r="C44">
        <f>IF('18S2'!C44="", "", '18S2'!C44)</f>
        <v>21.0745655064398</v>
      </c>
      <c r="D44">
        <f>IF(RNAseP!C44="", "", RNAseP!C44)</f>
        <v>35.803614597648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24.502387016550301</v>
      </c>
      <c r="C45">
        <f>IF('18S2'!C45="", "", '18S2'!C45)</f>
        <v>21.2820743360612</v>
      </c>
      <c r="D45">
        <f>IF(RNAseP!C45="", "", RNAseP!C45)</f>
        <v>36.119534103316802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36.454200475170701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36.362191163086202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36.195081905531602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45930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156</v>
      </c>
      <c r="B16" s="11">
        <v>2502159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23,3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157</v>
      </c>
      <c r="B17" s="11">
        <v>2501982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21,1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158</v>
      </c>
      <c r="B18" s="11">
        <v>2502111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22,3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159</v>
      </c>
      <c r="B19" s="11">
        <v>2501975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21,2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160</v>
      </c>
      <c r="B20" s="11">
        <v>2401114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22,8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161</v>
      </c>
      <c r="B21" s="11">
        <v>2502119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162</v>
      </c>
      <c r="B22" s="11">
        <v>2502113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22,3 +/- 0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163</v>
      </c>
      <c r="B23" s="11">
        <v>2502115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21,1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164</v>
      </c>
      <c r="B24" s="11">
        <v>2401050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21,3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165</v>
      </c>
      <c r="B25" s="11">
        <v>2501967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24,5 +/- 0,3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21,2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36,1 +/- 0,5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F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36,3 +/- 0,1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156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23,3 +/- 0,1</v>
      </c>
    </row>
    <row r="3" spans="1:11">
      <c r="A3" s="3">
        <f>Report!A17</f>
        <v>157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21,1 +/- 0,1</v>
      </c>
    </row>
    <row r="4" spans="1:11">
      <c r="A4" s="3">
        <f>Report!A18</f>
        <v>158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22,3 +/- 0,1</v>
      </c>
    </row>
    <row r="5" spans="1:11">
      <c r="A5" s="3">
        <f>Report!A19</f>
        <v>159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21,2 +/- 0,1</v>
      </c>
    </row>
    <row r="6" spans="1:11">
      <c r="A6" s="3">
        <f>Report!A20</f>
        <v>160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22,8 +/- 0,1</v>
      </c>
    </row>
    <row r="7" spans="1:11">
      <c r="A7" s="3">
        <f>Report!A21</f>
        <v>161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 +/- 0,1</v>
      </c>
      <c r="K7" s="4"/>
    </row>
    <row r="8" spans="1:11">
      <c r="A8" s="3">
        <f>Report!A22</f>
        <v>162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22,3 +/- 0</v>
      </c>
    </row>
    <row r="9" spans="1:11">
      <c r="A9" s="3">
        <f>Report!A23</f>
        <v>163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21,1 +/- 0,1</v>
      </c>
    </row>
    <row r="10" spans="1:11">
      <c r="A10" s="3">
        <f>Report!A24</f>
        <v>164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21,3 +/- 0</v>
      </c>
    </row>
    <row r="11" spans="1:11">
      <c r="A11" s="3">
        <f>Report!A25</f>
        <v>165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24,5 +/- 0,3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21,2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36,1 +/- 0,5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F, F</v>
      </c>
      <c r="C13" s="3" t="str" cm="1">
        <f t="array" ref="C13">_xlfn.TEXTJOIN(", ", TRUE, IF(Analysis!$A$2:$A$82=A13, Analysis!$I$2:$I$82, ""))</f>
        <v>RNAseP, clean, RNAseP,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F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36,3 +/- 0,1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2025-10-01T10:51:53+00:00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1A3D9-F005-47D8-90D2-78869F81AF4A}"/>
</file>

<file path=customXml/itemProps2.xml><?xml version="1.0" encoding="utf-8"?>
<ds:datastoreItem xmlns:ds="http://schemas.openxmlformats.org/officeDocument/2006/customXml" ds:itemID="{D2F4F2B9-A48B-43DC-9182-5C7D4FD8223A}"/>
</file>

<file path=customXml/itemProps3.xml><?xml version="1.0" encoding="utf-8"?>
<ds:datastoreItem xmlns:ds="http://schemas.openxmlformats.org/officeDocument/2006/customXml" ds:itemID="{60AA85AB-7C24-4DBD-820C-1791451C9D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2025-10-24T15:42:54Z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