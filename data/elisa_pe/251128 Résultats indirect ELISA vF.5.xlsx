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04 - ELISA indirect PE\0402 - Résults ELISA indirect PE\"/>
    </mc:Choice>
  </mc:AlternateContent>
  <xr:revisionPtr revIDLastSave="0" documentId="13_ncr:1_{2FF7B389-69DC-4543-BEA2-826E54C43353}" xr6:coauthVersionLast="47" xr6:coauthVersionMax="47" xr10:uidLastSave="{00000000-0000-0000-0000-000000000000}"/>
  <bookViews>
    <workbookView xWindow="-120" yWindow="-120" windowWidth="29040" windowHeight="15720" tabRatio="809" xr2:uid="{00000000-000D-0000-FFFF-FFFF00000000}"/>
  </bookViews>
  <sheets>
    <sheet name="Batch" sheetId="9" r:id="rId1"/>
    <sheet name="Deepwell" sheetId="8" r:id="rId2"/>
    <sheet name="ELISA" sheetId="3" r:id="rId3"/>
    <sheet name="450 nm - 600 nm" sheetId="1" r:id="rId4"/>
    <sheet name="Results" sheetId="2" r:id="rId5"/>
    <sheet name="Controls" sheetId="10" r:id="rId6"/>
    <sheet name="Repeatability" sheetId="11" r:id="rId7"/>
  </sheets>
  <definedNames>
    <definedName name="_xlnm._FilterDatabase" localSheetId="4" hidden="1">Results!$A$1:$K$1</definedName>
    <definedName name="_xlnm.Print_Area" localSheetId="6">Repeatability!$B$2:$D$93</definedName>
    <definedName name="_xlnm.Print_Titles" localSheetId="6">Repeatability!$2:$5</definedName>
    <definedName name="_xlnm.Print_Titles" localSheetId="4">Results!$1:$1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8" i="1" l="1"/>
  <c r="F5" i="1"/>
  <c r="C7" i="1"/>
  <c r="C6" i="1"/>
  <c r="C5" i="1"/>
  <c r="D2" i="2"/>
  <c r="D82" i="2"/>
  <c r="D83" i="2"/>
  <c r="D84" i="2"/>
  <c r="D85" i="2"/>
  <c r="D81" i="2"/>
  <c r="D74" i="2"/>
  <c r="D75" i="2"/>
  <c r="D76" i="2"/>
  <c r="D77" i="2"/>
  <c r="D78" i="2"/>
  <c r="D79" i="2"/>
  <c r="D80" i="2"/>
  <c r="D73" i="2"/>
  <c r="D66" i="2"/>
  <c r="D67" i="2"/>
  <c r="D68" i="2"/>
  <c r="D69" i="2"/>
  <c r="D70" i="2"/>
  <c r="D71" i="2"/>
  <c r="D72" i="2"/>
  <c r="D65" i="2"/>
  <c r="D61" i="2"/>
  <c r="D62" i="2"/>
  <c r="D63" i="2"/>
  <c r="D64" i="2"/>
  <c r="D60" i="2"/>
  <c r="D53" i="2"/>
  <c r="D54" i="2"/>
  <c r="D55" i="2"/>
  <c r="D56" i="2"/>
  <c r="D57" i="2"/>
  <c r="D58" i="2"/>
  <c r="D59" i="2"/>
  <c r="D52" i="2"/>
  <c r="D45" i="2"/>
  <c r="D46" i="2"/>
  <c r="D47" i="2"/>
  <c r="D48" i="2"/>
  <c r="D49" i="2"/>
  <c r="D50" i="2"/>
  <c r="D51" i="2"/>
  <c r="D44" i="2"/>
  <c r="D40" i="2"/>
  <c r="D41" i="2"/>
  <c r="D42" i="2"/>
  <c r="D43" i="2"/>
  <c r="D39" i="2"/>
  <c r="D32" i="2"/>
  <c r="D33" i="2"/>
  <c r="D34" i="2"/>
  <c r="D35" i="2"/>
  <c r="D36" i="2"/>
  <c r="D37" i="2"/>
  <c r="D38" i="2"/>
  <c r="D31" i="2"/>
  <c r="D24" i="2"/>
  <c r="D25" i="2"/>
  <c r="D26" i="2"/>
  <c r="D27" i="2"/>
  <c r="D28" i="2"/>
  <c r="D29" i="2"/>
  <c r="D30" i="2"/>
  <c r="D23" i="2"/>
  <c r="D19" i="2"/>
  <c r="D20" i="2"/>
  <c r="D21" i="2"/>
  <c r="D22" i="2"/>
  <c r="D18" i="2"/>
  <c r="D11" i="2"/>
  <c r="D12" i="2"/>
  <c r="D13" i="2"/>
  <c r="D14" i="2"/>
  <c r="D15" i="2"/>
  <c r="D16" i="2"/>
  <c r="D17" i="2"/>
  <c r="D10" i="2"/>
  <c r="D3" i="2"/>
  <c r="D4" i="2"/>
  <c r="D5" i="2"/>
  <c r="D6" i="2"/>
  <c r="D7" i="2"/>
  <c r="D8" i="2"/>
  <c r="D9" i="2"/>
  <c r="D93" i="11"/>
  <c r="D71" i="11"/>
  <c r="D49" i="11"/>
  <c r="D27" i="11"/>
  <c r="D89" i="11"/>
  <c r="D90" i="11"/>
  <c r="D91" i="11"/>
  <c r="D92" i="11"/>
  <c r="D88" i="11"/>
  <c r="D81" i="11"/>
  <c r="D82" i="11"/>
  <c r="D83" i="11"/>
  <c r="D84" i="11"/>
  <c r="D85" i="11"/>
  <c r="D86" i="11"/>
  <c r="D87" i="11"/>
  <c r="D80" i="11"/>
  <c r="D73" i="11"/>
  <c r="D74" i="11"/>
  <c r="D75" i="11"/>
  <c r="D76" i="11"/>
  <c r="D77" i="11"/>
  <c r="D78" i="11"/>
  <c r="D79" i="11"/>
  <c r="D72" i="11"/>
  <c r="D67" i="11"/>
  <c r="D68" i="11"/>
  <c r="D69" i="11"/>
  <c r="D70" i="11"/>
  <c r="D66" i="11"/>
  <c r="D59" i="11"/>
  <c r="D60" i="11"/>
  <c r="D61" i="11"/>
  <c r="D62" i="11"/>
  <c r="D63" i="11"/>
  <c r="D64" i="11"/>
  <c r="D65" i="11"/>
  <c r="D58" i="11"/>
  <c r="D51" i="11"/>
  <c r="D52" i="11"/>
  <c r="D53" i="11"/>
  <c r="D54" i="11"/>
  <c r="D55" i="11"/>
  <c r="D56" i="11"/>
  <c r="D57" i="11"/>
  <c r="D50" i="11"/>
  <c r="D45" i="11"/>
  <c r="D46" i="11"/>
  <c r="D47" i="11"/>
  <c r="D48" i="11"/>
  <c r="D44" i="11"/>
  <c r="D37" i="11"/>
  <c r="D38" i="11"/>
  <c r="D39" i="11"/>
  <c r="D40" i="11"/>
  <c r="D41" i="11"/>
  <c r="D42" i="11"/>
  <c r="D43" i="11"/>
  <c r="D36" i="11"/>
  <c r="D29" i="11"/>
  <c r="D30" i="11"/>
  <c r="D31" i="11"/>
  <c r="D32" i="11"/>
  <c r="D33" i="11"/>
  <c r="D34" i="11"/>
  <c r="D35" i="11"/>
  <c r="D28" i="11"/>
  <c r="D23" i="11"/>
  <c r="D24" i="11"/>
  <c r="D25" i="11"/>
  <c r="D26" i="11"/>
  <c r="D22" i="11"/>
  <c r="D14" i="11"/>
  <c r="D15" i="11"/>
  <c r="D16" i="11"/>
  <c r="D17" i="11"/>
  <c r="D18" i="11"/>
  <c r="D19" i="11"/>
  <c r="D20" i="11"/>
  <c r="D21" i="11"/>
  <c r="D7" i="11"/>
  <c r="D8" i="11"/>
  <c r="D9" i="11"/>
  <c r="D10" i="11"/>
  <c r="D11" i="11"/>
  <c r="D12" i="11"/>
  <c r="D13" i="11"/>
  <c r="D6" i="11"/>
  <c r="H13" i="10" l="1"/>
  <c r="H5" i="10"/>
  <c r="H9" i="10"/>
  <c r="H12" i="10"/>
  <c r="H4" i="10"/>
  <c r="H8" i="10"/>
  <c r="H11" i="10"/>
  <c r="H3" i="10"/>
  <c r="H7" i="10"/>
  <c r="H10" i="10"/>
  <c r="H2" i="10"/>
  <c r="H6" i="10"/>
  <c r="J27" i="3"/>
  <c r="C70" i="11" s="1"/>
  <c r="B7" i="3"/>
  <c r="E2" i="2" s="1"/>
  <c r="B8" i="3"/>
  <c r="C7" i="11" s="1"/>
  <c r="B20" i="3"/>
  <c r="C19" i="11" s="1"/>
  <c r="B26" i="3"/>
  <c r="C25" i="11" s="1"/>
  <c r="B30" i="3"/>
  <c r="D10" i="10" s="1"/>
  <c r="C6" i="11" l="1"/>
  <c r="B27" i="3"/>
  <c r="C26" i="11" s="1"/>
  <c r="B25" i="3"/>
  <c r="C24" i="11" s="1"/>
  <c r="B15" i="3"/>
  <c r="C14" i="11" s="1"/>
  <c r="N24" i="3"/>
  <c r="C89" i="11" s="1"/>
  <c r="N25" i="3"/>
  <c r="C90" i="11" s="1"/>
  <c r="N26" i="3"/>
  <c r="C91" i="11" s="1"/>
  <c r="N27" i="3"/>
  <c r="C92" i="11" s="1"/>
  <c r="N28" i="3"/>
  <c r="D9" i="10" s="1"/>
  <c r="N29" i="3"/>
  <c r="N30" i="3"/>
  <c r="D13" i="10" s="1"/>
  <c r="N23" i="3"/>
  <c r="C88" i="11" s="1"/>
  <c r="N16" i="3"/>
  <c r="C81" i="11" s="1"/>
  <c r="N17" i="3"/>
  <c r="C82" i="11" s="1"/>
  <c r="N18" i="3"/>
  <c r="C83" i="11" s="1"/>
  <c r="N19" i="3"/>
  <c r="C84" i="11" s="1"/>
  <c r="N20" i="3"/>
  <c r="C85" i="11" s="1"/>
  <c r="N21" i="3"/>
  <c r="C86" i="11" s="1"/>
  <c r="N22" i="3"/>
  <c r="C87" i="11" s="1"/>
  <c r="N15" i="3"/>
  <c r="C80" i="11" s="1"/>
  <c r="N8" i="3"/>
  <c r="C73" i="11" s="1"/>
  <c r="N9" i="3"/>
  <c r="C74" i="11" s="1"/>
  <c r="N10" i="3"/>
  <c r="C75" i="11" s="1"/>
  <c r="N11" i="3"/>
  <c r="C76" i="11" s="1"/>
  <c r="N12" i="3"/>
  <c r="C77" i="11" s="1"/>
  <c r="N13" i="3"/>
  <c r="C78" i="11" s="1"/>
  <c r="N14" i="3"/>
  <c r="C79" i="11" s="1"/>
  <c r="N7" i="3"/>
  <c r="J24" i="3"/>
  <c r="C67" i="11" s="1"/>
  <c r="J25" i="3"/>
  <c r="C68" i="11" s="1"/>
  <c r="J26" i="3"/>
  <c r="C69" i="11" s="1"/>
  <c r="J28" i="3"/>
  <c r="D8" i="10" s="1"/>
  <c r="J29" i="3"/>
  <c r="J30" i="3"/>
  <c r="D12" i="10" s="1"/>
  <c r="J23" i="3"/>
  <c r="C66" i="11" s="1"/>
  <c r="J16" i="3"/>
  <c r="C59" i="11" s="1"/>
  <c r="J17" i="3"/>
  <c r="C60" i="11" s="1"/>
  <c r="J18" i="3"/>
  <c r="C61" i="11" s="1"/>
  <c r="J19" i="3"/>
  <c r="C62" i="11" s="1"/>
  <c r="J20" i="3"/>
  <c r="C63" i="11" s="1"/>
  <c r="J21" i="3"/>
  <c r="C64" i="11" s="1"/>
  <c r="J22" i="3"/>
  <c r="C65" i="11" s="1"/>
  <c r="J15" i="3"/>
  <c r="C58" i="11" s="1"/>
  <c r="J8" i="3"/>
  <c r="C51" i="11" s="1"/>
  <c r="J9" i="3"/>
  <c r="C52" i="11" s="1"/>
  <c r="J10" i="3"/>
  <c r="C53" i="11" s="1"/>
  <c r="J11" i="3"/>
  <c r="C54" i="11" s="1"/>
  <c r="J12" i="3"/>
  <c r="C55" i="11" s="1"/>
  <c r="J13" i="3"/>
  <c r="C56" i="11" s="1"/>
  <c r="J14" i="3"/>
  <c r="C57" i="11" s="1"/>
  <c r="J7" i="3"/>
  <c r="F24" i="3"/>
  <c r="C45" i="11" s="1"/>
  <c r="F25" i="3"/>
  <c r="C46" i="11" s="1"/>
  <c r="F26" i="3"/>
  <c r="C47" i="11" s="1"/>
  <c r="F27" i="3"/>
  <c r="C48" i="11" s="1"/>
  <c r="F28" i="3"/>
  <c r="D7" i="10" s="1"/>
  <c r="F29" i="3"/>
  <c r="F30" i="3"/>
  <c r="D11" i="10" s="1"/>
  <c r="F23" i="3"/>
  <c r="C44" i="11" s="1"/>
  <c r="F22" i="3"/>
  <c r="C43" i="11" s="1"/>
  <c r="F16" i="3"/>
  <c r="C37" i="11" s="1"/>
  <c r="F17" i="3"/>
  <c r="C38" i="11" s="1"/>
  <c r="F18" i="3"/>
  <c r="C39" i="11" s="1"/>
  <c r="F19" i="3"/>
  <c r="C40" i="11" s="1"/>
  <c r="F20" i="3"/>
  <c r="C41" i="11" s="1"/>
  <c r="F21" i="3"/>
  <c r="C42" i="11" s="1"/>
  <c r="F15" i="3"/>
  <c r="C36" i="11" s="1"/>
  <c r="F8" i="3"/>
  <c r="C29" i="11" s="1"/>
  <c r="F9" i="3"/>
  <c r="C30" i="11" s="1"/>
  <c r="F10" i="3"/>
  <c r="C31" i="11" s="1"/>
  <c r="F11" i="3"/>
  <c r="C32" i="11" s="1"/>
  <c r="F12" i="3"/>
  <c r="C33" i="11" s="1"/>
  <c r="F13" i="3"/>
  <c r="C34" i="11" s="1"/>
  <c r="F14" i="3"/>
  <c r="C35" i="11" s="1"/>
  <c r="F7" i="3"/>
  <c r="B24" i="3"/>
  <c r="C23" i="11" s="1"/>
  <c r="B28" i="3"/>
  <c r="D6" i="10" s="1"/>
  <c r="B29" i="3"/>
  <c r="B23" i="3"/>
  <c r="C22" i="11" s="1"/>
  <c r="B16" i="3"/>
  <c r="C15" i="11" s="1"/>
  <c r="B17" i="3"/>
  <c r="C16" i="11" s="1"/>
  <c r="B18" i="3"/>
  <c r="C17" i="11" s="1"/>
  <c r="B19" i="3"/>
  <c r="C18" i="11" s="1"/>
  <c r="B21" i="3"/>
  <c r="C20" i="11" s="1"/>
  <c r="B22" i="3"/>
  <c r="C21" i="11" s="1"/>
  <c r="B9" i="3"/>
  <c r="C8" i="11" s="1"/>
  <c r="B10" i="3"/>
  <c r="C9" i="11" s="1"/>
  <c r="B11" i="3"/>
  <c r="C10" i="11" s="1"/>
  <c r="B12" i="3"/>
  <c r="C11" i="11" s="1"/>
  <c r="B13" i="3"/>
  <c r="C12" i="11" s="1"/>
  <c r="B14" i="3"/>
  <c r="C13" i="11" s="1"/>
  <c r="D2" i="10" l="1"/>
  <c r="C27" i="11"/>
  <c r="D5" i="10"/>
  <c r="C93" i="11"/>
  <c r="D3" i="10"/>
  <c r="C49" i="11"/>
  <c r="D4" i="10"/>
  <c r="C71" i="11"/>
  <c r="C72" i="11"/>
  <c r="E65" i="2"/>
  <c r="C50" i="11"/>
  <c r="E44" i="2"/>
  <c r="E23" i="2"/>
  <c r="C28" i="11"/>
  <c r="E5" i="10"/>
  <c r="E4" i="10"/>
  <c r="E66" i="2"/>
  <c r="E67" i="2"/>
  <c r="E68" i="2"/>
  <c r="E69" i="2"/>
  <c r="E70" i="2"/>
  <c r="E71" i="2"/>
  <c r="E72" i="2"/>
  <c r="E73" i="2"/>
  <c r="E74" i="2"/>
  <c r="E75" i="2"/>
  <c r="E76" i="2"/>
  <c r="E77" i="2"/>
  <c r="E78" i="2"/>
  <c r="E79" i="2"/>
  <c r="E80" i="2"/>
  <c r="E81" i="2"/>
  <c r="E82" i="2"/>
  <c r="E83" i="2"/>
  <c r="E84" i="2"/>
  <c r="E85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E63" i="2"/>
  <c r="E64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F2" i="2" l="1"/>
  <c r="E10" i="10"/>
  <c r="E13" i="10"/>
  <c r="F13" i="10" s="1"/>
  <c r="G13" i="10" s="1"/>
  <c r="E9" i="10"/>
  <c r="F9" i="10" s="1"/>
  <c r="G9" i="10" s="1"/>
  <c r="E12" i="10"/>
  <c r="F12" i="10" s="1"/>
  <c r="G12" i="10" s="1"/>
  <c r="E8" i="10"/>
  <c r="E7" i="10"/>
  <c r="E3" i="10"/>
  <c r="E11" i="10"/>
  <c r="E6" i="10"/>
  <c r="E2" i="10"/>
  <c r="F2" i="10" s="1"/>
  <c r="G2" i="10" s="1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G2" i="2" l="1"/>
  <c r="I2" i="2" s="1"/>
  <c r="J2" i="2" s="1"/>
  <c r="F8" i="10"/>
  <c r="G8" i="10" s="1"/>
  <c r="F4" i="10"/>
  <c r="G4" i="10" s="1"/>
  <c r="F11" i="10"/>
  <c r="G11" i="10" s="1"/>
  <c r="F5" i="10"/>
  <c r="G5" i="10" s="1"/>
  <c r="F3" i="10"/>
  <c r="G3" i="10" s="1"/>
  <c r="F7" i="10"/>
  <c r="G7" i="10" s="1"/>
  <c r="F6" i="10"/>
  <c r="G6" i="10" s="1"/>
  <c r="F10" i="10"/>
  <c r="G10" i="10" s="1"/>
  <c r="H2" i="2" l="1"/>
  <c r="F50" i="2"/>
  <c r="F48" i="2"/>
  <c r="F46" i="2"/>
  <c r="F44" i="2"/>
  <c r="F37" i="2"/>
  <c r="F29" i="2"/>
  <c r="F35" i="2"/>
  <c r="F27" i="2"/>
  <c r="F33" i="2"/>
  <c r="F25" i="2"/>
  <c r="F31" i="2"/>
  <c r="F23" i="2"/>
  <c r="F17" i="2"/>
  <c r="F82" i="2" l="1"/>
  <c r="F84" i="2"/>
  <c r="F58" i="2"/>
  <c r="F54" i="2"/>
  <c r="F56" i="2"/>
  <c r="F52" i="2"/>
  <c r="F45" i="2"/>
  <c r="F47" i="2"/>
  <c r="F49" i="2"/>
  <c r="F51" i="2"/>
  <c r="F7" i="2"/>
  <c r="F15" i="2"/>
  <c r="F5" i="2"/>
  <c r="F13" i="2"/>
  <c r="F65" i="2"/>
  <c r="F69" i="2"/>
  <c r="F71" i="2"/>
  <c r="F73" i="2"/>
  <c r="G73" i="2" s="1"/>
  <c r="F75" i="2"/>
  <c r="F77" i="2"/>
  <c r="F79" i="2"/>
  <c r="F85" i="2"/>
  <c r="G85" i="2" s="1"/>
  <c r="F67" i="2"/>
  <c r="F81" i="2"/>
  <c r="F66" i="2"/>
  <c r="G66" i="2" s="1"/>
  <c r="F68" i="2"/>
  <c r="F70" i="2"/>
  <c r="F72" i="2"/>
  <c r="F83" i="2"/>
  <c r="G83" i="2" s="1"/>
  <c r="F74" i="2"/>
  <c r="F76" i="2"/>
  <c r="F78" i="2"/>
  <c r="F80" i="2"/>
  <c r="G80" i="2" s="1"/>
  <c r="F60" i="2"/>
  <c r="F62" i="2"/>
  <c r="F64" i="2"/>
  <c r="F53" i="2"/>
  <c r="F55" i="2"/>
  <c r="F57" i="2"/>
  <c r="F59" i="2"/>
  <c r="F61" i="2"/>
  <c r="F63" i="2"/>
  <c r="F39" i="2"/>
  <c r="F43" i="2"/>
  <c r="F41" i="2"/>
  <c r="F24" i="2"/>
  <c r="F26" i="2"/>
  <c r="F28" i="2"/>
  <c r="F30" i="2"/>
  <c r="F34" i="2"/>
  <c r="F38" i="2"/>
  <c r="F32" i="2"/>
  <c r="F36" i="2"/>
  <c r="F40" i="2"/>
  <c r="F42" i="2"/>
  <c r="F22" i="2"/>
  <c r="F20" i="2"/>
  <c r="F9" i="2"/>
  <c r="F16" i="2"/>
  <c r="F12" i="2"/>
  <c r="F10" i="2"/>
  <c r="F8" i="2"/>
  <c r="F6" i="2"/>
  <c r="F4" i="2"/>
  <c r="F18" i="2"/>
  <c r="F19" i="2"/>
  <c r="F14" i="2"/>
  <c r="F21" i="2"/>
  <c r="F11" i="2"/>
  <c r="F3" i="2"/>
  <c r="G3" i="2" s="1"/>
  <c r="I85" i="2" l="1"/>
  <c r="J85" i="2" s="1"/>
  <c r="H85" i="2"/>
  <c r="I73" i="2"/>
  <c r="J73" i="2" s="1"/>
  <c r="H73" i="2"/>
  <c r="H80" i="2"/>
  <c r="I80" i="2"/>
  <c r="J80" i="2" s="1"/>
  <c r="I83" i="2"/>
  <c r="J83" i="2" s="1"/>
  <c r="H83" i="2"/>
  <c r="H66" i="2"/>
  <c r="I66" i="2"/>
  <c r="J66" i="2" s="1"/>
  <c r="I3" i="2"/>
  <c r="J3" i="2" s="1"/>
  <c r="H3" i="2"/>
  <c r="G59" i="2"/>
  <c r="G36" i="2"/>
  <c r="G4" i="2"/>
  <c r="G72" i="2"/>
  <c r="G79" i="2"/>
  <c r="G76" i="2"/>
  <c r="G70" i="2"/>
  <c r="G67" i="2"/>
  <c r="G77" i="2"/>
  <c r="G69" i="2"/>
  <c r="G84" i="2"/>
  <c r="G78" i="2"/>
  <c r="G81" i="2"/>
  <c r="G71" i="2"/>
  <c r="G74" i="2"/>
  <c r="G68" i="2"/>
  <c r="G75" i="2"/>
  <c r="G65" i="2"/>
  <c r="G82" i="2"/>
  <c r="G52" i="2"/>
  <c r="G57" i="2"/>
  <c r="G64" i="2"/>
  <c r="G49" i="2"/>
  <c r="G56" i="2"/>
  <c r="G48" i="2"/>
  <c r="G51" i="2"/>
  <c r="G50" i="2"/>
  <c r="G63" i="2"/>
  <c r="G55" i="2"/>
  <c r="G62" i="2"/>
  <c r="G47" i="2"/>
  <c r="G54" i="2"/>
  <c r="G44" i="2"/>
  <c r="G61" i="2"/>
  <c r="G53" i="2"/>
  <c r="G60" i="2"/>
  <c r="G45" i="2"/>
  <c r="G58" i="2"/>
  <c r="G46" i="2"/>
  <c r="G41" i="2"/>
  <c r="G37" i="2"/>
  <c r="G32" i="2"/>
  <c r="G28" i="2"/>
  <c r="G31" i="2"/>
  <c r="G38" i="2"/>
  <c r="G43" i="2"/>
  <c r="G29" i="2"/>
  <c r="G27" i="2"/>
  <c r="G30" i="2"/>
  <c r="G35" i="2"/>
  <c r="G33" i="2"/>
  <c r="G42" i="2"/>
  <c r="G26" i="2"/>
  <c r="G40" i="2"/>
  <c r="G34" i="2"/>
  <c r="G24" i="2"/>
  <c r="G39" i="2"/>
  <c r="G25" i="2"/>
  <c r="G23" i="2"/>
  <c r="G12" i="2"/>
  <c r="G11" i="2"/>
  <c r="G6" i="2"/>
  <c r="G16" i="2"/>
  <c r="G22" i="2"/>
  <c r="G15" i="2"/>
  <c r="G5" i="2"/>
  <c r="G14" i="2"/>
  <c r="G19" i="2"/>
  <c r="G8" i="2"/>
  <c r="G7" i="2"/>
  <c r="G20" i="2"/>
  <c r="G21" i="2"/>
  <c r="G18" i="2"/>
  <c r="G10" i="2"/>
  <c r="G9" i="2"/>
  <c r="G13" i="2"/>
  <c r="G17" i="2"/>
  <c r="I67" i="2" l="1"/>
  <c r="J67" i="2" s="1"/>
  <c r="H67" i="2"/>
  <c r="H68" i="2"/>
  <c r="I68" i="2"/>
  <c r="J68" i="2" s="1"/>
  <c r="I78" i="2"/>
  <c r="J78" i="2" s="1"/>
  <c r="H78" i="2"/>
  <c r="H72" i="2"/>
  <c r="I72" i="2"/>
  <c r="J72" i="2" s="1"/>
  <c r="H82" i="2"/>
  <c r="I82" i="2"/>
  <c r="J82" i="2" s="1"/>
  <c r="H74" i="2"/>
  <c r="I74" i="2"/>
  <c r="J74" i="2" s="1"/>
  <c r="H84" i="2"/>
  <c r="I84" i="2"/>
  <c r="J84" i="2" s="1"/>
  <c r="I70" i="2"/>
  <c r="J70" i="2" s="1"/>
  <c r="H70" i="2"/>
  <c r="I65" i="2"/>
  <c r="J65" i="2" s="1"/>
  <c r="H65" i="2"/>
  <c r="I71" i="2"/>
  <c r="J71" i="2" s="1"/>
  <c r="H71" i="2"/>
  <c r="I69" i="2"/>
  <c r="J69" i="2" s="1"/>
  <c r="H69" i="2"/>
  <c r="H76" i="2"/>
  <c r="I76" i="2"/>
  <c r="J76" i="2" s="1"/>
  <c r="I75" i="2"/>
  <c r="J75" i="2" s="1"/>
  <c r="H75" i="2"/>
  <c r="I81" i="2"/>
  <c r="J81" i="2" s="1"/>
  <c r="H81" i="2"/>
  <c r="I77" i="2"/>
  <c r="J77" i="2" s="1"/>
  <c r="H77" i="2"/>
  <c r="I79" i="2"/>
  <c r="J79" i="2" s="1"/>
  <c r="H79" i="2"/>
  <c r="I61" i="2"/>
  <c r="J61" i="2" s="1"/>
  <c r="H61" i="2"/>
  <c r="I64" i="2"/>
  <c r="J64" i="2" s="1"/>
  <c r="H64" i="2"/>
  <c r="I55" i="2"/>
  <c r="J55" i="2" s="1"/>
  <c r="H55" i="2"/>
  <c r="I48" i="2"/>
  <c r="J48" i="2" s="1"/>
  <c r="H48" i="2"/>
  <c r="H57" i="2"/>
  <c r="I57" i="2"/>
  <c r="J57" i="2" s="1"/>
  <c r="H59" i="2"/>
  <c r="I59" i="2"/>
  <c r="J59" i="2" s="1"/>
  <c r="H62" i="2"/>
  <c r="I62" i="2"/>
  <c r="J62" i="2" s="1"/>
  <c r="I45" i="2"/>
  <c r="J45" i="2" s="1"/>
  <c r="H45" i="2"/>
  <c r="H54" i="2"/>
  <c r="I54" i="2"/>
  <c r="J54" i="2" s="1"/>
  <c r="H63" i="2"/>
  <c r="I63" i="2"/>
  <c r="J63" i="2" s="1"/>
  <c r="I56" i="2"/>
  <c r="J56" i="2" s="1"/>
  <c r="H56" i="2"/>
  <c r="I52" i="2"/>
  <c r="J52" i="2" s="1"/>
  <c r="H52" i="2"/>
  <c r="H58" i="2"/>
  <c r="I58" i="2"/>
  <c r="J58" i="2" s="1"/>
  <c r="H51" i="2"/>
  <c r="I51" i="2"/>
  <c r="J51" i="2" s="1"/>
  <c r="I44" i="2"/>
  <c r="J44" i="2" s="1"/>
  <c r="H44" i="2"/>
  <c r="I60" i="2"/>
  <c r="J60" i="2" s="1"/>
  <c r="H60" i="2"/>
  <c r="H46" i="2"/>
  <c r="I46" i="2"/>
  <c r="J46" i="2" s="1"/>
  <c r="I53" i="2"/>
  <c r="J53" i="2" s="1"/>
  <c r="H53" i="2"/>
  <c r="H47" i="2"/>
  <c r="I47" i="2"/>
  <c r="J47" i="2" s="1"/>
  <c r="H50" i="2"/>
  <c r="I50" i="2"/>
  <c r="J50" i="2" s="1"/>
  <c r="H49" i="2"/>
  <c r="I49" i="2"/>
  <c r="J49" i="2" s="1"/>
  <c r="H24" i="2"/>
  <c r="I24" i="2"/>
  <c r="J24" i="2" s="1"/>
  <c r="I42" i="2"/>
  <c r="J42" i="2" s="1"/>
  <c r="H42" i="2"/>
  <c r="I27" i="2"/>
  <c r="J27" i="2" s="1"/>
  <c r="H27" i="2"/>
  <c r="I31" i="2"/>
  <c r="J31" i="2" s="1"/>
  <c r="H31" i="2"/>
  <c r="H41" i="2"/>
  <c r="I41" i="2"/>
  <c r="J41" i="2" s="1"/>
  <c r="I23" i="2"/>
  <c r="J23" i="2" s="1"/>
  <c r="H23" i="2"/>
  <c r="I34" i="2"/>
  <c r="J34" i="2" s="1"/>
  <c r="H34" i="2"/>
  <c r="H33" i="2"/>
  <c r="I33" i="2"/>
  <c r="J33" i="2" s="1"/>
  <c r="H29" i="2"/>
  <c r="I29" i="2"/>
  <c r="J29" i="2" s="1"/>
  <c r="H28" i="2"/>
  <c r="I28" i="2"/>
  <c r="J28" i="2" s="1"/>
  <c r="H25" i="2"/>
  <c r="I25" i="2"/>
  <c r="J25" i="2" s="1"/>
  <c r="H40" i="2"/>
  <c r="I40" i="2"/>
  <c r="J40" i="2" s="1"/>
  <c r="I35" i="2"/>
  <c r="J35" i="2" s="1"/>
  <c r="H35" i="2"/>
  <c r="I43" i="2"/>
  <c r="J43" i="2" s="1"/>
  <c r="H43" i="2"/>
  <c r="H32" i="2"/>
  <c r="I32" i="2"/>
  <c r="J32" i="2" s="1"/>
  <c r="H36" i="2"/>
  <c r="I36" i="2"/>
  <c r="J36" i="2" s="1"/>
  <c r="I39" i="2"/>
  <c r="J39" i="2" s="1"/>
  <c r="H39" i="2"/>
  <c r="I26" i="2"/>
  <c r="J26" i="2" s="1"/>
  <c r="H26" i="2"/>
  <c r="H30" i="2"/>
  <c r="I30" i="2"/>
  <c r="J30" i="2" s="1"/>
  <c r="I38" i="2"/>
  <c r="J38" i="2" s="1"/>
  <c r="H38" i="2"/>
  <c r="H37" i="2"/>
  <c r="I37" i="2"/>
  <c r="J37" i="2" s="1"/>
  <c r="I17" i="2"/>
  <c r="J17" i="2" s="1"/>
  <c r="H17" i="2"/>
  <c r="H6" i="2"/>
  <c r="I6" i="2"/>
  <c r="J6" i="2" s="1"/>
  <c r="I8" i="2"/>
  <c r="J8" i="2" s="1"/>
  <c r="H8" i="2"/>
  <c r="I11" i="2"/>
  <c r="J11" i="2" s="1"/>
  <c r="H11" i="2"/>
  <c r="I20" i="2"/>
  <c r="J20" i="2" s="1"/>
  <c r="H20" i="2"/>
  <c r="I12" i="2"/>
  <c r="J12" i="2" s="1"/>
  <c r="H12" i="2"/>
  <c r="I18" i="2"/>
  <c r="J18" i="2" s="1"/>
  <c r="H18" i="2"/>
  <c r="I5" i="2"/>
  <c r="J5" i="2" s="1"/>
  <c r="H5" i="2"/>
  <c r="I13" i="2"/>
  <c r="J13" i="2" s="1"/>
  <c r="H13" i="2"/>
  <c r="I21" i="2"/>
  <c r="J21" i="2" s="1"/>
  <c r="H21" i="2"/>
  <c r="I15" i="2"/>
  <c r="J15" i="2" s="1"/>
  <c r="H15" i="2"/>
  <c r="I9" i="2"/>
  <c r="J9" i="2" s="1"/>
  <c r="H9" i="2"/>
  <c r="I19" i="2"/>
  <c r="J19" i="2" s="1"/>
  <c r="H19" i="2"/>
  <c r="I22" i="2"/>
  <c r="J22" i="2" s="1"/>
  <c r="H22" i="2"/>
  <c r="H10" i="2"/>
  <c r="I10" i="2"/>
  <c r="J10" i="2" s="1"/>
  <c r="I7" i="2"/>
  <c r="J7" i="2" s="1"/>
  <c r="H7" i="2"/>
  <c r="I14" i="2"/>
  <c r="J14" i="2" s="1"/>
  <c r="H14" i="2"/>
  <c r="I16" i="2"/>
  <c r="J16" i="2" s="1"/>
  <c r="H16" i="2"/>
  <c r="I4" i="2"/>
  <c r="J4" i="2" s="1"/>
  <c r="H4" i="2"/>
</calcChain>
</file>

<file path=xl/sharedStrings.xml><?xml version="1.0" encoding="utf-8"?>
<sst xmlns="http://schemas.openxmlformats.org/spreadsheetml/2006/main" count="528" uniqueCount="265">
  <si>
    <r>
      <rPr>
        <b/>
        <i/>
        <sz val="14"/>
        <color theme="1"/>
        <rFont val="Calibri"/>
        <family val="2"/>
        <scheme val="minor"/>
      </rPr>
      <t>T.b. gambiense</t>
    </r>
    <r>
      <rPr>
        <b/>
        <sz val="14"/>
        <color theme="1"/>
        <rFont val="Calibri"/>
        <family val="2"/>
        <scheme val="minor"/>
      </rPr>
      <t xml:space="preserve"> indirect ELISA</t>
    </r>
  </si>
  <si>
    <t>General info</t>
  </si>
  <si>
    <t>Study</t>
  </si>
  <si>
    <t>DP/DA</t>
  </si>
  <si>
    <t>Date</t>
  </si>
  <si>
    <t>Operator</t>
  </si>
  <si>
    <t>LOUIS</t>
  </si>
  <si>
    <t>Buffer preparation date</t>
  </si>
  <si>
    <t>PBS-blotto</t>
  </si>
  <si>
    <t>PBS-blotto-tween</t>
  </si>
  <si>
    <t>Lot number of buffers</t>
  </si>
  <si>
    <t>apDia pH 7.2</t>
  </si>
  <si>
    <t>iELISA wash (20x)</t>
  </si>
  <si>
    <t>TMB solution</t>
  </si>
  <si>
    <t>STOP solution</t>
  </si>
  <si>
    <t>Lot number of reagents</t>
  </si>
  <si>
    <t>VSG LiTat 1.3</t>
  </si>
  <si>
    <t>L00619</t>
  </si>
  <si>
    <t>VSG LiTat 1.5</t>
  </si>
  <si>
    <t>L00465</t>
  </si>
  <si>
    <t xml:space="preserve">IgG HAT + </t>
  </si>
  <si>
    <t xml:space="preserve">IgG HAT - </t>
  </si>
  <si>
    <t>Numéro de la plaque</t>
  </si>
  <si>
    <t>Deepwell plate (code-barres)</t>
  </si>
  <si>
    <t>A</t>
  </si>
  <si>
    <t>B</t>
  </si>
  <si>
    <t>C</t>
  </si>
  <si>
    <t>D</t>
  </si>
  <si>
    <t>E</t>
  </si>
  <si>
    <t>F</t>
  </si>
  <si>
    <t>CC</t>
  </si>
  <si>
    <t>G</t>
  </si>
  <si>
    <t>CP</t>
  </si>
  <si>
    <t>H</t>
  </si>
  <si>
    <t>CN</t>
  </si>
  <si>
    <t>Deepwell plate (numéro labo Dipumba)</t>
  </si>
  <si>
    <t>ELISA plates</t>
  </si>
  <si>
    <t>Plate 1 (column 1-3 DEEPWELL):</t>
  </si>
  <si>
    <t>Plate 2 (column 4-6 DEEPWELL):</t>
  </si>
  <si>
    <t>Plate 3 (column 7-9 DEEPWELL):</t>
  </si>
  <si>
    <t>Plate 4 (column 10-12 DEEPWELL):</t>
  </si>
  <si>
    <t>Sample code</t>
  </si>
  <si>
    <t>Comments</t>
  </si>
  <si>
    <t>S01</t>
  </si>
  <si>
    <t>S22</t>
  </si>
  <si>
    <t>S43</t>
  </si>
  <si>
    <t>S64</t>
  </si>
  <si>
    <t>S02</t>
  </si>
  <si>
    <t>S23</t>
  </si>
  <si>
    <t>S44</t>
  </si>
  <si>
    <t>S65</t>
  </si>
  <si>
    <t>S03</t>
  </si>
  <si>
    <t>S24</t>
  </si>
  <si>
    <t>S45</t>
  </si>
  <si>
    <t>S66</t>
  </si>
  <si>
    <t>S04</t>
  </si>
  <si>
    <t>S25</t>
  </si>
  <si>
    <t>S46</t>
  </si>
  <si>
    <t>S67</t>
  </si>
  <si>
    <t>S05</t>
  </si>
  <si>
    <t>S26</t>
  </si>
  <si>
    <t>S47</t>
  </si>
  <si>
    <t>S68</t>
  </si>
  <si>
    <t>S06</t>
  </si>
  <si>
    <t>S27</t>
  </si>
  <si>
    <t>S48</t>
  </si>
  <si>
    <t>S69</t>
  </si>
  <si>
    <t>S07</t>
  </si>
  <si>
    <t>S28</t>
  </si>
  <si>
    <t>S49</t>
  </si>
  <si>
    <t>S70</t>
  </si>
  <si>
    <t>S08</t>
  </si>
  <si>
    <t>S29</t>
  </si>
  <si>
    <t>S50</t>
  </si>
  <si>
    <t>S71</t>
  </si>
  <si>
    <t>S09</t>
  </si>
  <si>
    <t>S30</t>
  </si>
  <si>
    <t>S51</t>
  </si>
  <si>
    <t>S72</t>
  </si>
  <si>
    <t>S10</t>
  </si>
  <si>
    <t>S31</t>
  </si>
  <si>
    <t>S52</t>
  </si>
  <si>
    <t>S73</t>
  </si>
  <si>
    <t>S11</t>
  </si>
  <si>
    <t>S32</t>
  </si>
  <si>
    <t>S53</t>
  </si>
  <si>
    <t>S74</t>
  </si>
  <si>
    <t>S12</t>
  </si>
  <si>
    <t>S33</t>
  </si>
  <si>
    <t>S54</t>
  </si>
  <si>
    <t>S75</t>
  </si>
  <si>
    <t>S13</t>
  </si>
  <si>
    <t>S34</t>
  </si>
  <si>
    <t>S55</t>
  </si>
  <si>
    <t>S76</t>
  </si>
  <si>
    <t>S14</t>
  </si>
  <si>
    <t>S35</t>
  </si>
  <si>
    <t>S56</t>
  </si>
  <si>
    <t>S77</t>
  </si>
  <si>
    <t>S15</t>
  </si>
  <si>
    <t>S36</t>
  </si>
  <si>
    <t>S57</t>
  </si>
  <si>
    <t>S78</t>
  </si>
  <si>
    <t>S16</t>
  </si>
  <si>
    <t>S37</t>
  </si>
  <si>
    <t>S58</t>
  </si>
  <si>
    <t>S79</t>
  </si>
  <si>
    <t>S17</t>
  </si>
  <si>
    <t>S38</t>
  </si>
  <si>
    <t>S59</t>
  </si>
  <si>
    <t>S80</t>
  </si>
  <si>
    <t>S18</t>
  </si>
  <si>
    <t>S39</t>
  </si>
  <si>
    <t>S60</t>
  </si>
  <si>
    <t>S81</t>
  </si>
  <si>
    <t>S19</t>
  </si>
  <si>
    <t>S40</t>
  </si>
  <si>
    <t>S61</t>
  </si>
  <si>
    <t>S82</t>
  </si>
  <si>
    <t>S20</t>
  </si>
  <si>
    <t>S41</t>
  </si>
  <si>
    <t>S62</t>
  </si>
  <si>
    <t>S83</t>
  </si>
  <si>
    <t>S21</t>
  </si>
  <si>
    <t>S42</t>
  </si>
  <si>
    <t>S63</t>
  </si>
  <si>
    <t>S84</t>
  </si>
  <si>
    <t>CC1</t>
  </si>
  <si>
    <t>CC2</t>
  </si>
  <si>
    <t>CC3</t>
  </si>
  <si>
    <t>CC4</t>
  </si>
  <si>
    <t>PC1</t>
  </si>
  <si>
    <t>PC2</t>
  </si>
  <si>
    <t>PC3</t>
  </si>
  <si>
    <t>PC4</t>
  </si>
  <si>
    <t>NC1</t>
  </si>
  <si>
    <t>NC2</t>
  </si>
  <si>
    <t>NC3</t>
  </si>
  <si>
    <t>NC4</t>
  </si>
  <si>
    <t>CC = conjugate controle</t>
  </si>
  <si>
    <t>PC = positive controle (IgG HAT+)</t>
  </si>
  <si>
    <t>NC = negative controle (IgG HAT-)</t>
  </si>
  <si>
    <t>Résultats brutes</t>
  </si>
  <si>
    <t>Date préparation</t>
  </si>
  <si>
    <t>Etude</t>
  </si>
  <si>
    <t>Opérateur</t>
  </si>
  <si>
    <t>N° du Lot</t>
  </si>
  <si>
    <t>N° de la plaque</t>
  </si>
  <si>
    <t>Filtre (nm)</t>
  </si>
  <si>
    <t>450-600 nm</t>
  </si>
  <si>
    <t>Plaque 1:</t>
  </si>
  <si>
    <t>Plaque 2:</t>
  </si>
  <si>
    <t>Plaque 3:</t>
  </si>
  <si>
    <t>Plaque 4:</t>
  </si>
  <si>
    <t xml:space="preserve">Deepwell </t>
  </si>
  <si>
    <t>ELISA</t>
  </si>
  <si>
    <t>Sample</t>
  </si>
  <si>
    <t xml:space="preserve">Numéro labo </t>
  </si>
  <si>
    <t>Code-barres KPS</t>
  </si>
  <si>
    <r>
      <rPr>
        <b/>
        <sz val="12"/>
        <color theme="1"/>
        <rFont val="Symbol"/>
        <family val="1"/>
        <charset val="2"/>
      </rPr>
      <t xml:space="preserve">D </t>
    </r>
    <r>
      <rPr>
        <b/>
        <sz val="12"/>
        <color theme="1"/>
        <rFont val="Calibri"/>
        <family val="2"/>
        <scheme val="minor"/>
      </rPr>
      <t>OD</t>
    </r>
  </si>
  <si>
    <t>PP %</t>
  </si>
  <si>
    <t>Result PP60</t>
  </si>
  <si>
    <t>Result PP50</t>
  </si>
  <si>
    <t>Résultat final</t>
  </si>
  <si>
    <t>A1</t>
  </si>
  <si>
    <t>B1</t>
  </si>
  <si>
    <t>C1</t>
  </si>
  <si>
    <t>D1</t>
  </si>
  <si>
    <t>E1</t>
  </si>
  <si>
    <t>F1</t>
  </si>
  <si>
    <t>G1</t>
  </si>
  <si>
    <t>H1</t>
  </si>
  <si>
    <t>A2</t>
  </si>
  <si>
    <t>B2</t>
  </si>
  <si>
    <t>C2</t>
  </si>
  <si>
    <t>D2</t>
  </si>
  <si>
    <t>E2</t>
  </si>
  <si>
    <t>F2</t>
  </si>
  <si>
    <t>G2</t>
  </si>
  <si>
    <t>H2</t>
  </si>
  <si>
    <t>A3</t>
  </si>
  <si>
    <t>B3</t>
  </si>
  <si>
    <t>C3</t>
  </si>
  <si>
    <t>D3</t>
  </si>
  <si>
    <t>E3</t>
  </si>
  <si>
    <t>A4</t>
  </si>
  <si>
    <t>B4</t>
  </si>
  <si>
    <t>C4</t>
  </si>
  <si>
    <t>D4</t>
  </si>
  <si>
    <t>E4</t>
  </si>
  <si>
    <t>F4</t>
  </si>
  <si>
    <t>G4</t>
  </si>
  <si>
    <t>H4</t>
  </si>
  <si>
    <t>A5</t>
  </si>
  <si>
    <t>B5</t>
  </si>
  <si>
    <t>C5</t>
  </si>
  <si>
    <t>D5</t>
  </si>
  <si>
    <t>E5</t>
  </si>
  <si>
    <t>F5</t>
  </si>
  <si>
    <t>G5</t>
  </si>
  <si>
    <t>H5</t>
  </si>
  <si>
    <t>A6</t>
  </si>
  <si>
    <t>B6</t>
  </si>
  <si>
    <t>C6</t>
  </si>
  <si>
    <t>D6</t>
  </si>
  <si>
    <t>E6</t>
  </si>
  <si>
    <t>A7</t>
  </si>
  <si>
    <t>B7</t>
  </si>
  <si>
    <t>C7</t>
  </si>
  <si>
    <t>D7</t>
  </si>
  <si>
    <t>E7</t>
  </si>
  <si>
    <t>F7</t>
  </si>
  <si>
    <t>G7</t>
  </si>
  <si>
    <t>H7</t>
  </si>
  <si>
    <t>A8</t>
  </si>
  <si>
    <t>B8</t>
  </si>
  <si>
    <t>C8</t>
  </si>
  <si>
    <t>D8</t>
  </si>
  <si>
    <t>E8</t>
  </si>
  <si>
    <t>F8</t>
  </si>
  <si>
    <t>G8</t>
  </si>
  <si>
    <t>H8</t>
  </si>
  <si>
    <t>A9</t>
  </si>
  <si>
    <t>B9</t>
  </si>
  <si>
    <t>C9</t>
  </si>
  <si>
    <t>D9</t>
  </si>
  <si>
    <t>E9</t>
  </si>
  <si>
    <t>A10</t>
  </si>
  <si>
    <t>B10</t>
  </si>
  <si>
    <t>C10</t>
  </si>
  <si>
    <t>D10</t>
  </si>
  <si>
    <t>E10</t>
  </si>
  <si>
    <t>F10</t>
  </si>
  <si>
    <t>G10</t>
  </si>
  <si>
    <t>H10</t>
  </si>
  <si>
    <t>A11</t>
  </si>
  <si>
    <t>B11</t>
  </si>
  <si>
    <t>C11</t>
  </si>
  <si>
    <t>D11</t>
  </si>
  <si>
    <t>E11</t>
  </si>
  <si>
    <t>F11</t>
  </si>
  <si>
    <t>G11</t>
  </si>
  <si>
    <t>H11</t>
  </si>
  <si>
    <t>A12</t>
  </si>
  <si>
    <t>B12</t>
  </si>
  <si>
    <t>C12</t>
  </si>
  <si>
    <t>D12</t>
  </si>
  <si>
    <t>E12</t>
  </si>
  <si>
    <t>Sample Code</t>
  </si>
  <si>
    <t>Result</t>
  </si>
  <si>
    <t>G3</t>
  </si>
  <si>
    <t>G6</t>
  </si>
  <si>
    <t>G9</t>
  </si>
  <si>
    <t>G12</t>
  </si>
  <si>
    <t>F3</t>
  </si>
  <si>
    <t>F6</t>
  </si>
  <si>
    <t>F9</t>
  </si>
  <si>
    <t>F12</t>
  </si>
  <si>
    <t>H3</t>
  </si>
  <si>
    <t>H6</t>
  </si>
  <si>
    <t>H9</t>
  </si>
  <si>
    <t>H12</t>
  </si>
  <si>
    <t>Allowed deviation (in %):</t>
  </si>
  <si>
    <t>Repeatibility 450nm</t>
  </si>
  <si>
    <t>Ag+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</si>
</sst>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0.000"/>
  </numFmts>
  <fonts count="1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i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theme="1"/>
      <name val="Liberation Serif"/>
    </font>
    <font>
      <i/>
      <u/>
      <sz val="12"/>
      <color theme="1"/>
      <name val="Calibri"/>
      <family val="2"/>
      <scheme val="minor"/>
    </font>
    <font>
      <b/>
      <i/>
      <u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1"/>
      <charset val="2"/>
      <scheme val="minor"/>
    </font>
    <font>
      <b/>
      <sz val="12"/>
      <color theme="1"/>
      <name val="Symbol"/>
      <family val="1"/>
      <charset val="2"/>
    </font>
    <font>
      <b/>
      <u/>
      <sz val="11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4.9989318521683403E-2"/>
        <bgColor rgb="FFBCE4E5"/>
      </patternFill>
    </fill>
    <fill>
      <patternFill patternType="solid">
        <fgColor theme="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34998626667073579"/>
        <bgColor indexed="64"/>
      </patternFill>
    </fill>
  </fills>
  <borders count="2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indexed="64"/>
      </top>
      <bottom/>
      <diagonal/>
    </border>
    <border>
      <left/>
      <right style="thin">
        <color auto="1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medium">
        <color indexed="64"/>
      </left>
      <right style="thick">
        <color indexed="64"/>
      </right>
      <top/>
      <bottom style="thin">
        <color indexed="64"/>
      </bottom>
      <diagonal/>
    </border>
    <border>
      <left style="thick">
        <color indexed="64"/>
      </left>
      <right style="medium">
        <color indexed="64"/>
      </right>
      <top style="thick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indexed="64"/>
      </right>
      <top style="thick">
        <color indexed="64"/>
      </top>
      <bottom style="medium">
        <color indexed="64"/>
      </bottom>
      <diagonal/>
    </border>
    <border>
      <left style="thick">
        <color indexed="64"/>
      </left>
      <right/>
      <top style="thick">
        <color indexed="64"/>
      </top>
      <bottom style="thin">
        <color indexed="64"/>
      </bottom>
      <diagonal/>
    </border>
    <border>
      <left style="thick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ck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medium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</borders>
  <cellStyleXfs count="2">
    <xf numFmtId="0" fontId="0" fillId="0" borderId="0"/>
    <xf numFmtId="9" fontId="12" fillId="0" borderId="0" applyFont="0" applyFill="0" applyBorder="0" applyAlignment="0" applyProtection="0"/>
  </cellStyleXfs>
  <cellXfs count="82">
    <xf numFmtId="0" fontId="0" fillId="0" borderId="0" xfId="0"/>
    <xf numFmtId="0" fontId="0" fillId="2" borderId="0" xfId="0" applyFill="1"/>
    <xf numFmtId="0" fontId="4" fillId="0" borderId="0" xfId="0" applyFont="1"/>
    <xf numFmtId="0" fontId="0" fillId="0" borderId="0" xfId="0" quotePrefix="1"/>
    <xf numFmtId="0" fontId="7" fillId="0" borderId="0" xfId="0" applyFont="1"/>
    <xf numFmtId="0" fontId="3" fillId="0" borderId="0" xfId="0" applyFont="1"/>
    <xf numFmtId="0" fontId="1" fillId="0" borderId="0" xfId="0" applyFont="1" applyAlignment="1">
      <alignment horizontal="left"/>
    </xf>
    <xf numFmtId="0" fontId="1" fillId="0" borderId="1" xfId="0" applyFont="1" applyBorder="1"/>
    <xf numFmtId="0" fontId="0" fillId="0" borderId="0" xfId="0" applyProtection="1">
      <protection locked="0"/>
    </xf>
    <xf numFmtId="0" fontId="11" fillId="0" borderId="0" xfId="0" applyFont="1"/>
    <xf numFmtId="0" fontId="0" fillId="0" borderId="6" xfId="0" applyBorder="1"/>
    <xf numFmtId="0" fontId="1" fillId="0" borderId="7" xfId="0" applyFont="1" applyBorder="1" applyAlignment="1">
      <alignment horizontal="right"/>
    </xf>
    <xf numFmtId="0" fontId="1" fillId="0" borderId="2" xfId="0" applyFont="1" applyBorder="1" applyAlignment="1">
      <alignment horizontal="right"/>
    </xf>
    <xf numFmtId="0" fontId="0" fillId="0" borderId="0" xfId="0" applyAlignment="1">
      <alignment horizontal="center" vertical="center"/>
    </xf>
    <xf numFmtId="0" fontId="4" fillId="0" borderId="0" xfId="0" applyFont="1" applyAlignment="1">
      <alignment vertical="center"/>
    </xf>
    <xf numFmtId="0" fontId="10" fillId="0" borderId="0" xfId="0" applyFont="1" applyAlignment="1">
      <alignment horizontal="left" vertical="center"/>
    </xf>
    <xf numFmtId="0" fontId="9" fillId="4" borderId="12" xfId="0" applyFont="1" applyFill="1" applyBorder="1" applyProtection="1">
      <protection locked="0"/>
    </xf>
    <xf numFmtId="0" fontId="9" fillId="4" borderId="13" xfId="0" applyFont="1" applyFill="1" applyBorder="1" applyProtection="1">
      <protection locked="0"/>
    </xf>
    <xf numFmtId="0" fontId="9" fillId="4" borderId="14" xfId="0" applyFont="1" applyFill="1" applyBorder="1" applyAlignment="1" applyProtection="1">
      <alignment horizontal="center"/>
      <protection locked="0"/>
    </xf>
    <xf numFmtId="0" fontId="7" fillId="0" borderId="15" xfId="0" applyFont="1" applyBorder="1" applyAlignment="1">
      <alignment horizontal="center" vertical="center"/>
    </xf>
    <xf numFmtId="0" fontId="7" fillId="0" borderId="16" xfId="0" applyFont="1" applyBorder="1" applyAlignment="1">
      <alignment horizontal="center" vertical="center" wrapText="1"/>
    </xf>
    <xf numFmtId="0" fontId="0" fillId="0" borderId="17" xfId="0" applyBorder="1"/>
    <xf numFmtId="0" fontId="0" fillId="0" borderId="18" xfId="0" applyBorder="1"/>
    <xf numFmtId="14" fontId="0" fillId="3" borderId="1" xfId="0" applyNumberFormat="1" applyFill="1" applyBorder="1" applyAlignment="1" applyProtection="1">
      <alignment horizontal="center" vertical="center"/>
      <protection locked="0"/>
    </xf>
    <xf numFmtId="0" fontId="0" fillId="3" borderId="1" xfId="0" applyFill="1" applyBorder="1" applyAlignment="1" applyProtection="1">
      <alignment horizontal="center" vertical="center"/>
      <protection locked="0"/>
    </xf>
    <xf numFmtId="0" fontId="1" fillId="0" borderId="1" xfId="0" applyFont="1" applyBorder="1" applyAlignment="1">
      <alignment vertical="center"/>
    </xf>
    <xf numFmtId="0" fontId="0" fillId="3" borderId="1" xfId="0" applyFill="1" applyBorder="1" applyAlignment="1" applyProtection="1">
      <alignment vertical="center"/>
      <protection locked="0"/>
    </xf>
    <xf numFmtId="165" fontId="0" fillId="5" borderId="6" xfId="0" applyNumberFormat="1" applyFill="1" applyBorder="1" applyAlignment="1" applyProtection="1">
      <alignment horizontal="center" vertical="center"/>
      <protection locked="0"/>
    </xf>
    <xf numFmtId="165" fontId="0" fillId="5" borderId="9" xfId="0" applyNumberFormat="1" applyFill="1" applyBorder="1" applyAlignment="1" applyProtection="1">
      <alignment horizontal="center" vertical="center"/>
      <protection locked="0"/>
    </xf>
    <xf numFmtId="165" fontId="0" fillId="5" borderId="10" xfId="0" applyNumberFormat="1" applyFill="1" applyBorder="1" applyAlignment="1" applyProtection="1">
      <alignment horizontal="center" vertical="center"/>
      <protection locked="0"/>
    </xf>
    <xf numFmtId="165" fontId="0" fillId="5" borderId="11" xfId="0" applyNumberFormat="1" applyFill="1" applyBorder="1" applyAlignment="1" applyProtection="1">
      <alignment horizontal="center" vertical="center"/>
      <protection locked="0"/>
    </xf>
    <xf numFmtId="165" fontId="0" fillId="5" borderId="0" xfId="0" applyNumberFormat="1" applyFill="1" applyAlignment="1" applyProtection="1">
      <alignment horizontal="center" vertical="center"/>
      <protection locked="0"/>
    </xf>
    <xf numFmtId="165" fontId="0" fillId="5" borderId="3" xfId="0" applyNumberFormat="1" applyFill="1" applyBorder="1" applyAlignment="1" applyProtection="1">
      <alignment horizontal="center" vertical="center"/>
      <protection locked="0"/>
    </xf>
    <xf numFmtId="165" fontId="0" fillId="5" borderId="7" xfId="0" applyNumberFormat="1" applyFill="1" applyBorder="1" applyAlignment="1" applyProtection="1">
      <alignment horizontal="center" vertical="center"/>
      <protection locked="0"/>
    </xf>
    <xf numFmtId="165" fontId="0" fillId="5" borderId="5" xfId="0" applyNumberFormat="1" applyFill="1" applyBorder="1" applyAlignment="1" applyProtection="1">
      <alignment horizontal="center" vertical="center"/>
      <protection locked="0"/>
    </xf>
    <xf numFmtId="165" fontId="0" fillId="5" borderId="8" xfId="0" applyNumberFormat="1" applyFill="1" applyBorder="1" applyAlignment="1" applyProtection="1">
      <alignment horizontal="center" vertical="center"/>
      <protection locked="0"/>
    </xf>
    <xf numFmtId="0" fontId="1" fillId="0" borderId="4" xfId="0" applyFont="1" applyBorder="1"/>
    <xf numFmtId="0" fontId="1" fillId="0" borderId="0" xfId="0" applyFont="1"/>
    <xf numFmtId="0" fontId="0" fillId="0" borderId="25" xfId="0" applyBorder="1"/>
    <xf numFmtId="0" fontId="0" fillId="0" borderId="24" xfId="0" applyBorder="1"/>
    <xf numFmtId="0" fontId="1" fillId="0" borderId="2" xfId="0" applyFont="1" applyBorder="1" applyAlignment="1">
      <alignment vertical="center"/>
    </xf>
    <xf numFmtId="0" fontId="7" fillId="0" borderId="26" xfId="0" applyFont="1" applyBorder="1" applyAlignment="1">
      <alignment horizontal="center" vertical="center"/>
    </xf>
    <xf numFmtId="0" fontId="7" fillId="0" borderId="26" xfId="0" applyFont="1" applyBorder="1" applyAlignment="1">
      <alignment horizontal="center" vertical="center" wrapText="1"/>
    </xf>
    <xf numFmtId="0" fontId="0" fillId="0" borderId="26" xfId="0" applyBorder="1" applyAlignment="1">
      <alignment horizontal="center" vertical="center"/>
    </xf>
    <xf numFmtId="0" fontId="8" fillId="0" borderId="26" xfId="0" applyFont="1" applyBorder="1" applyAlignment="1">
      <alignment horizontal="center" vertical="center"/>
    </xf>
    <xf numFmtId="165" fontId="2" fillId="0" borderId="26" xfId="0" applyNumberFormat="1" applyFont="1" applyBorder="1" applyAlignment="1">
      <alignment horizontal="center"/>
    </xf>
    <xf numFmtId="164" fontId="2" fillId="0" borderId="26" xfId="1" applyNumberFormat="1" applyFont="1" applyFill="1" applyBorder="1" applyAlignment="1" applyProtection="1">
      <alignment horizontal="center"/>
    </xf>
    <xf numFmtId="0" fontId="0" fillId="0" borderId="26" xfId="0" applyBorder="1"/>
    <xf numFmtId="0" fontId="0" fillId="9" borderId="1" xfId="0" applyFill="1" applyBorder="1" applyProtection="1">
      <protection locked="0"/>
    </xf>
    <xf numFmtId="0" fontId="0" fillId="9" borderId="0" xfId="0" applyFill="1" applyProtection="1">
      <protection locked="0"/>
    </xf>
    <xf numFmtId="0" fontId="0" fillId="7" borderId="1" xfId="0" applyFill="1" applyBorder="1" applyAlignment="1" applyProtection="1">
      <alignment horizontal="center"/>
      <protection locked="0"/>
    </xf>
    <xf numFmtId="0" fontId="0" fillId="8" borderId="1" xfId="0" applyFill="1" applyBorder="1" applyAlignment="1" applyProtection="1">
      <alignment horizontal="center"/>
      <protection locked="0"/>
    </xf>
    <xf numFmtId="0" fontId="0" fillId="6" borderId="1" xfId="0" applyFill="1" applyBorder="1" applyAlignment="1" applyProtection="1">
      <alignment horizontal="center"/>
      <protection locked="0"/>
    </xf>
    <xf numFmtId="0" fontId="9" fillId="4" borderId="19" xfId="0" applyFont="1" applyFill="1" applyBorder="1" applyAlignment="1">
      <alignment horizontal="center"/>
    </xf>
    <xf numFmtId="0" fontId="9" fillId="4" borderId="20" xfId="0" applyFont="1" applyFill="1" applyBorder="1" applyAlignment="1">
      <alignment horizontal="center"/>
    </xf>
    <xf numFmtId="0" fontId="9" fillId="4" borderId="21" xfId="0" applyFont="1" applyFill="1" applyBorder="1" applyAlignment="1">
      <alignment horizontal="center"/>
    </xf>
    <xf numFmtId="0" fontId="13" fillId="0" borderId="26" xfId="0" applyFont="1" applyBorder="1" applyAlignment="1">
      <alignment horizontal="center" vertical="center"/>
    </xf>
    <xf numFmtId="0" fontId="15" fillId="0" borderId="0" xfId="0" applyFont="1"/>
    <xf numFmtId="0" fontId="1" fillId="0" borderId="0" xfId="0" applyFont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8" fillId="0" borderId="27" xfId="0" applyFont="1" applyBorder="1" applyAlignment="1">
      <alignment horizontal="center" vertical="center"/>
    </xf>
    <xf numFmtId="0" fontId="1" fillId="0" borderId="26" xfId="0" applyFont="1" applyBorder="1" applyAlignment="1">
      <alignment horizontal="center" vertical="top"/>
    </xf>
    <xf numFmtId="0" fontId="1" fillId="0" borderId="26" xfId="0" applyFont="1" applyBorder="1" applyAlignment="1">
      <alignment horizontal="center" vertical="center"/>
    </xf>
    <xf numFmtId="0" fontId="8" fillId="10" borderId="26" xfId="0" applyFont="1" applyFill="1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14" fontId="0" fillId="3" borderId="1" xfId="0" applyNumberFormat="1" applyFill="1" applyBorder="1" applyAlignment="1">
      <alignment horizontal="center" vertical="center"/>
    </xf>
    <xf numFmtId="0" fontId="0" fillId="3" borderId="1" xfId="0" applyFill="1" applyBorder="1" applyAlignment="1">
      <alignment horizontal="left" vertical="center"/>
    </xf>
    <xf numFmtId="0" fontId="0" fillId="3" borderId="1" xfId="0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7" fillId="10" borderId="26" xfId="0" applyFont="1" applyFill="1" applyBorder="1" applyAlignment="1" applyProtection="1">
      <alignment horizontal="center" vertical="top"/>
      <protection locked="0"/>
    </xf>
    <xf numFmtId="0" fontId="7" fillId="10" borderId="26" xfId="0" applyFont="1" applyFill="1" applyBorder="1" applyAlignment="1" applyProtection="1">
      <alignment horizontal="center" vertical="top" wrapText="1"/>
      <protection locked="0"/>
    </xf>
    <xf numFmtId="0" fontId="13" fillId="10" borderId="26" xfId="0" applyFont="1" applyFill="1" applyBorder="1" applyAlignment="1" applyProtection="1">
      <alignment horizontal="center" vertical="top"/>
      <protection locked="0"/>
    </xf>
    <xf numFmtId="0" fontId="0" fillId="0" borderId="26" xfId="0" applyBorder="1" applyAlignment="1" applyProtection="1">
      <alignment horizontal="center" vertical="center"/>
      <protection locked="0"/>
    </xf>
    <xf numFmtId="0" fontId="0" fillId="0" borderId="26" xfId="0" applyBorder="1" applyProtection="1">
      <protection locked="0"/>
    </xf>
    <xf numFmtId="0" fontId="10" fillId="0" borderId="0" xfId="0" applyFont="1" applyAlignment="1">
      <alignment horizontal="left" vertical="center"/>
    </xf>
    <xf numFmtId="0" fontId="1" fillId="0" borderId="2" xfId="0" applyFont="1" applyBorder="1" applyAlignment="1">
      <alignment vertical="center"/>
    </xf>
    <xf numFmtId="0" fontId="1" fillId="0" borderId="23" xfId="0" applyFont="1" applyBorder="1" applyAlignment="1">
      <alignment vertical="center"/>
    </xf>
    <xf numFmtId="0" fontId="1" fillId="0" borderId="1" xfId="0" applyFont="1" applyBorder="1" applyAlignment="1">
      <alignment horizontal="left" vertical="center"/>
    </xf>
    <xf numFmtId="0" fontId="0" fillId="3" borderId="2" xfId="0" applyFill="1" applyBorder="1" applyAlignment="1">
      <alignment horizontal="left" vertical="center"/>
    </xf>
    <xf numFmtId="0" fontId="0" fillId="3" borderId="22" xfId="0" applyFill="1" applyBorder="1" applyAlignment="1">
      <alignment horizontal="left" vertical="center"/>
    </xf>
    <xf numFmtId="0" fontId="0" fillId="3" borderId="23" xfId="0" applyFill="1" applyBorder="1" applyAlignment="1">
      <alignment horizontal="left" vertical="center"/>
    </xf>
    <xf numFmtId="0" fontId="1" fillId="0" borderId="26" xfId="0" applyFont="1" applyBorder="1" applyAlignment="1">
      <alignment horizontal="center" vertical="center"/>
    </xf>
  </cellXfs>
  <cellStyles count="2">
    <cellStyle name="Procent" xfId="1" builtinId="5"/>
    <cellStyle name="Standaard" xfId="0" builtinId="0"/>
  </cellStyles>
  <dxfs count="16"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5" tint="0.79998168889431442"/>
        </patternFill>
      </fill>
    </dxf>
    <dxf>
      <fill>
        <patternFill>
          <bgColor rgb="FFFFFF00"/>
        </patternFill>
      </fill>
    </dxf>
    <dxf>
      <fill>
        <patternFill>
          <bgColor theme="5" tint="0.79998168889431442"/>
        </patternFill>
      </fill>
    </dxf>
    <dxf>
      <fill>
        <patternFill>
          <bgColor rgb="FFFFFF00"/>
        </patternFill>
      </fill>
    </dxf>
    <dxf>
      <fill>
        <patternFill>
          <bgColor theme="5" tint="0.79998168889431442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5" tint="0.79998168889431442"/>
        </patternFill>
      </fill>
    </dxf>
    <dxf>
      <fill>
        <patternFill>
          <bgColor rgb="FFFFFF00"/>
        </patternFill>
      </fill>
    </dxf>
  </dxfs>
  <tableStyles count="0" defaultTableStyle="TableStyleMedium9" defaultPivotStyle="PivotStyleLight16"/>
  <colors>
    <mruColors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F40674-9BC9-4F61-9FC7-ACABF158E7BE}">
  <dimension ref="A1:F28"/>
  <sheetViews>
    <sheetView tabSelected="1" zoomScaleNormal="100" workbookViewId="0">
      <selection activeCell="C19" sqref="C19"/>
    </sheetView>
  </sheetViews>
  <sheetFormatPr defaultColWidth="8.7109375" defaultRowHeight="15"/>
  <cols>
    <col min="1" max="1" width="11.28515625" customWidth="1"/>
    <col min="2" max="2" width="25.140625" bestFit="1" customWidth="1"/>
    <col min="3" max="3" width="33.5703125" customWidth="1"/>
    <col min="4" max="5" width="12.7109375" customWidth="1"/>
    <col min="6" max="6" width="36" customWidth="1"/>
  </cols>
  <sheetData>
    <row r="1" spans="1:6" ht="18.75">
      <c r="A1" s="2" t="s">
        <v>0</v>
      </c>
      <c r="B1" s="4"/>
      <c r="C1" s="5"/>
      <c r="D1" s="5"/>
      <c r="E1" s="5"/>
      <c r="F1" s="5"/>
    </row>
    <row r="2" spans="1:6" ht="15.75">
      <c r="A2" s="4"/>
      <c r="B2" s="4"/>
      <c r="C2" s="5"/>
      <c r="D2" s="5"/>
      <c r="E2" s="5"/>
      <c r="F2" s="5"/>
    </row>
    <row r="3" spans="1:6" ht="18.75">
      <c r="A3" s="2" t="s">
        <v>1</v>
      </c>
      <c r="B3" s="4"/>
      <c r="C3" s="5"/>
      <c r="D3" s="5"/>
      <c r="E3" s="5"/>
      <c r="F3" s="5"/>
    </row>
    <row r="4" spans="1:6" ht="18.75">
      <c r="A4" s="2"/>
      <c r="B4" s="2"/>
    </row>
    <row r="5" spans="1:6" ht="18.75">
      <c r="A5" s="2"/>
      <c r="B5" s="25" t="s">
        <v>2</v>
      </c>
      <c r="C5" s="26" t="s">
        <v>3</v>
      </c>
    </row>
    <row r="6" spans="1:6" ht="18.75">
      <c r="A6" s="2"/>
      <c r="B6" s="40" t="s">
        <v>4</v>
      </c>
      <c r="C6" s="23">
        <v>45989</v>
      </c>
    </row>
    <row r="7" spans="1:6" ht="18.75">
      <c r="A7" s="2"/>
      <c r="B7" s="40" t="s">
        <v>5</v>
      </c>
      <c r="C7" s="24" t="s">
        <v>6</v>
      </c>
    </row>
    <row r="8" spans="1:6" ht="18.75">
      <c r="A8" s="2"/>
    </row>
    <row r="9" spans="1:6" ht="18.75">
      <c r="A9" s="2" t="s">
        <v>7</v>
      </c>
    </row>
    <row r="11" spans="1:6">
      <c r="B11" s="40" t="s">
        <v>8</v>
      </c>
      <c r="C11" s="23">
        <v>45966</v>
      </c>
    </row>
    <row r="12" spans="1:6">
      <c r="B12" s="40" t="s">
        <v>9</v>
      </c>
      <c r="C12" s="23">
        <v>45988</v>
      </c>
    </row>
    <row r="14" spans="1:6" ht="18.75">
      <c r="A14" s="2" t="s">
        <v>10</v>
      </c>
    </row>
    <row r="16" spans="1:6">
      <c r="B16" s="40" t="s">
        <v>11</v>
      </c>
      <c r="C16" s="24"/>
    </row>
    <row r="17" spans="1:3">
      <c r="B17" s="40" t="s">
        <v>12</v>
      </c>
      <c r="C17" s="24">
        <v>251122</v>
      </c>
    </row>
    <row r="18" spans="1:3">
      <c r="B18" s="40" t="s">
        <v>13</v>
      </c>
      <c r="C18" s="24">
        <v>240411</v>
      </c>
    </row>
    <row r="19" spans="1:3">
      <c r="B19" s="40" t="s">
        <v>14</v>
      </c>
      <c r="C19" s="24">
        <v>51124</v>
      </c>
    </row>
    <row r="21" spans="1:3" ht="18.75">
      <c r="A21" s="2" t="s">
        <v>15</v>
      </c>
    </row>
    <row r="23" spans="1:3">
      <c r="B23" s="40" t="s">
        <v>16</v>
      </c>
      <c r="C23" s="24" t="s">
        <v>17</v>
      </c>
    </row>
    <row r="24" spans="1:3">
      <c r="B24" s="40" t="s">
        <v>18</v>
      </c>
      <c r="C24" s="24" t="s">
        <v>19</v>
      </c>
    </row>
    <row r="25" spans="1:3">
      <c r="B25" s="40" t="s">
        <v>20</v>
      </c>
      <c r="C25" s="23"/>
    </row>
    <row r="26" spans="1:3">
      <c r="B26" s="40" t="s">
        <v>21</v>
      </c>
      <c r="C26" s="23"/>
    </row>
    <row r="28" spans="1:3" ht="18.75">
      <c r="A28" s="2" t="s">
        <v>22</v>
      </c>
      <c r="C28" s="24"/>
    </row>
  </sheetData>
  <sheetProtection algorithmName="SHA-512" hashValue="0/X9jMxhyqRxs1306/Ha6EhSdyxW1LKpdfivLlx3DHIwVbdCTf0NHzlS1qQKN+hPoPWWWA69XrDoLft1hnmmZw==" saltValue="RQu3i7BpJeWmDNU3HhVxuw==" spinCount="100000" sheet="1" objects="1" scenarios="1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25"/>
  <sheetViews>
    <sheetView zoomScaleNormal="100" workbookViewId="0">
      <selection activeCell="M11" sqref="M11"/>
    </sheetView>
  </sheetViews>
  <sheetFormatPr defaultColWidth="10.85546875" defaultRowHeight="15"/>
  <cols>
    <col min="5" max="5" width="12" bestFit="1" customWidth="1"/>
  </cols>
  <sheetData>
    <row r="1" spans="1:13" ht="18.75">
      <c r="A1" s="14" t="s">
        <v>0</v>
      </c>
      <c r="B1" s="14"/>
      <c r="C1" s="14"/>
    </row>
    <row r="2" spans="1:13" ht="18.600000000000001" customHeight="1">
      <c r="A2" s="14"/>
      <c r="B2" s="14"/>
      <c r="C2" s="14"/>
    </row>
    <row r="3" spans="1:13" ht="18.75">
      <c r="A3" s="14" t="s">
        <v>23</v>
      </c>
      <c r="B3" s="14"/>
      <c r="C3" s="14"/>
    </row>
    <row r="5" spans="1:13" s="37" customFormat="1">
      <c r="B5" s="7">
        <v>1</v>
      </c>
      <c r="C5" s="7">
        <v>2</v>
      </c>
      <c r="D5" s="7">
        <v>3</v>
      </c>
      <c r="E5" s="7">
        <v>4</v>
      </c>
      <c r="F5" s="7">
        <v>5</v>
      </c>
      <c r="G5" s="7">
        <v>6</v>
      </c>
      <c r="H5" s="7">
        <v>7</v>
      </c>
      <c r="I5" s="7">
        <v>8</v>
      </c>
      <c r="J5" s="7">
        <v>9</v>
      </c>
      <c r="K5" s="7">
        <v>10</v>
      </c>
      <c r="L5" s="7">
        <v>11</v>
      </c>
      <c r="M5" s="7">
        <v>12</v>
      </c>
    </row>
    <row r="6" spans="1:13">
      <c r="A6" s="7" t="s">
        <v>24</v>
      </c>
      <c r="B6" s="48">
        <v>2500764</v>
      </c>
      <c r="C6" s="48">
        <v>2501524</v>
      </c>
      <c r="D6" s="48">
        <v>2501136</v>
      </c>
      <c r="E6" s="48">
        <v>2501061</v>
      </c>
      <c r="F6" s="48">
        <v>2501102</v>
      </c>
      <c r="G6" s="48">
        <v>2501115</v>
      </c>
      <c r="H6" s="48">
        <v>2501080</v>
      </c>
      <c r="I6" s="48">
        <v>2501079</v>
      </c>
      <c r="J6" s="48">
        <v>2501259</v>
      </c>
      <c r="K6" s="48">
        <v>2500592</v>
      </c>
      <c r="L6" s="48">
        <v>2500808</v>
      </c>
      <c r="M6" s="48">
        <v>2500145</v>
      </c>
    </row>
    <row r="7" spans="1:13">
      <c r="A7" s="7" t="s">
        <v>25</v>
      </c>
      <c r="B7" s="48">
        <v>2501078</v>
      </c>
      <c r="C7" s="48">
        <v>2501525</v>
      </c>
      <c r="D7" s="48">
        <v>2500753</v>
      </c>
      <c r="E7" s="48">
        <v>2500724</v>
      </c>
      <c r="F7" s="48">
        <v>2501116</v>
      </c>
      <c r="G7" s="48">
        <v>2501134</v>
      </c>
      <c r="H7" s="48">
        <v>2501074</v>
      </c>
      <c r="I7" s="48">
        <v>2500671</v>
      </c>
      <c r="J7" s="48">
        <v>2501204</v>
      </c>
      <c r="K7" s="48">
        <v>2500737</v>
      </c>
      <c r="L7" s="48">
        <v>2500996</v>
      </c>
      <c r="M7" s="48">
        <v>2500074</v>
      </c>
    </row>
    <row r="8" spans="1:13">
      <c r="A8" s="7" t="s">
        <v>26</v>
      </c>
      <c r="B8" s="48">
        <v>2501063</v>
      </c>
      <c r="C8" s="48">
        <v>2501542</v>
      </c>
      <c r="D8" s="49">
        <v>2500702</v>
      </c>
      <c r="E8" s="48">
        <v>2500721</v>
      </c>
      <c r="F8" s="48">
        <v>2501137</v>
      </c>
      <c r="G8" s="49">
        <v>2501121</v>
      </c>
      <c r="H8" s="48">
        <v>2501076</v>
      </c>
      <c r="I8" s="48">
        <v>2501069</v>
      </c>
      <c r="J8" s="49">
        <v>2501249</v>
      </c>
      <c r="K8" s="48">
        <v>2500735</v>
      </c>
      <c r="L8" s="48">
        <v>2500804</v>
      </c>
      <c r="M8" s="48">
        <v>2501219</v>
      </c>
    </row>
    <row r="9" spans="1:13">
      <c r="A9" s="7" t="s">
        <v>27</v>
      </c>
      <c r="B9" s="48">
        <v>2501110</v>
      </c>
      <c r="C9" s="48">
        <v>2500759</v>
      </c>
      <c r="D9" s="48">
        <v>2500762</v>
      </c>
      <c r="E9" s="48">
        <v>2500714</v>
      </c>
      <c r="F9" s="48">
        <v>2500701</v>
      </c>
      <c r="G9" s="48">
        <v>2501133</v>
      </c>
      <c r="H9" s="48">
        <v>2501084</v>
      </c>
      <c r="I9" s="48">
        <v>2500620</v>
      </c>
      <c r="J9" s="48">
        <v>2500107</v>
      </c>
      <c r="K9" s="48">
        <v>2500739</v>
      </c>
      <c r="L9" s="48">
        <v>2500923</v>
      </c>
      <c r="M9" s="48">
        <v>2501217</v>
      </c>
    </row>
    <row r="10" spans="1:13">
      <c r="A10" s="7" t="s">
        <v>28</v>
      </c>
      <c r="B10" s="48">
        <v>2501119</v>
      </c>
      <c r="C10" s="48">
        <v>2501066</v>
      </c>
      <c r="D10" s="48">
        <v>2500760</v>
      </c>
      <c r="E10" s="48">
        <v>2500723</v>
      </c>
      <c r="F10" s="48">
        <v>2500738</v>
      </c>
      <c r="G10" s="48">
        <v>2501132</v>
      </c>
      <c r="H10" s="48">
        <v>2402168</v>
      </c>
      <c r="I10" s="48">
        <v>2500615</v>
      </c>
      <c r="J10" s="48">
        <v>2500015</v>
      </c>
      <c r="K10" s="48">
        <v>2500155</v>
      </c>
      <c r="L10" s="48">
        <v>2402981</v>
      </c>
      <c r="M10" s="48">
        <v>2501218</v>
      </c>
    </row>
    <row r="11" spans="1:13">
      <c r="A11" s="7" t="s">
        <v>29</v>
      </c>
      <c r="B11" s="48">
        <v>2501101</v>
      </c>
      <c r="C11" s="48">
        <v>2501052</v>
      </c>
      <c r="D11" s="50" t="s">
        <v>30</v>
      </c>
      <c r="E11" s="48">
        <v>2500718</v>
      </c>
      <c r="F11" s="48">
        <v>2501086</v>
      </c>
      <c r="G11" s="50" t="s">
        <v>30</v>
      </c>
      <c r="H11" s="48">
        <v>2400836</v>
      </c>
      <c r="I11" s="48">
        <v>2500601</v>
      </c>
      <c r="J11" s="50" t="s">
        <v>30</v>
      </c>
      <c r="K11" s="48">
        <v>2500899</v>
      </c>
      <c r="L11" s="48">
        <v>2501995</v>
      </c>
      <c r="M11" s="50" t="s">
        <v>30</v>
      </c>
    </row>
    <row r="12" spans="1:13">
      <c r="A12" s="7" t="s">
        <v>31</v>
      </c>
      <c r="B12" s="48">
        <v>2501216</v>
      </c>
      <c r="C12" s="48">
        <v>2501073</v>
      </c>
      <c r="D12" s="51" t="s">
        <v>32</v>
      </c>
      <c r="E12" s="48">
        <v>2501056</v>
      </c>
      <c r="F12" s="48">
        <v>2501070</v>
      </c>
      <c r="G12" s="51" t="s">
        <v>32</v>
      </c>
      <c r="H12" s="48">
        <v>2501346</v>
      </c>
      <c r="I12" s="48">
        <v>2500619</v>
      </c>
      <c r="J12" s="51" t="s">
        <v>32</v>
      </c>
      <c r="K12" s="48">
        <v>2500835</v>
      </c>
      <c r="L12" s="48">
        <v>2501914</v>
      </c>
      <c r="M12" s="51" t="s">
        <v>32</v>
      </c>
    </row>
    <row r="13" spans="1:13">
      <c r="A13" s="7" t="s">
        <v>33</v>
      </c>
      <c r="B13" s="48">
        <v>2501201</v>
      </c>
      <c r="C13" s="48">
        <v>2501062</v>
      </c>
      <c r="D13" s="52" t="s">
        <v>34</v>
      </c>
      <c r="E13" s="48">
        <v>2501103</v>
      </c>
      <c r="F13" s="48">
        <v>2501094</v>
      </c>
      <c r="G13" s="52" t="s">
        <v>34</v>
      </c>
      <c r="H13" s="48">
        <v>2400902</v>
      </c>
      <c r="I13" s="48">
        <v>2501210</v>
      </c>
      <c r="J13" s="52" t="s">
        <v>34</v>
      </c>
      <c r="K13" s="48">
        <v>2500830</v>
      </c>
      <c r="L13" s="48">
        <v>2501223</v>
      </c>
      <c r="M13" s="52" t="s">
        <v>34</v>
      </c>
    </row>
    <row r="14" spans="1:13" ht="18.600000000000001" customHeight="1"/>
    <row r="15" spans="1:13" ht="18.75">
      <c r="A15" s="14" t="s">
        <v>35</v>
      </c>
      <c r="B15" s="14"/>
      <c r="C15" s="14"/>
    </row>
    <row r="17" spans="1:13">
      <c r="A17" s="37"/>
      <c r="B17" s="7">
        <v>1</v>
      </c>
      <c r="C17" s="7">
        <v>2</v>
      </c>
      <c r="D17" s="7">
        <v>3</v>
      </c>
      <c r="E17" s="7">
        <v>4</v>
      </c>
      <c r="F17" s="7">
        <v>5</v>
      </c>
      <c r="G17" s="7">
        <v>6</v>
      </c>
      <c r="H17" s="7">
        <v>7</v>
      </c>
      <c r="I17" s="7">
        <v>8</v>
      </c>
      <c r="J17" s="7">
        <v>9</v>
      </c>
      <c r="K17" s="7">
        <v>10</v>
      </c>
      <c r="L17" s="7">
        <v>11</v>
      </c>
      <c r="M17" s="7">
        <v>12</v>
      </c>
    </row>
    <row r="18" spans="1:13">
      <c r="A18" s="7" t="s">
        <v>24</v>
      </c>
      <c r="B18" s="48">
        <v>337</v>
      </c>
      <c r="C18" s="48">
        <v>345</v>
      </c>
      <c r="D18" s="48">
        <v>353</v>
      </c>
      <c r="E18" s="48">
        <v>358</v>
      </c>
      <c r="F18" s="48">
        <v>366</v>
      </c>
      <c r="G18" s="48">
        <v>374</v>
      </c>
      <c r="H18" s="48">
        <v>379</v>
      </c>
      <c r="I18" s="48">
        <v>387</v>
      </c>
      <c r="J18" s="48">
        <v>395</v>
      </c>
      <c r="K18" s="48">
        <v>400</v>
      </c>
      <c r="L18" s="48">
        <v>408</v>
      </c>
      <c r="M18" s="48">
        <v>416</v>
      </c>
    </row>
    <row r="19" spans="1:13">
      <c r="A19" s="7" t="s">
        <v>25</v>
      </c>
      <c r="B19" s="48">
        <v>338</v>
      </c>
      <c r="C19" s="48">
        <v>346</v>
      </c>
      <c r="D19" s="48">
        <v>354</v>
      </c>
      <c r="E19" s="48">
        <v>359</v>
      </c>
      <c r="F19" s="48">
        <v>367</v>
      </c>
      <c r="G19" s="48">
        <v>375</v>
      </c>
      <c r="H19" s="48">
        <v>380</v>
      </c>
      <c r="I19" s="48">
        <v>388</v>
      </c>
      <c r="J19" s="48">
        <v>396</v>
      </c>
      <c r="K19" s="48">
        <v>401</v>
      </c>
      <c r="L19" s="48">
        <v>409</v>
      </c>
      <c r="M19" s="48">
        <v>417</v>
      </c>
    </row>
    <row r="20" spans="1:13">
      <c r="A20" s="7" t="s">
        <v>26</v>
      </c>
      <c r="B20" s="48">
        <v>339</v>
      </c>
      <c r="C20" s="48">
        <v>347</v>
      </c>
      <c r="D20" s="49">
        <v>355</v>
      </c>
      <c r="E20" s="48">
        <v>360</v>
      </c>
      <c r="F20" s="48">
        <v>368</v>
      </c>
      <c r="G20" s="49">
        <v>376</v>
      </c>
      <c r="H20" s="48">
        <v>381</v>
      </c>
      <c r="I20" s="48">
        <v>389</v>
      </c>
      <c r="J20" s="49">
        <v>397</v>
      </c>
      <c r="K20" s="48">
        <v>402</v>
      </c>
      <c r="L20" s="48">
        <v>410</v>
      </c>
      <c r="M20" s="48">
        <v>418</v>
      </c>
    </row>
    <row r="21" spans="1:13">
      <c r="A21" s="7" t="s">
        <v>27</v>
      </c>
      <c r="B21" s="48">
        <v>340</v>
      </c>
      <c r="C21" s="48">
        <v>348</v>
      </c>
      <c r="D21" s="48">
        <v>356</v>
      </c>
      <c r="E21" s="48">
        <v>361</v>
      </c>
      <c r="F21" s="48">
        <v>369</v>
      </c>
      <c r="G21" s="48">
        <v>377</v>
      </c>
      <c r="H21" s="48">
        <v>382</v>
      </c>
      <c r="I21" s="48">
        <v>390</v>
      </c>
      <c r="J21" s="48">
        <v>398</v>
      </c>
      <c r="K21" s="48">
        <v>403</v>
      </c>
      <c r="L21" s="48">
        <v>411</v>
      </c>
      <c r="M21" s="48">
        <v>419</v>
      </c>
    </row>
    <row r="22" spans="1:13">
      <c r="A22" s="7" t="s">
        <v>28</v>
      </c>
      <c r="B22" s="48">
        <v>341</v>
      </c>
      <c r="C22" s="48">
        <v>349</v>
      </c>
      <c r="D22" s="48">
        <v>357</v>
      </c>
      <c r="E22" s="48">
        <v>362</v>
      </c>
      <c r="F22" s="48">
        <v>370</v>
      </c>
      <c r="G22" s="48">
        <v>378</v>
      </c>
      <c r="H22" s="48">
        <v>383</v>
      </c>
      <c r="I22" s="48">
        <v>391</v>
      </c>
      <c r="J22" s="48">
        <v>399</v>
      </c>
      <c r="K22" s="48">
        <v>404</v>
      </c>
      <c r="L22" s="48">
        <v>412</v>
      </c>
      <c r="M22" s="48">
        <v>420</v>
      </c>
    </row>
    <row r="23" spans="1:13">
      <c r="A23" s="7" t="s">
        <v>29</v>
      </c>
      <c r="B23" s="48">
        <v>342</v>
      </c>
      <c r="C23" s="48">
        <v>350</v>
      </c>
      <c r="D23" s="50" t="s">
        <v>30</v>
      </c>
      <c r="E23" s="48">
        <v>363</v>
      </c>
      <c r="F23" s="48">
        <v>371</v>
      </c>
      <c r="G23" s="50" t="s">
        <v>30</v>
      </c>
      <c r="H23" s="48">
        <v>384</v>
      </c>
      <c r="I23" s="48">
        <v>392</v>
      </c>
      <c r="J23" s="50" t="s">
        <v>30</v>
      </c>
      <c r="K23" s="48">
        <v>405</v>
      </c>
      <c r="L23" s="48">
        <v>413</v>
      </c>
      <c r="M23" s="50" t="s">
        <v>30</v>
      </c>
    </row>
    <row r="24" spans="1:13">
      <c r="A24" s="7" t="s">
        <v>31</v>
      </c>
      <c r="B24" s="48">
        <v>343</v>
      </c>
      <c r="C24" s="48">
        <v>351</v>
      </c>
      <c r="D24" s="51" t="s">
        <v>32</v>
      </c>
      <c r="E24" s="48">
        <v>364</v>
      </c>
      <c r="F24" s="48">
        <v>372</v>
      </c>
      <c r="G24" s="51" t="s">
        <v>32</v>
      </c>
      <c r="H24" s="48">
        <v>385</v>
      </c>
      <c r="I24" s="48">
        <v>393</v>
      </c>
      <c r="J24" s="51" t="s">
        <v>32</v>
      </c>
      <c r="K24" s="48">
        <v>406</v>
      </c>
      <c r="L24" s="48">
        <v>414</v>
      </c>
      <c r="M24" s="51" t="s">
        <v>32</v>
      </c>
    </row>
    <row r="25" spans="1:13">
      <c r="A25" s="7" t="s">
        <v>33</v>
      </c>
      <c r="B25" s="48">
        <v>344</v>
      </c>
      <c r="C25" s="48">
        <v>352</v>
      </c>
      <c r="D25" s="52" t="s">
        <v>34</v>
      </c>
      <c r="E25" s="48">
        <v>365</v>
      </c>
      <c r="F25" s="48">
        <v>373</v>
      </c>
      <c r="G25" s="52" t="s">
        <v>34</v>
      </c>
      <c r="H25" s="48">
        <v>386</v>
      </c>
      <c r="I25" s="48">
        <v>394</v>
      </c>
      <c r="J25" s="52" t="s">
        <v>34</v>
      </c>
      <c r="K25" s="48">
        <v>407</v>
      </c>
      <c r="L25" s="48">
        <v>415</v>
      </c>
      <c r="M25" s="52" t="s">
        <v>34</v>
      </c>
    </row>
  </sheetData>
  <sheetProtection algorithmName="SHA-512" hashValue="Xh0FBw3guceq4EQumJAp+U5Npf7/432nT7gVf079MZFN6gaAK5m4CHc/QqlwuhchQsnX6P/KF3P2rQsYq6rLJw==" saltValue="LnVSAUhx4fo957LjcrPtXg==" spinCount="100000" sheet="1" objects="1" scenarios="1"/>
  <pageMargins left="0.7" right="0.7" top="0.75" bottom="0.75" header="0.3" footer="0.3"/>
  <pageSetup paperSize="9" scale="93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34"/>
  <sheetViews>
    <sheetView zoomScaleNormal="100" workbookViewId="0">
      <selection activeCell="C7" sqref="C7"/>
    </sheetView>
  </sheetViews>
  <sheetFormatPr defaultColWidth="10.85546875" defaultRowHeight="15"/>
  <cols>
    <col min="1" max="1" width="15.7109375" customWidth="1"/>
    <col min="2" max="2" width="27.28515625" customWidth="1"/>
    <col min="3" max="3" width="33.140625" customWidth="1"/>
    <col min="4" max="4" width="3" customWidth="1"/>
    <col min="5" max="5" width="15.7109375" customWidth="1"/>
    <col min="6" max="6" width="27.28515625" customWidth="1"/>
    <col min="7" max="7" width="33.140625" customWidth="1"/>
    <col min="8" max="8" width="3" customWidth="1"/>
    <col min="9" max="9" width="15.7109375" customWidth="1"/>
    <col min="10" max="10" width="27.28515625" customWidth="1"/>
    <col min="11" max="11" width="33.140625" customWidth="1"/>
    <col min="12" max="12" width="3" customWidth="1"/>
    <col min="13" max="13" width="15.7109375" customWidth="1"/>
    <col min="14" max="14" width="27.28515625" customWidth="1"/>
    <col min="15" max="15" width="33.140625" customWidth="1"/>
  </cols>
  <sheetData>
    <row r="1" spans="1:15" ht="18.75">
      <c r="A1" s="14" t="s">
        <v>0</v>
      </c>
      <c r="B1" s="14"/>
      <c r="C1" s="14"/>
    </row>
    <row r="2" spans="1:15" ht="18.75">
      <c r="A2" s="2"/>
      <c r="B2" s="2"/>
      <c r="C2" s="2"/>
    </row>
    <row r="3" spans="1:15" ht="18.75">
      <c r="A3" s="2" t="s">
        <v>36</v>
      </c>
      <c r="B3" s="2"/>
      <c r="C3" s="2"/>
    </row>
    <row r="4" spans="1:15" ht="20.100000000000001" customHeight="1">
      <c r="A4" s="6"/>
      <c r="B4" s="6"/>
      <c r="C4" s="6"/>
    </row>
    <row r="5" spans="1:15" ht="20.100000000000001" customHeight="1" thickBot="1">
      <c r="A5" s="74" t="s">
        <v>37</v>
      </c>
      <c r="B5" s="74"/>
      <c r="C5" s="15"/>
      <c r="E5" s="74" t="s">
        <v>38</v>
      </c>
      <c r="F5" s="74"/>
      <c r="G5" s="15"/>
      <c r="I5" s="74" t="s">
        <v>39</v>
      </c>
      <c r="J5" s="74"/>
      <c r="K5" s="15"/>
      <c r="M5" s="74" t="s">
        <v>40</v>
      </c>
      <c r="N5" s="74"/>
      <c r="O5" s="15"/>
    </row>
    <row r="6" spans="1:15" ht="17.25" thickTop="1" thickBot="1">
      <c r="A6" s="15"/>
      <c r="B6" s="19" t="s">
        <v>41</v>
      </c>
      <c r="C6" s="20" t="s">
        <v>42</v>
      </c>
      <c r="E6" s="15"/>
      <c r="F6" s="19" t="s">
        <v>41</v>
      </c>
      <c r="G6" s="20" t="s">
        <v>42</v>
      </c>
      <c r="I6" s="15"/>
      <c r="J6" s="19" t="s">
        <v>41</v>
      </c>
      <c r="K6" s="20" t="s">
        <v>42</v>
      </c>
      <c r="M6" s="15"/>
      <c r="N6" s="19" t="s">
        <v>41</v>
      </c>
      <c r="O6" s="20" t="s">
        <v>42</v>
      </c>
    </row>
    <row r="7" spans="1:15" ht="20.100000000000001" customHeight="1" thickTop="1">
      <c r="A7" s="21" t="s">
        <v>43</v>
      </c>
      <c r="B7" s="53">
        <f>IF(Deepwell!B6="","",Deepwell!B6)</f>
        <v>2500764</v>
      </c>
      <c r="C7" s="18"/>
      <c r="E7" s="21" t="s">
        <v>44</v>
      </c>
      <c r="F7" s="53">
        <f>IF(Deepwell!E6="","",Deepwell!E6)</f>
        <v>2501061</v>
      </c>
      <c r="G7" s="18"/>
      <c r="I7" s="21" t="s">
        <v>45</v>
      </c>
      <c r="J7" s="53">
        <f>IF(Deepwell!H6="","",Deepwell!H6)</f>
        <v>2501080</v>
      </c>
      <c r="K7" s="18"/>
      <c r="M7" s="21" t="s">
        <v>46</v>
      </c>
      <c r="N7" s="53">
        <f>IF(Deepwell!K6="","",Deepwell!K6)</f>
        <v>2500592</v>
      </c>
      <c r="O7" s="18"/>
    </row>
    <row r="8" spans="1:15" ht="20.100000000000001" customHeight="1">
      <c r="A8" s="22" t="s">
        <v>47</v>
      </c>
      <c r="B8" s="54">
        <f>IF(Deepwell!B7="","",Deepwell!B7)</f>
        <v>2501078</v>
      </c>
      <c r="C8" s="18"/>
      <c r="E8" s="22" t="s">
        <v>48</v>
      </c>
      <c r="F8" s="54">
        <f>IF(Deepwell!E7="","",Deepwell!E7)</f>
        <v>2500724</v>
      </c>
      <c r="G8" s="18"/>
      <c r="I8" s="22" t="s">
        <v>49</v>
      </c>
      <c r="J8" s="54">
        <f>IF(Deepwell!H7="","",Deepwell!H7)</f>
        <v>2501074</v>
      </c>
      <c r="K8" s="18"/>
      <c r="M8" s="22" t="s">
        <v>50</v>
      </c>
      <c r="N8" s="54">
        <f>IF(Deepwell!K7="","",Deepwell!K7)</f>
        <v>2500737</v>
      </c>
      <c r="O8" s="18"/>
    </row>
    <row r="9" spans="1:15" ht="20.100000000000001" customHeight="1">
      <c r="A9" s="22" t="s">
        <v>51</v>
      </c>
      <c r="B9" s="54">
        <f>IF(Deepwell!B8="","",Deepwell!B8)</f>
        <v>2501063</v>
      </c>
      <c r="C9" s="18"/>
      <c r="E9" s="22" t="s">
        <v>52</v>
      </c>
      <c r="F9" s="54">
        <f>IF(Deepwell!E8="","",Deepwell!E8)</f>
        <v>2500721</v>
      </c>
      <c r="G9" s="18"/>
      <c r="I9" s="22" t="s">
        <v>53</v>
      </c>
      <c r="J9" s="54">
        <f>IF(Deepwell!H8="","",Deepwell!H8)</f>
        <v>2501076</v>
      </c>
      <c r="K9" s="18"/>
      <c r="M9" s="22" t="s">
        <v>54</v>
      </c>
      <c r="N9" s="54">
        <f>IF(Deepwell!K8="","",Deepwell!K8)</f>
        <v>2500735</v>
      </c>
      <c r="O9" s="18"/>
    </row>
    <row r="10" spans="1:15" ht="20.100000000000001" customHeight="1">
      <c r="A10" s="22" t="s">
        <v>55</v>
      </c>
      <c r="B10" s="54">
        <f>IF(Deepwell!B9="","",Deepwell!B9)</f>
        <v>2501110</v>
      </c>
      <c r="C10" s="18"/>
      <c r="E10" s="22" t="s">
        <v>56</v>
      </c>
      <c r="F10" s="54">
        <f>IF(Deepwell!E9="","",Deepwell!E9)</f>
        <v>2500714</v>
      </c>
      <c r="G10" s="18"/>
      <c r="I10" s="22" t="s">
        <v>57</v>
      </c>
      <c r="J10" s="54">
        <f>IF(Deepwell!H9="","",Deepwell!H9)</f>
        <v>2501084</v>
      </c>
      <c r="K10" s="18"/>
      <c r="M10" s="22" t="s">
        <v>58</v>
      </c>
      <c r="N10" s="54">
        <f>IF(Deepwell!K9="","",Deepwell!K9)</f>
        <v>2500739</v>
      </c>
      <c r="O10" s="18"/>
    </row>
    <row r="11" spans="1:15" ht="20.100000000000001" customHeight="1">
      <c r="A11" s="22" t="s">
        <v>59</v>
      </c>
      <c r="B11" s="54">
        <f>IF(Deepwell!B10="","",Deepwell!B10)</f>
        <v>2501119</v>
      </c>
      <c r="C11" s="18"/>
      <c r="E11" s="22" t="s">
        <v>60</v>
      </c>
      <c r="F11" s="54">
        <f>IF(Deepwell!E10="","",Deepwell!E10)</f>
        <v>2500723</v>
      </c>
      <c r="G11" s="18"/>
      <c r="I11" s="22" t="s">
        <v>61</v>
      </c>
      <c r="J11" s="54">
        <f>IF(Deepwell!H10="","",Deepwell!H10)</f>
        <v>2402168</v>
      </c>
      <c r="K11" s="18"/>
      <c r="M11" s="22" t="s">
        <v>62</v>
      </c>
      <c r="N11" s="54">
        <f>IF(Deepwell!K10="","",Deepwell!K10)</f>
        <v>2500155</v>
      </c>
      <c r="O11" s="18"/>
    </row>
    <row r="12" spans="1:15" ht="20.100000000000001" customHeight="1">
      <c r="A12" s="22" t="s">
        <v>63</v>
      </c>
      <c r="B12" s="54">
        <f>IF(Deepwell!B11="","",Deepwell!B11)</f>
        <v>2501101</v>
      </c>
      <c r="C12" s="18"/>
      <c r="E12" s="22" t="s">
        <v>64</v>
      </c>
      <c r="F12" s="54">
        <f>IF(Deepwell!E11="","",Deepwell!E11)</f>
        <v>2500718</v>
      </c>
      <c r="G12" s="18"/>
      <c r="I12" s="22" t="s">
        <v>65</v>
      </c>
      <c r="J12" s="54">
        <f>IF(Deepwell!H11="","",Deepwell!H11)</f>
        <v>2400836</v>
      </c>
      <c r="K12" s="18"/>
      <c r="M12" s="22" t="s">
        <v>66</v>
      </c>
      <c r="N12" s="54">
        <f>IF(Deepwell!K11="","",Deepwell!K11)</f>
        <v>2500899</v>
      </c>
      <c r="O12" s="18"/>
    </row>
    <row r="13" spans="1:15" ht="20.100000000000001" customHeight="1">
      <c r="A13" s="22" t="s">
        <v>67</v>
      </c>
      <c r="B13" s="54">
        <f>IF(Deepwell!B12="","",Deepwell!B12)</f>
        <v>2501216</v>
      </c>
      <c r="C13" s="18"/>
      <c r="E13" s="22" t="s">
        <v>68</v>
      </c>
      <c r="F13" s="54">
        <f>IF(Deepwell!E12="","",Deepwell!E12)</f>
        <v>2501056</v>
      </c>
      <c r="G13" s="18"/>
      <c r="I13" s="22" t="s">
        <v>69</v>
      </c>
      <c r="J13" s="54">
        <f>IF(Deepwell!H12="","",Deepwell!H12)</f>
        <v>2501346</v>
      </c>
      <c r="K13" s="18"/>
      <c r="M13" s="22" t="s">
        <v>70</v>
      </c>
      <c r="N13" s="54">
        <f>IF(Deepwell!K12="","",Deepwell!K12)</f>
        <v>2500835</v>
      </c>
      <c r="O13" s="18"/>
    </row>
    <row r="14" spans="1:15" ht="20.100000000000001" customHeight="1">
      <c r="A14" s="22" t="s">
        <v>71</v>
      </c>
      <c r="B14" s="54">
        <f>IF(Deepwell!B13="","",Deepwell!B13)</f>
        <v>2501201</v>
      </c>
      <c r="C14" s="18"/>
      <c r="E14" s="22" t="s">
        <v>72</v>
      </c>
      <c r="F14" s="54">
        <f>IF(Deepwell!E13="","",Deepwell!E13)</f>
        <v>2501103</v>
      </c>
      <c r="G14" s="18"/>
      <c r="I14" s="22" t="s">
        <v>73</v>
      </c>
      <c r="J14" s="54">
        <f>IF(Deepwell!H13="","",Deepwell!H13)</f>
        <v>2400902</v>
      </c>
      <c r="K14" s="18"/>
      <c r="M14" s="22" t="s">
        <v>74</v>
      </c>
      <c r="N14" s="54">
        <f>IF(Deepwell!K13="","",Deepwell!K13)</f>
        <v>2500830</v>
      </c>
      <c r="O14" s="18"/>
    </row>
    <row r="15" spans="1:15" ht="20.100000000000001" customHeight="1">
      <c r="A15" s="22" t="s">
        <v>75</v>
      </c>
      <c r="B15" s="54">
        <f>IF(Deepwell!C6="","",Deepwell!C6)</f>
        <v>2501524</v>
      </c>
      <c r="C15" s="18"/>
      <c r="E15" s="22" t="s">
        <v>76</v>
      </c>
      <c r="F15" s="54">
        <f>IF(Deepwell!F6="","",Deepwell!F6)</f>
        <v>2501102</v>
      </c>
      <c r="G15" s="18"/>
      <c r="I15" s="22" t="s">
        <v>77</v>
      </c>
      <c r="J15" s="54">
        <f>IF(Deepwell!I6="","",Deepwell!I6)</f>
        <v>2501079</v>
      </c>
      <c r="K15" s="18"/>
      <c r="M15" s="22" t="s">
        <v>78</v>
      </c>
      <c r="N15" s="54">
        <f>IF(Deepwell!L6="","",Deepwell!L6)</f>
        <v>2500808</v>
      </c>
      <c r="O15" s="18"/>
    </row>
    <row r="16" spans="1:15" ht="20.100000000000001" customHeight="1">
      <c r="A16" s="22" t="s">
        <v>79</v>
      </c>
      <c r="B16" s="54">
        <f>IF(Deepwell!C7="","",Deepwell!C7)</f>
        <v>2501525</v>
      </c>
      <c r="C16" s="18"/>
      <c r="E16" s="22" t="s">
        <v>80</v>
      </c>
      <c r="F16" s="54">
        <f>IF(Deepwell!F7="","",Deepwell!F7)</f>
        <v>2501116</v>
      </c>
      <c r="G16" s="18"/>
      <c r="I16" s="22" t="s">
        <v>81</v>
      </c>
      <c r="J16" s="54">
        <f>IF(Deepwell!I7="","",Deepwell!I7)</f>
        <v>2500671</v>
      </c>
      <c r="K16" s="18"/>
      <c r="M16" s="22" t="s">
        <v>82</v>
      </c>
      <c r="N16" s="54">
        <f>IF(Deepwell!L7="","",Deepwell!L7)</f>
        <v>2500996</v>
      </c>
      <c r="O16" s="18"/>
    </row>
    <row r="17" spans="1:15" ht="20.100000000000001" customHeight="1">
      <c r="A17" s="22" t="s">
        <v>83</v>
      </c>
      <c r="B17" s="54">
        <f>IF(Deepwell!C8="","",Deepwell!C8)</f>
        <v>2501542</v>
      </c>
      <c r="C17" s="18"/>
      <c r="E17" s="22" t="s">
        <v>84</v>
      </c>
      <c r="F17" s="54">
        <f>IF(Deepwell!F8="","",Deepwell!F8)</f>
        <v>2501137</v>
      </c>
      <c r="G17" s="18"/>
      <c r="I17" s="22" t="s">
        <v>85</v>
      </c>
      <c r="J17" s="54">
        <f>IF(Deepwell!I8="","",Deepwell!I8)</f>
        <v>2501069</v>
      </c>
      <c r="K17" s="18"/>
      <c r="M17" s="22" t="s">
        <v>86</v>
      </c>
      <c r="N17" s="54">
        <f>IF(Deepwell!L8="","",Deepwell!L8)</f>
        <v>2500804</v>
      </c>
      <c r="O17" s="18"/>
    </row>
    <row r="18" spans="1:15" ht="20.100000000000001" customHeight="1">
      <c r="A18" s="22" t="s">
        <v>87</v>
      </c>
      <c r="B18" s="54">
        <f>IF(Deepwell!C9="","",Deepwell!C9)</f>
        <v>2500759</v>
      </c>
      <c r="C18" s="18"/>
      <c r="E18" s="22" t="s">
        <v>88</v>
      </c>
      <c r="F18" s="54">
        <f>IF(Deepwell!F9="","",Deepwell!F9)</f>
        <v>2500701</v>
      </c>
      <c r="G18" s="18"/>
      <c r="I18" s="22" t="s">
        <v>89</v>
      </c>
      <c r="J18" s="54">
        <f>IF(Deepwell!I9="","",Deepwell!I9)</f>
        <v>2500620</v>
      </c>
      <c r="K18" s="18"/>
      <c r="M18" s="22" t="s">
        <v>90</v>
      </c>
      <c r="N18" s="54">
        <f>IF(Deepwell!L9="","",Deepwell!L9)</f>
        <v>2500923</v>
      </c>
      <c r="O18" s="18"/>
    </row>
    <row r="19" spans="1:15" ht="20.100000000000001" customHeight="1">
      <c r="A19" s="22" t="s">
        <v>91</v>
      </c>
      <c r="B19" s="54">
        <f>IF(Deepwell!C10="","",Deepwell!C10)</f>
        <v>2501066</v>
      </c>
      <c r="C19" s="18"/>
      <c r="E19" s="22" t="s">
        <v>92</v>
      </c>
      <c r="F19" s="54">
        <f>IF(Deepwell!F10="","",Deepwell!F10)</f>
        <v>2500738</v>
      </c>
      <c r="G19" s="18"/>
      <c r="I19" s="22" t="s">
        <v>93</v>
      </c>
      <c r="J19" s="54">
        <f>IF(Deepwell!I10="","",Deepwell!I10)</f>
        <v>2500615</v>
      </c>
      <c r="K19" s="18"/>
      <c r="M19" s="22" t="s">
        <v>94</v>
      </c>
      <c r="N19" s="54">
        <f>IF(Deepwell!L10="","",Deepwell!L10)</f>
        <v>2402981</v>
      </c>
      <c r="O19" s="18"/>
    </row>
    <row r="20" spans="1:15" ht="20.100000000000001" customHeight="1">
      <c r="A20" s="22" t="s">
        <v>95</v>
      </c>
      <c r="B20" s="54">
        <f>IF(Deepwell!C11="","",Deepwell!C11)</f>
        <v>2501052</v>
      </c>
      <c r="C20" s="18"/>
      <c r="E20" s="22" t="s">
        <v>96</v>
      </c>
      <c r="F20" s="54">
        <f>IF(Deepwell!F11="","",Deepwell!F11)</f>
        <v>2501086</v>
      </c>
      <c r="G20" s="18"/>
      <c r="I20" s="22" t="s">
        <v>97</v>
      </c>
      <c r="J20" s="54">
        <f>IF(Deepwell!I11="","",Deepwell!I11)</f>
        <v>2500601</v>
      </c>
      <c r="K20" s="18"/>
      <c r="M20" s="22" t="s">
        <v>98</v>
      </c>
      <c r="N20" s="54">
        <f>IF(Deepwell!L11="","",Deepwell!L11)</f>
        <v>2501995</v>
      </c>
      <c r="O20" s="18"/>
    </row>
    <row r="21" spans="1:15" ht="20.100000000000001" customHeight="1">
      <c r="A21" s="22" t="s">
        <v>99</v>
      </c>
      <c r="B21" s="54">
        <f>IF(Deepwell!C12="","",Deepwell!C12)</f>
        <v>2501073</v>
      </c>
      <c r="C21" s="18"/>
      <c r="E21" s="22" t="s">
        <v>100</v>
      </c>
      <c r="F21" s="54">
        <f>IF(Deepwell!F12="","",Deepwell!F12)</f>
        <v>2501070</v>
      </c>
      <c r="G21" s="18"/>
      <c r="I21" s="22" t="s">
        <v>101</v>
      </c>
      <c r="J21" s="54">
        <f>IF(Deepwell!I12="","",Deepwell!I12)</f>
        <v>2500619</v>
      </c>
      <c r="K21" s="18"/>
      <c r="M21" s="22" t="s">
        <v>102</v>
      </c>
      <c r="N21" s="54">
        <f>IF(Deepwell!L12="","",Deepwell!L12)</f>
        <v>2501914</v>
      </c>
      <c r="O21" s="18"/>
    </row>
    <row r="22" spans="1:15" ht="20.100000000000001" customHeight="1">
      <c r="A22" s="22" t="s">
        <v>103</v>
      </c>
      <c r="B22" s="54">
        <f>IF(Deepwell!C13="","",Deepwell!C13)</f>
        <v>2501062</v>
      </c>
      <c r="C22" s="18"/>
      <c r="E22" s="22" t="s">
        <v>104</v>
      </c>
      <c r="F22" s="54">
        <f>IF(Deepwell!F13="","",Deepwell!F13)</f>
        <v>2501094</v>
      </c>
      <c r="G22" s="18"/>
      <c r="I22" s="22" t="s">
        <v>105</v>
      </c>
      <c r="J22" s="54">
        <f>IF(Deepwell!I13="","",Deepwell!I13)</f>
        <v>2501210</v>
      </c>
      <c r="K22" s="18"/>
      <c r="M22" s="22" t="s">
        <v>106</v>
      </c>
      <c r="N22" s="54">
        <f>IF(Deepwell!L13="","",Deepwell!L13)</f>
        <v>2501223</v>
      </c>
      <c r="O22" s="18"/>
    </row>
    <row r="23" spans="1:15" ht="20.100000000000001" customHeight="1">
      <c r="A23" s="22" t="s">
        <v>107</v>
      </c>
      <c r="B23" s="54">
        <f>IF(Deepwell!D6="","",Deepwell!D6)</f>
        <v>2501136</v>
      </c>
      <c r="C23" s="18"/>
      <c r="E23" s="22" t="s">
        <v>108</v>
      </c>
      <c r="F23" s="54">
        <f>IF(Deepwell!G6="","",Deepwell!G6)</f>
        <v>2501115</v>
      </c>
      <c r="G23" s="18"/>
      <c r="I23" s="22" t="s">
        <v>109</v>
      </c>
      <c r="J23" s="54">
        <f>IF(Deepwell!J6="","",Deepwell!J6)</f>
        <v>2501259</v>
      </c>
      <c r="K23" s="18"/>
      <c r="M23" s="22" t="s">
        <v>110</v>
      </c>
      <c r="N23" s="54">
        <f>IF(Deepwell!M6="","",Deepwell!M6)</f>
        <v>2500145</v>
      </c>
      <c r="O23" s="18"/>
    </row>
    <row r="24" spans="1:15" ht="20.100000000000001" customHeight="1">
      <c r="A24" s="22" t="s">
        <v>111</v>
      </c>
      <c r="B24" s="54">
        <f>IF(Deepwell!D7="","",Deepwell!D7)</f>
        <v>2500753</v>
      </c>
      <c r="C24" s="18"/>
      <c r="E24" s="22" t="s">
        <v>112</v>
      </c>
      <c r="F24" s="54">
        <f>IF(Deepwell!G7="","",Deepwell!G7)</f>
        <v>2501134</v>
      </c>
      <c r="G24" s="18"/>
      <c r="I24" s="22" t="s">
        <v>113</v>
      </c>
      <c r="J24" s="54">
        <f>IF(Deepwell!J7="","",Deepwell!J7)</f>
        <v>2501204</v>
      </c>
      <c r="K24" s="18"/>
      <c r="M24" s="22" t="s">
        <v>114</v>
      </c>
      <c r="N24" s="54">
        <f>IF(Deepwell!M7="","",Deepwell!M7)</f>
        <v>2500074</v>
      </c>
      <c r="O24" s="18"/>
    </row>
    <row r="25" spans="1:15" ht="20.100000000000001" customHeight="1">
      <c r="A25" s="22" t="s">
        <v>115</v>
      </c>
      <c r="B25" s="54">
        <f>IF(Deepwell!D8="","",Deepwell!D8)</f>
        <v>2500702</v>
      </c>
      <c r="C25" s="18"/>
      <c r="E25" s="22" t="s">
        <v>116</v>
      </c>
      <c r="F25" s="54">
        <f>IF(Deepwell!G8="","",Deepwell!G8)</f>
        <v>2501121</v>
      </c>
      <c r="G25" s="18"/>
      <c r="I25" s="22" t="s">
        <v>117</v>
      </c>
      <c r="J25" s="54">
        <f>IF(Deepwell!J8="","",Deepwell!J8)</f>
        <v>2501249</v>
      </c>
      <c r="K25" s="18"/>
      <c r="M25" s="22" t="s">
        <v>118</v>
      </c>
      <c r="N25" s="54">
        <f>IF(Deepwell!M8="","",Deepwell!M8)</f>
        <v>2501219</v>
      </c>
      <c r="O25" s="18"/>
    </row>
    <row r="26" spans="1:15" ht="20.100000000000001" customHeight="1">
      <c r="A26" s="22" t="s">
        <v>119</v>
      </c>
      <c r="B26" s="54">
        <f>IF(Deepwell!D9="","",Deepwell!D9)</f>
        <v>2500762</v>
      </c>
      <c r="C26" s="18"/>
      <c r="E26" s="22" t="s">
        <v>120</v>
      </c>
      <c r="F26" s="54">
        <f>IF(Deepwell!G9="","",Deepwell!G9)</f>
        <v>2501133</v>
      </c>
      <c r="G26" s="18"/>
      <c r="I26" s="22" t="s">
        <v>121</v>
      </c>
      <c r="J26" s="54">
        <f>IF(Deepwell!J9="","",Deepwell!J9)</f>
        <v>2500107</v>
      </c>
      <c r="K26" s="18"/>
      <c r="M26" s="22" t="s">
        <v>122</v>
      </c>
      <c r="N26" s="54">
        <f>IF(Deepwell!M9="","",Deepwell!M9)</f>
        <v>2501217</v>
      </c>
      <c r="O26" s="18"/>
    </row>
    <row r="27" spans="1:15" ht="20.100000000000001" customHeight="1">
      <c r="A27" s="22" t="s">
        <v>123</v>
      </c>
      <c r="B27" s="54">
        <f>IF(Deepwell!D10="","",Deepwell!D10)</f>
        <v>2500760</v>
      </c>
      <c r="C27" s="18"/>
      <c r="E27" s="22" t="s">
        <v>124</v>
      </c>
      <c r="F27" s="54">
        <f>IF(Deepwell!G10="","",Deepwell!G10)</f>
        <v>2501132</v>
      </c>
      <c r="G27" s="18"/>
      <c r="I27" s="22" t="s">
        <v>125</v>
      </c>
      <c r="J27" s="54">
        <f>IF(Deepwell!J10="","",Deepwell!J10)</f>
        <v>2500015</v>
      </c>
      <c r="K27" s="18"/>
      <c r="M27" s="22" t="s">
        <v>126</v>
      </c>
      <c r="N27" s="54">
        <f>IF(Deepwell!M10="","",Deepwell!M10)</f>
        <v>2501218</v>
      </c>
      <c r="O27" s="18"/>
    </row>
    <row r="28" spans="1:15" ht="20.100000000000001" customHeight="1">
      <c r="A28" s="22" t="s">
        <v>127</v>
      </c>
      <c r="B28" s="54" t="str">
        <f>IF(Deepwell!D11="","",Deepwell!D11)</f>
        <v>CC</v>
      </c>
      <c r="C28" s="16"/>
      <c r="E28" s="22" t="s">
        <v>128</v>
      </c>
      <c r="F28" s="54" t="str">
        <f>IF(Deepwell!G11="","",Deepwell!G11)</f>
        <v>CC</v>
      </c>
      <c r="G28" s="16"/>
      <c r="I28" s="22" t="s">
        <v>129</v>
      </c>
      <c r="J28" s="54" t="str">
        <f>IF(Deepwell!J11="","",Deepwell!J11)</f>
        <v>CC</v>
      </c>
      <c r="K28" s="16"/>
      <c r="M28" s="22" t="s">
        <v>130</v>
      </c>
      <c r="N28" s="54" t="str">
        <f>IF(Deepwell!M11="","",Deepwell!M11)</f>
        <v>CC</v>
      </c>
      <c r="O28" s="16"/>
    </row>
    <row r="29" spans="1:15" ht="20.100000000000001" customHeight="1">
      <c r="A29" s="38" t="s">
        <v>131</v>
      </c>
      <c r="B29" s="54" t="str">
        <f>IF(Deepwell!D12="","",Deepwell!D12)</f>
        <v>CP</v>
      </c>
      <c r="C29" s="16"/>
      <c r="E29" s="38" t="s">
        <v>132</v>
      </c>
      <c r="F29" s="54" t="str">
        <f>IF(Deepwell!G12="","",Deepwell!G12)</f>
        <v>CP</v>
      </c>
      <c r="G29" s="16"/>
      <c r="I29" s="38" t="s">
        <v>133</v>
      </c>
      <c r="J29" s="54" t="str">
        <f>IF(Deepwell!J12="","",Deepwell!J12)</f>
        <v>CP</v>
      </c>
      <c r="K29" s="16"/>
      <c r="M29" s="38" t="s">
        <v>134</v>
      </c>
      <c r="N29" s="54" t="str">
        <f>IF(Deepwell!M12="","",Deepwell!M12)</f>
        <v>CP</v>
      </c>
      <c r="O29" s="16"/>
    </row>
    <row r="30" spans="1:15" ht="20.100000000000001" customHeight="1" thickBot="1">
      <c r="A30" s="39" t="s">
        <v>135</v>
      </c>
      <c r="B30" s="55" t="str">
        <f>IF(Deepwell!D13="","",Deepwell!D13)</f>
        <v>CN</v>
      </c>
      <c r="C30" s="17"/>
      <c r="E30" s="39" t="s">
        <v>136</v>
      </c>
      <c r="F30" s="55" t="str">
        <f>IF(Deepwell!G13="","",Deepwell!G13)</f>
        <v>CN</v>
      </c>
      <c r="G30" s="17"/>
      <c r="I30" s="39" t="s">
        <v>137</v>
      </c>
      <c r="J30" s="55" t="str">
        <f>IF(Deepwell!J13="","",Deepwell!J13)</f>
        <v>CN</v>
      </c>
      <c r="K30" s="17"/>
      <c r="M30" s="39" t="s">
        <v>138</v>
      </c>
      <c r="N30" s="55" t="str">
        <f>IF(Deepwell!M13="","",Deepwell!M13)</f>
        <v>CN</v>
      </c>
      <c r="O30" s="17"/>
    </row>
    <row r="31" spans="1:15" ht="15.75" thickTop="1"/>
    <row r="32" spans="1:15">
      <c r="A32" t="s">
        <v>139</v>
      </c>
    </row>
    <row r="33" spans="1:1">
      <c r="A33" t="s">
        <v>140</v>
      </c>
    </row>
    <row r="34" spans="1:1">
      <c r="A34" t="s">
        <v>141</v>
      </c>
    </row>
  </sheetData>
  <sheetProtection algorithmName="SHA-512" hashValue="fBn7juDneKRzZwbBOAFXdFYtdmxGNCbCe/ZhODWM8Y2YBLiTklgEIQ3DxPXLUyBU2HnyRWwftIQzgWF8zlmLOw==" saltValue="HTrboYcBs4o1jz+xhqvS1g==" spinCount="100000" sheet="1" selectLockedCells="1"/>
  <mergeCells count="4">
    <mergeCell ref="M5:N5"/>
    <mergeCell ref="A5:B5"/>
    <mergeCell ref="E5:F5"/>
    <mergeCell ref="I5:J5"/>
  </mergeCells>
  <phoneticPr fontId="6" type="noConversion"/>
  <pageMargins left="0.7" right="0.7" top="0.75" bottom="0.75" header="0.3" footer="0.3"/>
  <pageSetup paperSize="9" orientation="portrait" r:id="rId1"/>
  <colBreaks count="3" manualBreakCount="3">
    <brk id="3" max="1048575" man="1"/>
    <brk id="7" max="1048575" man="1"/>
    <brk id="11" max="1048575" man="1"/>
  </colBreaks>
  <ignoredErrors>
    <ignoredError sqref="B7 F7:F30 J7:J30 N7:N30 B27:B30 B9:B26" unlockedFormula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AM57"/>
  <sheetViews>
    <sheetView topLeftCell="A34" zoomScaleNormal="100" workbookViewId="0">
      <selection activeCell="J56" sqref="J56"/>
    </sheetView>
  </sheetViews>
  <sheetFormatPr defaultColWidth="10.85546875" defaultRowHeight="15"/>
  <cols>
    <col min="1" max="1" width="5.42578125" customWidth="1"/>
    <col min="4" max="5" width="11.5703125" bestFit="1" customWidth="1"/>
  </cols>
  <sheetData>
    <row r="1" spans="1:17" ht="18.75">
      <c r="A1" s="2" t="s">
        <v>0</v>
      </c>
      <c r="B1" s="2"/>
      <c r="C1" s="2"/>
    </row>
    <row r="2" spans="1:17" ht="18.75">
      <c r="A2" s="2"/>
      <c r="B2" s="2"/>
      <c r="C2" s="2"/>
    </row>
    <row r="3" spans="1:17" ht="18.75">
      <c r="A3" s="2" t="s">
        <v>142</v>
      </c>
      <c r="B3" s="2"/>
      <c r="C3" s="2"/>
    </row>
    <row r="4" spans="1:17" ht="18.75">
      <c r="A4" s="2"/>
      <c r="B4" s="2"/>
      <c r="C4" s="2"/>
    </row>
    <row r="5" spans="1:17" ht="20.100000000000001" customHeight="1">
      <c r="A5" s="75" t="s">
        <v>143</v>
      </c>
      <c r="B5" s="76"/>
      <c r="C5" s="65">
        <f>IF(Batch!C6="","",Batch!C6)</f>
        <v>45989</v>
      </c>
      <c r="E5" s="25" t="s">
        <v>144</v>
      </c>
      <c r="F5" s="78" t="str">
        <f>IF(Batch!C5="","",Batch!C5)</f>
        <v>DP/DA</v>
      </c>
      <c r="G5" s="79"/>
      <c r="H5" s="80"/>
    </row>
    <row r="6" spans="1:17" ht="20.100000000000001" customHeight="1">
      <c r="A6" s="75" t="s">
        <v>145</v>
      </c>
      <c r="B6" s="76"/>
      <c r="C6" s="66" t="str">
        <f>IF(Batch!C7="","",Batch!C7)</f>
        <v>LOUIS</v>
      </c>
    </row>
    <row r="7" spans="1:17" ht="20.100000000000001" customHeight="1">
      <c r="A7" s="75" t="s">
        <v>146</v>
      </c>
      <c r="B7" s="76"/>
      <c r="C7" s="67">
        <f>IF(Batch!C18="","",Batch!C18)</f>
        <v>240411</v>
      </c>
    </row>
    <row r="8" spans="1:17" ht="20.100000000000001" customHeight="1">
      <c r="A8" s="75" t="s">
        <v>147</v>
      </c>
      <c r="B8" s="76"/>
      <c r="C8" s="67" t="str">
        <f>IF(Batch!C28="","",Batch!C28)</f>
        <v/>
      </c>
    </row>
    <row r="9" spans="1:17" ht="17.100000000000001" customHeight="1">
      <c r="A9" s="77" t="s">
        <v>148</v>
      </c>
      <c r="B9" s="77"/>
      <c r="C9" s="68" t="s">
        <v>149</v>
      </c>
    </row>
    <row r="10" spans="1:17" s="8" customFormat="1">
      <c r="A10"/>
      <c r="B10"/>
      <c r="C10" s="3"/>
      <c r="D10"/>
      <c r="E10"/>
      <c r="F10"/>
      <c r="G10"/>
      <c r="H10"/>
      <c r="I10"/>
      <c r="J10"/>
      <c r="K10"/>
      <c r="L10"/>
      <c r="M10"/>
      <c r="N10"/>
      <c r="O10"/>
    </row>
    <row r="11" spans="1:17" s="8" customFormat="1">
      <c r="A11" s="9" t="s">
        <v>150</v>
      </c>
      <c r="B11"/>
      <c r="C11" s="3"/>
      <c r="D11"/>
      <c r="E11"/>
      <c r="F11"/>
      <c r="G11"/>
      <c r="H11"/>
      <c r="I11"/>
      <c r="J11"/>
      <c r="K11"/>
      <c r="L11"/>
      <c r="M11"/>
      <c r="N11"/>
      <c r="O11"/>
    </row>
    <row r="12" spans="1:17" s="8" customFormat="1">
      <c r="A12"/>
      <c r="B12"/>
      <c r="C12"/>
      <c r="D12"/>
      <c r="E12"/>
      <c r="F12"/>
      <c r="G12"/>
      <c r="H12"/>
      <c r="I12"/>
      <c r="J12"/>
      <c r="K12"/>
      <c r="L12"/>
      <c r="M12"/>
      <c r="N12"/>
      <c r="O12"/>
    </row>
    <row r="13" spans="1:17" s="8" customFormat="1">
      <c r="A13" s="10"/>
      <c r="B13" s="36">
        <v>1</v>
      </c>
      <c r="C13" s="36">
        <v>2</v>
      </c>
      <c r="D13" s="36">
        <v>3</v>
      </c>
      <c r="E13" s="36">
        <v>4</v>
      </c>
      <c r="F13" s="36">
        <v>5</v>
      </c>
      <c r="G13" s="36">
        <v>6</v>
      </c>
      <c r="H13" s="36">
        <v>7</v>
      </c>
      <c r="I13" s="36">
        <v>8</v>
      </c>
      <c r="J13" s="36">
        <v>9</v>
      </c>
      <c r="K13" s="36">
        <v>10</v>
      </c>
      <c r="L13" s="36">
        <v>11</v>
      </c>
      <c r="M13" s="36">
        <v>12</v>
      </c>
      <c r="N13"/>
      <c r="O13"/>
    </row>
    <row r="14" spans="1:17" s="8" customFormat="1">
      <c r="A14" s="12" t="s">
        <v>24</v>
      </c>
      <c r="B14" s="27">
        <v>7.8E-2</v>
      </c>
      <c r="C14" s="28">
        <v>0.13</v>
      </c>
      <c r="D14" s="28">
        <v>6.6000000000000003E-2</v>
      </c>
      <c r="E14" s="28">
        <v>7.4999999999999997E-2</v>
      </c>
      <c r="F14" s="28">
        <v>0.14099999999999999</v>
      </c>
      <c r="G14" s="28">
        <v>6.7000000000000004E-2</v>
      </c>
      <c r="H14" s="28">
        <v>7.1999999999999995E-2</v>
      </c>
      <c r="I14" s="28">
        <v>6.8000000000000005E-2</v>
      </c>
      <c r="J14" s="28">
        <v>0.05</v>
      </c>
      <c r="K14" s="28">
        <v>7.9000000000000001E-2</v>
      </c>
      <c r="L14" s="28">
        <v>6.3E-2</v>
      </c>
      <c r="M14" s="29">
        <v>5.0999999999999997E-2</v>
      </c>
      <c r="N14"/>
      <c r="O14" s="13"/>
      <c r="P14" s="13"/>
      <c r="Q14" s="13"/>
    </row>
    <row r="15" spans="1:17" s="8" customFormat="1">
      <c r="A15" s="12" t="s">
        <v>25</v>
      </c>
      <c r="B15" s="30">
        <v>6.7000000000000004E-2</v>
      </c>
      <c r="C15" s="31">
        <v>6.4000000000000001E-2</v>
      </c>
      <c r="D15" s="31">
        <v>0.14000000000000001</v>
      </c>
      <c r="E15" s="31">
        <v>6.9000000000000006E-2</v>
      </c>
      <c r="F15" s="31">
        <v>6.6000000000000003E-2</v>
      </c>
      <c r="G15" s="31">
        <v>0.13100000000000001</v>
      </c>
      <c r="H15" s="31">
        <v>4.4999999999999998E-2</v>
      </c>
      <c r="I15" s="31">
        <v>5.0999999999999997E-2</v>
      </c>
      <c r="J15" s="31">
        <v>0.105</v>
      </c>
      <c r="K15" s="31">
        <v>5.1999999999999998E-2</v>
      </c>
      <c r="L15" s="31">
        <v>5.1999999999999998E-2</v>
      </c>
      <c r="M15" s="32">
        <v>0.109</v>
      </c>
      <c r="N15"/>
      <c r="O15" s="13"/>
      <c r="P15" s="13"/>
      <c r="Q15" s="13"/>
    </row>
    <row r="16" spans="1:17" s="8" customFormat="1">
      <c r="A16" s="12" t="s">
        <v>26</v>
      </c>
      <c r="B16" s="30">
        <v>0.252</v>
      </c>
      <c r="C16" s="31">
        <v>5.2999999999999999E-2</v>
      </c>
      <c r="D16" s="31">
        <v>9.7000000000000003E-2</v>
      </c>
      <c r="E16" s="31">
        <v>0.27</v>
      </c>
      <c r="F16" s="31">
        <v>5.0999999999999997E-2</v>
      </c>
      <c r="G16" s="31">
        <v>9.8000000000000004E-2</v>
      </c>
      <c r="H16" s="31">
        <v>8.8999999999999996E-2</v>
      </c>
      <c r="I16" s="31">
        <v>3.7999999999999999E-2</v>
      </c>
      <c r="J16" s="31">
        <v>4.5999999999999999E-2</v>
      </c>
      <c r="K16" s="31">
        <v>0.09</v>
      </c>
      <c r="L16" s="31">
        <v>3.9E-2</v>
      </c>
      <c r="M16" s="32">
        <v>4.4999999999999998E-2</v>
      </c>
      <c r="N16"/>
      <c r="O16" s="13"/>
      <c r="P16" s="13"/>
      <c r="Q16" s="13"/>
    </row>
    <row r="17" spans="1:39" s="8" customFormat="1">
      <c r="A17" s="12" t="s">
        <v>27</v>
      </c>
      <c r="B17" s="30">
        <v>0.14699999999999999</v>
      </c>
      <c r="C17" s="31">
        <v>8.2000000000000003E-2</v>
      </c>
      <c r="D17" s="31">
        <v>6.8000000000000005E-2</v>
      </c>
      <c r="E17" s="31">
        <v>0.14499999999999999</v>
      </c>
      <c r="F17" s="31">
        <v>8.4000000000000005E-2</v>
      </c>
      <c r="G17" s="31">
        <v>6.4000000000000001E-2</v>
      </c>
      <c r="H17" s="31">
        <v>0.104</v>
      </c>
      <c r="I17" s="31">
        <v>7.2999999999999995E-2</v>
      </c>
      <c r="J17" s="31">
        <v>5.8000000000000003E-2</v>
      </c>
      <c r="K17" s="31">
        <v>9.5000000000000001E-2</v>
      </c>
      <c r="L17" s="31">
        <v>8.1000000000000003E-2</v>
      </c>
      <c r="M17" s="32">
        <v>0.06</v>
      </c>
      <c r="N17"/>
      <c r="O17" s="13"/>
      <c r="P17" s="13"/>
      <c r="Q17" s="13"/>
    </row>
    <row r="18" spans="1:39" s="8" customFormat="1">
      <c r="A18" s="12" t="s">
        <v>28</v>
      </c>
      <c r="B18" s="30">
        <v>0.16900000000000001</v>
      </c>
      <c r="C18" s="31">
        <v>0.106</v>
      </c>
      <c r="D18" s="31">
        <v>0.08</v>
      </c>
      <c r="E18" s="31">
        <v>0.17100000000000001</v>
      </c>
      <c r="F18" s="31">
        <v>0.113</v>
      </c>
      <c r="G18" s="31">
        <v>7.4999999999999997E-2</v>
      </c>
      <c r="H18" s="31">
        <v>4.7E-2</v>
      </c>
      <c r="I18" s="31">
        <v>6.2E-2</v>
      </c>
      <c r="J18" s="31">
        <v>8.4000000000000005E-2</v>
      </c>
      <c r="K18" s="31">
        <v>0.05</v>
      </c>
      <c r="L18" s="31">
        <v>6.4000000000000001E-2</v>
      </c>
      <c r="M18" s="32">
        <v>8.6999999999999994E-2</v>
      </c>
      <c r="N18"/>
      <c r="O18" s="13"/>
      <c r="P18" s="13"/>
      <c r="Q18" s="13"/>
    </row>
    <row r="19" spans="1:39" s="8" customFormat="1">
      <c r="A19" s="12" t="s">
        <v>29</v>
      </c>
      <c r="B19" s="30">
        <v>5.5E-2</v>
      </c>
      <c r="C19" s="31">
        <v>0.05</v>
      </c>
      <c r="D19" s="31">
        <v>1.4E-2</v>
      </c>
      <c r="E19" s="31">
        <v>0.05</v>
      </c>
      <c r="F19" s="31">
        <v>4.9000000000000002E-2</v>
      </c>
      <c r="G19" s="31">
        <v>1.7000000000000001E-2</v>
      </c>
      <c r="H19" s="31">
        <v>4.5999999999999999E-2</v>
      </c>
      <c r="I19" s="31">
        <v>5.1999999999999998E-2</v>
      </c>
      <c r="J19" s="31">
        <v>1.4E-2</v>
      </c>
      <c r="K19" s="31">
        <v>4.5999999999999999E-2</v>
      </c>
      <c r="L19" s="31">
        <v>4.7E-2</v>
      </c>
      <c r="M19" s="32">
        <v>1.0999999999999999E-2</v>
      </c>
      <c r="N19"/>
      <c r="O19" s="13"/>
      <c r="P19" s="13"/>
      <c r="Q19" s="13"/>
    </row>
    <row r="20" spans="1:39" s="8" customFormat="1">
      <c r="A20" s="12" t="s">
        <v>31</v>
      </c>
      <c r="B20" s="30">
        <v>5.5E-2</v>
      </c>
      <c r="C20" s="31">
        <v>0.113</v>
      </c>
      <c r="D20" s="31">
        <v>0.69599999999999995</v>
      </c>
      <c r="E20" s="31">
        <v>5.8999999999999997E-2</v>
      </c>
      <c r="F20" s="31">
        <v>0.125</v>
      </c>
      <c r="G20" s="31">
        <v>0.69899999999999995</v>
      </c>
      <c r="H20" s="31">
        <v>0.04</v>
      </c>
      <c r="I20" s="31">
        <v>8.1000000000000003E-2</v>
      </c>
      <c r="J20" s="31">
        <v>1.7000000000000001E-2</v>
      </c>
      <c r="K20" s="31">
        <v>4.2999999999999997E-2</v>
      </c>
      <c r="L20" s="31">
        <v>8.1000000000000003E-2</v>
      </c>
      <c r="M20" s="32">
        <v>1.2E-2</v>
      </c>
      <c r="N20"/>
      <c r="O20" s="13"/>
      <c r="P20" s="13"/>
      <c r="Q20" s="13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</row>
    <row r="21" spans="1:39" s="1" customFormat="1">
      <c r="A21" s="11" t="s">
        <v>33</v>
      </c>
      <c r="B21" s="33">
        <v>0.189</v>
      </c>
      <c r="C21" s="34">
        <v>7.2999999999999995E-2</v>
      </c>
      <c r="D21" s="34">
        <v>2.4E-2</v>
      </c>
      <c r="E21" s="34">
        <v>0.19400000000000001</v>
      </c>
      <c r="F21" s="34">
        <v>7.0999999999999994E-2</v>
      </c>
      <c r="G21" s="34">
        <v>0.02</v>
      </c>
      <c r="H21" s="34">
        <v>7.5999999999999998E-2</v>
      </c>
      <c r="I21" s="34">
        <v>4.9000000000000002E-2</v>
      </c>
      <c r="J21" s="34">
        <v>2.1999999999999999E-2</v>
      </c>
      <c r="K21" s="34">
        <v>7.1999999999999995E-2</v>
      </c>
      <c r="L21" s="34">
        <v>5.1999999999999998E-2</v>
      </c>
      <c r="M21" s="35">
        <v>2.5999999999999999E-2</v>
      </c>
      <c r="N21"/>
      <c r="O21" s="13"/>
      <c r="P21" s="13"/>
      <c r="Q21" s="13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</row>
    <row r="23" spans="1:39">
      <c r="A23" s="9" t="s">
        <v>151</v>
      </c>
      <c r="C23" s="3"/>
    </row>
    <row r="25" spans="1:39">
      <c r="A25" s="10"/>
      <c r="B25" s="36">
        <v>1</v>
      </c>
      <c r="C25" s="36">
        <v>2</v>
      </c>
      <c r="D25" s="36">
        <v>3</v>
      </c>
      <c r="E25" s="36">
        <v>4</v>
      </c>
      <c r="F25" s="36">
        <v>5</v>
      </c>
      <c r="G25" s="36">
        <v>6</v>
      </c>
      <c r="H25" s="36">
        <v>7</v>
      </c>
      <c r="I25" s="36">
        <v>8</v>
      </c>
      <c r="J25" s="36">
        <v>9</v>
      </c>
      <c r="K25" s="36">
        <v>10</v>
      </c>
      <c r="L25" s="36">
        <v>11</v>
      </c>
      <c r="M25" s="36">
        <v>12</v>
      </c>
    </row>
    <row r="26" spans="1:39">
      <c r="A26" s="12" t="s">
        <v>24</v>
      </c>
      <c r="B26" s="27">
        <v>0.16900000000000001</v>
      </c>
      <c r="C26" s="28">
        <v>0.06</v>
      </c>
      <c r="D26" s="28">
        <v>0.114</v>
      </c>
      <c r="E26" s="28">
        <v>0.214</v>
      </c>
      <c r="F26" s="28">
        <v>6.0999999999999999E-2</v>
      </c>
      <c r="G26" s="28">
        <v>0.114</v>
      </c>
      <c r="H26" s="28">
        <v>5.8999999999999997E-2</v>
      </c>
      <c r="I26" s="28">
        <v>3.7999999999999999E-2</v>
      </c>
      <c r="J26" s="28">
        <v>7.4999999999999997E-2</v>
      </c>
      <c r="K26" s="28">
        <v>6.5000000000000002E-2</v>
      </c>
      <c r="L26" s="28">
        <v>3.7999999999999999E-2</v>
      </c>
      <c r="M26" s="29">
        <v>7.6999999999999999E-2</v>
      </c>
    </row>
    <row r="27" spans="1:39">
      <c r="A27" s="12" t="s">
        <v>25</v>
      </c>
      <c r="B27" s="30">
        <v>6.5000000000000002E-2</v>
      </c>
      <c r="C27" s="31">
        <v>1.4630000000000001</v>
      </c>
      <c r="D27" s="31">
        <v>0.15</v>
      </c>
      <c r="E27" s="31">
        <v>6.7000000000000004E-2</v>
      </c>
      <c r="F27" s="31">
        <v>1.49</v>
      </c>
      <c r="G27" s="31">
        <v>0.113</v>
      </c>
      <c r="H27" s="31">
        <v>3.3000000000000002E-2</v>
      </c>
      <c r="I27" s="31">
        <v>4.7E-2</v>
      </c>
      <c r="J27" s="31">
        <v>7.1999999999999995E-2</v>
      </c>
      <c r="K27" s="31">
        <v>3.7999999999999999E-2</v>
      </c>
      <c r="L27" s="31">
        <v>4.8000000000000001E-2</v>
      </c>
      <c r="M27" s="32">
        <v>8.5999999999999993E-2</v>
      </c>
    </row>
    <row r="28" spans="1:39">
      <c r="A28" s="12" t="s">
        <v>26</v>
      </c>
      <c r="B28" s="30">
        <v>9.5000000000000001E-2</v>
      </c>
      <c r="C28" s="31">
        <v>4.9000000000000002E-2</v>
      </c>
      <c r="D28" s="31">
        <v>0.23400000000000001</v>
      </c>
      <c r="E28" s="31">
        <v>0.105</v>
      </c>
      <c r="F28" s="31">
        <v>4.2000000000000003E-2</v>
      </c>
      <c r="G28" s="31">
        <v>0.24299999999999999</v>
      </c>
      <c r="H28" s="31">
        <v>5.0999999999999997E-2</v>
      </c>
      <c r="I28" s="31">
        <v>4.2000000000000003E-2</v>
      </c>
      <c r="J28" s="31">
        <v>6.0999999999999999E-2</v>
      </c>
      <c r="K28" s="31">
        <v>5.5E-2</v>
      </c>
      <c r="L28" s="31">
        <v>0.04</v>
      </c>
      <c r="M28" s="32">
        <v>6.5000000000000002E-2</v>
      </c>
    </row>
    <row r="29" spans="1:39">
      <c r="A29" s="12" t="s">
        <v>27</v>
      </c>
      <c r="B29" s="30">
        <v>9.5000000000000001E-2</v>
      </c>
      <c r="C29" s="31">
        <v>7.0000000000000007E-2</v>
      </c>
      <c r="D29" s="31">
        <v>4.4999999999999998E-2</v>
      </c>
      <c r="E29" s="31">
        <v>0.105</v>
      </c>
      <c r="F29" s="31">
        <v>7.6999999999999999E-2</v>
      </c>
      <c r="G29" s="31">
        <v>4.5999999999999999E-2</v>
      </c>
      <c r="H29" s="31">
        <v>5.8000000000000003E-2</v>
      </c>
      <c r="I29" s="31">
        <v>4.9000000000000002E-2</v>
      </c>
      <c r="J29" s="31">
        <v>3.5999999999999997E-2</v>
      </c>
      <c r="K29" s="31">
        <v>4.9000000000000002E-2</v>
      </c>
      <c r="L29" s="31">
        <v>6.0999999999999999E-2</v>
      </c>
      <c r="M29" s="32">
        <v>4.2000000000000003E-2</v>
      </c>
    </row>
    <row r="30" spans="1:39">
      <c r="A30" s="12" t="s">
        <v>28</v>
      </c>
      <c r="B30" s="30">
        <v>0.109</v>
      </c>
      <c r="C30" s="31">
        <v>9.2999999999999999E-2</v>
      </c>
      <c r="D30" s="31">
        <v>4.7E-2</v>
      </c>
      <c r="E30" s="31">
        <v>0.12</v>
      </c>
      <c r="F30" s="31">
        <v>0.09</v>
      </c>
      <c r="G30" s="31">
        <v>4.1000000000000002E-2</v>
      </c>
      <c r="H30" s="31">
        <v>6.3E-2</v>
      </c>
      <c r="I30" s="31">
        <v>5.8000000000000003E-2</v>
      </c>
      <c r="J30" s="31">
        <v>4.7E-2</v>
      </c>
      <c r="K30" s="31">
        <v>6.3E-2</v>
      </c>
      <c r="L30" s="31">
        <v>6.0999999999999999E-2</v>
      </c>
      <c r="M30" s="32">
        <v>4.9000000000000002E-2</v>
      </c>
    </row>
    <row r="31" spans="1:39">
      <c r="A31" s="12" t="s">
        <v>29</v>
      </c>
      <c r="B31" s="30">
        <v>0.14000000000000001</v>
      </c>
      <c r="C31" s="31">
        <v>7.1999999999999995E-2</v>
      </c>
      <c r="D31" s="31">
        <v>1.4999999999999999E-2</v>
      </c>
      <c r="E31" s="31">
        <v>0.161</v>
      </c>
      <c r="F31" s="31">
        <v>0.08</v>
      </c>
      <c r="G31" s="31">
        <v>1.9E-2</v>
      </c>
      <c r="H31" s="31">
        <v>5.8000000000000003E-2</v>
      </c>
      <c r="I31" s="31">
        <v>3.5999999999999997E-2</v>
      </c>
      <c r="J31" s="31">
        <v>1.4E-2</v>
      </c>
      <c r="K31" s="31">
        <v>5.5E-2</v>
      </c>
      <c r="L31" s="31">
        <v>3.9E-2</v>
      </c>
      <c r="M31" s="32">
        <v>1.0999999999999999E-2</v>
      </c>
    </row>
    <row r="32" spans="1:39">
      <c r="A32" s="12" t="s">
        <v>31</v>
      </c>
      <c r="B32" s="30">
        <v>0.104</v>
      </c>
      <c r="C32" s="31">
        <v>0.21199999999999999</v>
      </c>
      <c r="D32" s="31">
        <v>0.63900000000000001</v>
      </c>
      <c r="E32" s="31">
        <v>0.125</v>
      </c>
      <c r="F32" s="31">
        <v>0.218</v>
      </c>
      <c r="G32" s="31">
        <v>0.65400000000000003</v>
      </c>
      <c r="H32" s="31">
        <v>7.0999999999999994E-2</v>
      </c>
      <c r="I32" s="31">
        <v>4.8000000000000001E-2</v>
      </c>
      <c r="J32" s="31">
        <v>1.2999999999999999E-2</v>
      </c>
      <c r="K32" s="31">
        <v>7.8E-2</v>
      </c>
      <c r="L32" s="31">
        <v>4.9000000000000002E-2</v>
      </c>
      <c r="M32" s="32">
        <v>8.0000000000000002E-3</v>
      </c>
    </row>
    <row r="33" spans="1:13">
      <c r="A33" s="11" t="s">
        <v>33</v>
      </c>
      <c r="B33" s="33">
        <v>7.8E-2</v>
      </c>
      <c r="C33" s="34">
        <v>5.8000000000000003E-2</v>
      </c>
      <c r="D33" s="34">
        <v>0.02</v>
      </c>
      <c r="E33" s="34">
        <v>8.1000000000000003E-2</v>
      </c>
      <c r="F33" s="34">
        <v>5.8999999999999997E-2</v>
      </c>
      <c r="G33" s="34">
        <v>1.9E-2</v>
      </c>
      <c r="H33" s="34">
        <v>4.4999999999999998E-2</v>
      </c>
      <c r="I33" s="34">
        <v>6.4000000000000001E-2</v>
      </c>
      <c r="J33" s="34">
        <v>1.7000000000000001E-2</v>
      </c>
      <c r="K33" s="34">
        <v>4.8000000000000001E-2</v>
      </c>
      <c r="L33" s="34">
        <v>3.1E-2</v>
      </c>
      <c r="M33" s="35">
        <v>2.1000000000000001E-2</v>
      </c>
    </row>
    <row r="35" spans="1:13">
      <c r="A35" s="9" t="s">
        <v>152</v>
      </c>
      <c r="C35" s="3"/>
    </row>
    <row r="37" spans="1:13">
      <c r="A37" s="10"/>
      <c r="B37" s="36">
        <v>1</v>
      </c>
      <c r="C37" s="36">
        <v>2</v>
      </c>
      <c r="D37" s="36">
        <v>3</v>
      </c>
      <c r="E37" s="36">
        <v>4</v>
      </c>
      <c r="F37" s="36">
        <v>5</v>
      </c>
      <c r="G37" s="36">
        <v>6</v>
      </c>
      <c r="H37" s="36">
        <v>7</v>
      </c>
      <c r="I37" s="36">
        <v>8</v>
      </c>
      <c r="J37" s="36">
        <v>9</v>
      </c>
      <c r="K37" s="36">
        <v>10</v>
      </c>
      <c r="L37" s="36">
        <v>11</v>
      </c>
      <c r="M37" s="36">
        <v>12</v>
      </c>
    </row>
    <row r="38" spans="1:13">
      <c r="A38" s="12" t="s">
        <v>24</v>
      </c>
      <c r="B38" s="27">
        <v>0.123</v>
      </c>
      <c r="C38" s="28">
        <v>0.122</v>
      </c>
      <c r="D38" s="28">
        <v>7.6999999999999999E-2</v>
      </c>
      <c r="E38" s="28">
        <v>0.125</v>
      </c>
      <c r="F38" s="28">
        <v>0.14299999999999999</v>
      </c>
      <c r="G38" s="28">
        <v>7.3999999999999996E-2</v>
      </c>
      <c r="H38" s="28">
        <v>7.0999999999999994E-2</v>
      </c>
      <c r="I38" s="28">
        <v>8.6999999999999994E-2</v>
      </c>
      <c r="J38" s="28">
        <v>0.06</v>
      </c>
      <c r="K38" s="28">
        <v>7.6999999999999999E-2</v>
      </c>
      <c r="L38" s="28">
        <v>9.1999999999999998E-2</v>
      </c>
      <c r="M38" s="29">
        <v>7.6999999999999999E-2</v>
      </c>
    </row>
    <row r="39" spans="1:13">
      <c r="A39" s="12" t="s">
        <v>25</v>
      </c>
      <c r="B39" s="30">
        <v>6.8000000000000005E-2</v>
      </c>
      <c r="C39" s="31">
        <v>7.3999999999999996E-2</v>
      </c>
      <c r="D39" s="31">
        <v>0.313</v>
      </c>
      <c r="E39" s="31">
        <v>7.3999999999999996E-2</v>
      </c>
      <c r="F39" s="31">
        <v>9.2999999999999999E-2</v>
      </c>
      <c r="G39" s="31">
        <v>0.33200000000000002</v>
      </c>
      <c r="H39" s="31">
        <v>6.3E-2</v>
      </c>
      <c r="I39" s="31">
        <v>0.108</v>
      </c>
      <c r="J39" s="31">
        <v>0.13200000000000001</v>
      </c>
      <c r="K39" s="31">
        <v>7.1999999999999995E-2</v>
      </c>
      <c r="L39" s="31">
        <v>0.12</v>
      </c>
      <c r="M39" s="32">
        <v>0.13900000000000001</v>
      </c>
    </row>
    <row r="40" spans="1:13">
      <c r="A40" s="12" t="s">
        <v>26</v>
      </c>
      <c r="B40" s="30">
        <v>0.27900000000000003</v>
      </c>
      <c r="C40" s="31">
        <v>5.8999999999999997E-2</v>
      </c>
      <c r="D40" s="31">
        <v>0.108</v>
      </c>
      <c r="E40" s="31">
        <v>0.29699999999999999</v>
      </c>
      <c r="F40" s="31">
        <v>3.5999999999999997E-2</v>
      </c>
      <c r="G40" s="31">
        <v>0.11</v>
      </c>
      <c r="H40" s="31">
        <v>0.06</v>
      </c>
      <c r="I40" s="31">
        <v>6.7000000000000004E-2</v>
      </c>
      <c r="J40" s="31">
        <v>5.8999999999999997E-2</v>
      </c>
      <c r="K40" s="31">
        <v>6.0999999999999999E-2</v>
      </c>
      <c r="L40" s="31">
        <v>7.3999999999999996E-2</v>
      </c>
      <c r="M40" s="32">
        <v>5.8999999999999997E-2</v>
      </c>
    </row>
    <row r="41" spans="1:13">
      <c r="A41" s="12" t="s">
        <v>27</v>
      </c>
      <c r="B41" s="30">
        <v>0.3</v>
      </c>
      <c r="C41" s="31">
        <v>0.107</v>
      </c>
      <c r="D41" s="31">
        <v>8.3000000000000004E-2</v>
      </c>
      <c r="E41" s="31">
        <v>0.33900000000000002</v>
      </c>
      <c r="F41" s="31">
        <v>0.111</v>
      </c>
      <c r="G41" s="31">
        <v>8.5999999999999993E-2</v>
      </c>
      <c r="H41" s="31">
        <v>9.1999999999999998E-2</v>
      </c>
      <c r="I41" s="31">
        <v>8.1000000000000003E-2</v>
      </c>
      <c r="J41" s="31">
        <v>8.5000000000000006E-2</v>
      </c>
      <c r="K41" s="31">
        <v>8.6999999999999994E-2</v>
      </c>
      <c r="L41" s="31">
        <v>9.9000000000000005E-2</v>
      </c>
      <c r="M41" s="32">
        <v>9.2999999999999999E-2</v>
      </c>
    </row>
    <row r="42" spans="1:13">
      <c r="A42" s="12" t="s">
        <v>28</v>
      </c>
      <c r="B42" s="30">
        <v>0.06</v>
      </c>
      <c r="C42" s="31">
        <v>0.105</v>
      </c>
      <c r="D42" s="31">
        <v>0.71899999999999997</v>
      </c>
      <c r="E42" s="31">
        <v>6.8000000000000005E-2</v>
      </c>
      <c r="F42" s="31">
        <v>9.8000000000000004E-2</v>
      </c>
      <c r="G42" s="31">
        <v>0.66400000000000003</v>
      </c>
      <c r="H42" s="31">
        <v>5.2999999999999999E-2</v>
      </c>
      <c r="I42" s="31">
        <v>0.17299999999999999</v>
      </c>
      <c r="J42" s="31">
        <v>7.9000000000000001E-2</v>
      </c>
      <c r="K42" s="31">
        <v>5.7000000000000002E-2</v>
      </c>
      <c r="L42" s="31">
        <v>0.216</v>
      </c>
      <c r="M42" s="32">
        <v>8.1000000000000003E-2</v>
      </c>
    </row>
    <row r="43" spans="1:13">
      <c r="A43" s="12" t="s">
        <v>29</v>
      </c>
      <c r="B43" s="30">
        <v>0.51200000000000001</v>
      </c>
      <c r="C43" s="31">
        <v>0.152</v>
      </c>
      <c r="D43" s="31">
        <v>1.4E-2</v>
      </c>
      <c r="E43" s="31">
        <v>0.52600000000000002</v>
      </c>
      <c r="F43" s="31">
        <v>0.14699999999999999</v>
      </c>
      <c r="G43" s="31">
        <v>0.02</v>
      </c>
      <c r="H43" s="31">
        <v>6.9000000000000006E-2</v>
      </c>
      <c r="I43" s="31">
        <v>9.7000000000000003E-2</v>
      </c>
      <c r="J43" s="31">
        <v>1.4E-2</v>
      </c>
      <c r="K43" s="31">
        <v>6.9000000000000006E-2</v>
      </c>
      <c r="L43" s="31">
        <v>0.113</v>
      </c>
      <c r="M43" s="32">
        <v>1.2999999999999999E-2</v>
      </c>
    </row>
    <row r="44" spans="1:13">
      <c r="A44" s="12" t="s">
        <v>31</v>
      </c>
      <c r="B44" s="30">
        <v>0.49099999999999999</v>
      </c>
      <c r="C44" s="31">
        <v>0.26900000000000002</v>
      </c>
      <c r="D44" s="31">
        <v>0.81899999999999995</v>
      </c>
      <c r="E44" s="31">
        <v>0.50600000000000001</v>
      </c>
      <c r="F44" s="31">
        <v>0.27600000000000002</v>
      </c>
      <c r="G44" s="31">
        <v>0.95499999999999996</v>
      </c>
      <c r="H44" s="31">
        <v>0.36799999999999999</v>
      </c>
      <c r="I44" s="31">
        <v>0.113</v>
      </c>
      <c r="J44" s="31">
        <v>1.7000000000000001E-2</v>
      </c>
      <c r="K44" s="31">
        <v>0.39100000000000001</v>
      </c>
      <c r="L44" s="31">
        <v>0.13100000000000001</v>
      </c>
      <c r="M44" s="32">
        <v>8.9999999999999993E-3</v>
      </c>
    </row>
    <row r="45" spans="1:13">
      <c r="A45" s="11" t="s">
        <v>33</v>
      </c>
      <c r="B45" s="33">
        <v>0.11600000000000001</v>
      </c>
      <c r="C45" s="34">
        <v>0.13900000000000001</v>
      </c>
      <c r="D45" s="34">
        <v>2.8000000000000001E-2</v>
      </c>
      <c r="E45" s="34">
        <v>0.10299999999999999</v>
      </c>
      <c r="F45" s="34">
        <v>0.14099999999999999</v>
      </c>
      <c r="G45" s="34">
        <v>2.1999999999999999E-2</v>
      </c>
      <c r="H45" s="34">
        <v>0.04</v>
      </c>
      <c r="I45" s="34">
        <v>6.0999999999999999E-2</v>
      </c>
      <c r="J45" s="34">
        <v>2.3E-2</v>
      </c>
      <c r="K45" s="34">
        <v>4.5999999999999999E-2</v>
      </c>
      <c r="L45" s="34">
        <v>7.6999999999999999E-2</v>
      </c>
      <c r="M45" s="35">
        <v>2.7E-2</v>
      </c>
    </row>
    <row r="47" spans="1:13">
      <c r="A47" s="9" t="s">
        <v>153</v>
      </c>
      <c r="C47" s="3"/>
    </row>
    <row r="49" spans="1:13">
      <c r="A49" s="10"/>
      <c r="B49" s="36">
        <v>1</v>
      </c>
      <c r="C49" s="36">
        <v>2</v>
      </c>
      <c r="D49" s="36">
        <v>3</v>
      </c>
      <c r="E49" s="36">
        <v>4</v>
      </c>
      <c r="F49" s="36">
        <v>5</v>
      </c>
      <c r="G49" s="36">
        <v>6</v>
      </c>
      <c r="H49" s="36">
        <v>7</v>
      </c>
      <c r="I49" s="36">
        <v>8</v>
      </c>
      <c r="J49" s="36">
        <v>9</v>
      </c>
      <c r="K49" s="36">
        <v>10</v>
      </c>
      <c r="L49" s="36">
        <v>11</v>
      </c>
      <c r="M49" s="36">
        <v>12</v>
      </c>
    </row>
    <row r="50" spans="1:13">
      <c r="A50" s="12" t="s">
        <v>24</v>
      </c>
      <c r="B50" s="27">
        <v>8.5000000000000006E-2</v>
      </c>
      <c r="C50" s="28">
        <v>0.56000000000000005</v>
      </c>
      <c r="D50" s="28">
        <v>0.24</v>
      </c>
      <c r="E50" s="28">
        <v>7.9000000000000001E-2</v>
      </c>
      <c r="F50" s="28">
        <v>0.56299999999999994</v>
      </c>
      <c r="G50" s="28">
        <v>0.247</v>
      </c>
      <c r="H50" s="28">
        <v>7.2999999999999995E-2</v>
      </c>
      <c r="I50" s="28">
        <v>0.111</v>
      </c>
      <c r="J50" s="28">
        <v>8.4000000000000005E-2</v>
      </c>
      <c r="K50" s="28">
        <v>8.2000000000000003E-2</v>
      </c>
      <c r="L50" s="28">
        <v>0.125</v>
      </c>
      <c r="M50" s="29">
        <v>7.0999999999999994E-2</v>
      </c>
    </row>
    <row r="51" spans="1:13">
      <c r="A51" s="12" t="s">
        <v>25</v>
      </c>
      <c r="B51" s="30">
        <v>0.19800000000000001</v>
      </c>
      <c r="C51" s="31">
        <v>0.17100000000000001</v>
      </c>
      <c r="D51" s="31">
        <v>9.2999999999999999E-2</v>
      </c>
      <c r="E51" s="31">
        <v>0.20599999999999999</v>
      </c>
      <c r="F51" s="31">
        <v>0.17199999999999999</v>
      </c>
      <c r="G51" s="31">
        <v>8.6999999999999994E-2</v>
      </c>
      <c r="H51" s="31">
        <v>0.122</v>
      </c>
      <c r="I51" s="31">
        <v>0.10199999999999999</v>
      </c>
      <c r="J51" s="31">
        <v>8.2000000000000003E-2</v>
      </c>
      <c r="K51" s="31">
        <v>0.122</v>
      </c>
      <c r="L51" s="31">
        <v>0.124</v>
      </c>
      <c r="M51" s="32">
        <v>8.5999999999999993E-2</v>
      </c>
    </row>
    <row r="52" spans="1:13">
      <c r="A52" s="12" t="s">
        <v>26</v>
      </c>
      <c r="B52" s="30">
        <v>8.5000000000000006E-2</v>
      </c>
      <c r="C52" s="31">
        <v>0.11600000000000001</v>
      </c>
      <c r="D52" s="31">
        <v>0.182</v>
      </c>
      <c r="E52" s="31">
        <v>0.08</v>
      </c>
      <c r="F52" s="31">
        <v>0.108</v>
      </c>
      <c r="G52" s="31">
        <v>0.184</v>
      </c>
      <c r="H52" s="31">
        <v>6.0999999999999999E-2</v>
      </c>
      <c r="I52" s="31">
        <v>0.126</v>
      </c>
      <c r="J52" s="31">
        <v>5.6000000000000001E-2</v>
      </c>
      <c r="K52" s="31">
        <v>6.0999999999999999E-2</v>
      </c>
      <c r="L52" s="31">
        <v>0.13800000000000001</v>
      </c>
      <c r="M52" s="32">
        <v>5.6000000000000001E-2</v>
      </c>
    </row>
    <row r="53" spans="1:13">
      <c r="A53" s="12" t="s">
        <v>27</v>
      </c>
      <c r="B53" s="30">
        <v>0.41299999999999998</v>
      </c>
      <c r="C53" s="31">
        <v>0.51400000000000001</v>
      </c>
      <c r="D53" s="31">
        <v>0.35099999999999998</v>
      </c>
      <c r="E53" s="31">
        <v>0.41799999999999998</v>
      </c>
      <c r="F53" s="31">
        <v>0.52400000000000002</v>
      </c>
      <c r="G53" s="31">
        <v>0.35599999999999998</v>
      </c>
      <c r="H53" s="31">
        <v>0.91600000000000004</v>
      </c>
      <c r="I53" s="31">
        <v>8.3000000000000004E-2</v>
      </c>
      <c r="J53" s="31">
        <v>0.13200000000000001</v>
      </c>
      <c r="K53" s="31">
        <v>0.877</v>
      </c>
      <c r="L53" s="31">
        <v>9.0999999999999998E-2</v>
      </c>
      <c r="M53" s="32">
        <v>0.14699999999999999</v>
      </c>
    </row>
    <row r="54" spans="1:13">
      <c r="A54" s="12" t="s">
        <v>28</v>
      </c>
      <c r="B54" s="30">
        <v>0.24099999999999999</v>
      </c>
      <c r="C54" s="31">
        <v>0.129</v>
      </c>
      <c r="D54" s="31">
        <v>0.55300000000000005</v>
      </c>
      <c r="E54" s="31">
        <v>0.247</v>
      </c>
      <c r="F54" s="31">
        <v>0.13500000000000001</v>
      </c>
      <c r="G54" s="31">
        <v>0.54200000000000004</v>
      </c>
      <c r="H54" s="31">
        <v>8.2000000000000003E-2</v>
      </c>
      <c r="I54" s="31">
        <v>9.0999999999999998E-2</v>
      </c>
      <c r="J54" s="31">
        <v>9.2999999999999999E-2</v>
      </c>
      <c r="K54" s="31">
        <v>8.5000000000000006E-2</v>
      </c>
      <c r="L54" s="31">
        <v>0.10100000000000001</v>
      </c>
      <c r="M54" s="32">
        <v>8.8999999999999996E-2</v>
      </c>
    </row>
    <row r="55" spans="1:13">
      <c r="A55" s="12" t="s">
        <v>29</v>
      </c>
      <c r="B55" s="30">
        <v>6.9000000000000006E-2</v>
      </c>
      <c r="C55" s="31">
        <v>3.6999999999999998E-2</v>
      </c>
      <c r="D55" s="31">
        <v>1.6E-2</v>
      </c>
      <c r="E55" s="31">
        <v>6.5000000000000002E-2</v>
      </c>
      <c r="F55" s="31">
        <v>3.4000000000000002E-2</v>
      </c>
      <c r="G55" s="31">
        <v>1.9E-2</v>
      </c>
      <c r="H55" s="31">
        <v>9.4E-2</v>
      </c>
      <c r="I55" s="31">
        <v>0.04</v>
      </c>
      <c r="J55" s="31">
        <v>1.2999999999999999E-2</v>
      </c>
      <c r="K55" s="31">
        <v>7.4999999999999997E-2</v>
      </c>
      <c r="L55" s="31">
        <v>5.8000000000000003E-2</v>
      </c>
      <c r="M55" s="32">
        <v>1.0999999999999999E-2</v>
      </c>
    </row>
    <row r="56" spans="1:13">
      <c r="A56" s="12" t="s">
        <v>31</v>
      </c>
      <c r="B56" s="30">
        <v>0.84399999999999997</v>
      </c>
      <c r="C56" s="31">
        <v>0.50900000000000001</v>
      </c>
      <c r="D56" s="31">
        <v>1.0089999999999999</v>
      </c>
      <c r="E56" s="31">
        <v>0.85</v>
      </c>
      <c r="F56" s="31">
        <v>0.45600000000000002</v>
      </c>
      <c r="G56" s="31">
        <v>0.96299999999999997</v>
      </c>
      <c r="H56" s="31">
        <v>0.16500000000000001</v>
      </c>
      <c r="I56" s="31">
        <v>0.14199999999999999</v>
      </c>
      <c r="J56" s="31">
        <v>1.2999999999999999E-2</v>
      </c>
      <c r="K56" s="31">
        <v>0.17100000000000001</v>
      </c>
      <c r="L56" s="31">
        <v>0.156</v>
      </c>
      <c r="M56" s="32">
        <v>0.01</v>
      </c>
    </row>
    <row r="57" spans="1:13">
      <c r="A57" s="11" t="s">
        <v>33</v>
      </c>
      <c r="B57" s="33">
        <v>0.104</v>
      </c>
      <c r="C57" s="34">
        <v>0.13600000000000001</v>
      </c>
      <c r="D57" s="34">
        <v>2.8000000000000001E-2</v>
      </c>
      <c r="E57" s="34">
        <v>0.105</v>
      </c>
      <c r="F57" s="34">
        <v>0.14000000000000001</v>
      </c>
      <c r="G57" s="34">
        <v>2.5000000000000001E-2</v>
      </c>
      <c r="H57" s="34">
        <v>7.8E-2</v>
      </c>
      <c r="I57" s="34">
        <v>0.128</v>
      </c>
      <c r="J57" s="34">
        <v>2.5999999999999999E-2</v>
      </c>
      <c r="K57" s="34">
        <v>7.0999999999999994E-2</v>
      </c>
      <c r="L57" s="34">
        <v>0.14799999999999999</v>
      </c>
      <c r="M57" s="35">
        <v>3.3000000000000002E-2</v>
      </c>
    </row>
  </sheetData>
  <sheetProtection algorithmName="SHA-512" hashValue="7FGqVowu04KJtlwKAHgCYv6Yw7o5lptD8H3KDIwsEJbKPQS0vljMRGaXfRykzXFrfs1lw1ygl8O3p/0Sn3kt/Q==" saltValue="oL4Cka4DUjHjxj6oJdfr5Q==" spinCount="100000" sheet="1" selectLockedCells="1"/>
  <mergeCells count="6">
    <mergeCell ref="A8:B8"/>
    <mergeCell ref="A9:B9"/>
    <mergeCell ref="F5:H5"/>
    <mergeCell ref="A5:B5"/>
    <mergeCell ref="A6:B6"/>
    <mergeCell ref="A7:B7"/>
  </mergeCells>
  <conditionalFormatting sqref="B34:M34">
    <cfRule type="cellIs" dxfId="15" priority="1" operator="between">
      <formula>30</formula>
      <formula>100</formula>
    </cfRule>
    <cfRule type="cellIs" dxfId="14" priority="2" operator="between">
      <formula>25</formula>
      <formula>29.9999</formula>
    </cfRule>
  </conditionalFormatting>
  <pageMargins left="0.7" right="0.7" top="0.75" bottom="0.75" header="0.3" footer="0.3"/>
  <pageSetup paperSize="9" scale="64" orientation="portrait" r:id="rId1"/>
  <ignoredErrors>
    <ignoredError sqref="C5 C6:C8 F5" unlockedFormula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K86"/>
  <sheetViews>
    <sheetView zoomScaleNormal="100" workbookViewId="0">
      <selection activeCell="D2" sqref="D2"/>
    </sheetView>
  </sheetViews>
  <sheetFormatPr defaultColWidth="10.85546875" defaultRowHeight="15"/>
  <cols>
    <col min="1" max="1" width="11.85546875" customWidth="1"/>
    <col min="2" max="2" width="6.28515625" customWidth="1"/>
    <col min="3" max="3" width="8.140625" bestFit="1" customWidth="1"/>
    <col min="4" max="4" width="11.85546875" customWidth="1"/>
    <col min="5" max="5" width="18.42578125" customWidth="1"/>
    <col min="6" max="6" width="11.140625" customWidth="1"/>
    <col min="7" max="7" width="12.7109375" customWidth="1"/>
    <col min="8" max="9" width="12.42578125" bestFit="1" customWidth="1"/>
    <col min="10" max="10" width="12.42578125" customWidth="1"/>
    <col min="11" max="11" width="24.42578125" customWidth="1"/>
    <col min="15" max="15" width="11.5703125" bestFit="1" customWidth="1"/>
  </cols>
  <sheetData>
    <row r="1" spans="1:11" ht="63" customHeight="1" thickBot="1">
      <c r="A1" s="69" t="s">
        <v>154</v>
      </c>
      <c r="B1" s="69" t="s">
        <v>155</v>
      </c>
      <c r="C1" s="69" t="s">
        <v>156</v>
      </c>
      <c r="D1" s="70" t="s">
        <v>157</v>
      </c>
      <c r="E1" s="69" t="s">
        <v>158</v>
      </c>
      <c r="F1" s="71" t="s">
        <v>159</v>
      </c>
      <c r="G1" s="69" t="s">
        <v>160</v>
      </c>
      <c r="H1" s="69" t="s">
        <v>161</v>
      </c>
      <c r="I1" s="69" t="s">
        <v>162</v>
      </c>
      <c r="J1" s="70" t="s">
        <v>163</v>
      </c>
      <c r="K1" s="70" t="s">
        <v>42</v>
      </c>
    </row>
    <row r="2" spans="1:11" ht="15" customHeight="1" thickBot="1">
      <c r="A2" s="72" t="s">
        <v>164</v>
      </c>
      <c r="B2" s="72">
        <v>1</v>
      </c>
      <c r="C2" s="72" t="s">
        <v>43</v>
      </c>
      <c r="D2" s="43">
        <f>IF(Deepwell!B18="","",Deepwell!B18)</f>
        <v>337</v>
      </c>
      <c r="E2" s="44">
        <f>IF(ELISA!B7="","",ELISA!B7)</f>
        <v>2500764</v>
      </c>
      <c r="F2" s="45">
        <f>IF('450 nm - 600 nm'!B14="","",(('450 nm - 600 nm'!B14+'450 nm - 600 nm'!E14)/2)-(('450 nm - 600 nm'!H14+'450 nm - 600 nm'!K14)/2))</f>
        <v>1.0000000000000009E-3</v>
      </c>
      <c r="G2" s="46">
        <f>IF(F2="","",(F2-Controls!$E$10)/(Controls!$E$2-Controls!$E$10))</f>
        <v>4.3795620437956243E-3</v>
      </c>
      <c r="H2" s="43" t="str">
        <f t="shared" ref="H2" si="0">IF(G2="","",IF(G2&gt;=60%,"POS","NEG"))</f>
        <v>NEG</v>
      </c>
      <c r="I2" s="43" t="str">
        <f>IF(G2="","",IF(G2&gt;=50%,"POS","NEG"))</f>
        <v>NEG</v>
      </c>
      <c r="J2" s="43" t="str">
        <f>IF(I2="POS","P",IF(I2="NEG","N",""))</f>
        <v>N</v>
      </c>
      <c r="K2" s="73"/>
    </row>
    <row r="3" spans="1:11" ht="15" customHeight="1" thickBot="1">
      <c r="A3" s="72" t="s">
        <v>165</v>
      </c>
      <c r="B3" s="72">
        <v>1</v>
      </c>
      <c r="C3" s="72" t="s">
        <v>47</v>
      </c>
      <c r="D3" s="43">
        <f>IF(Deepwell!B19="","",Deepwell!B19)</f>
        <v>338</v>
      </c>
      <c r="E3" s="44">
        <f>IF(ELISA!B8="","",ELISA!B8)</f>
        <v>2501078</v>
      </c>
      <c r="F3" s="45">
        <f>IF('450 nm - 600 nm'!B15="","",(('450 nm - 600 nm'!B15+'450 nm - 600 nm'!E15)/2)-(('450 nm - 600 nm'!H15+'450 nm - 600 nm'!K15)/2))</f>
        <v>1.9500000000000003E-2</v>
      </c>
      <c r="G3" s="46">
        <f>IF(F3="","",(F3-Controls!$E$10)/(Controls!$E$2-Controls!$E$10))</f>
        <v>3.1386861313868621E-2</v>
      </c>
      <c r="H3" s="43" t="str">
        <f t="shared" ref="H3:H33" si="1">IF(G3="","",IF(G3&gt;=60%,"POS","NEG"))</f>
        <v>NEG</v>
      </c>
      <c r="I3" s="43" t="str">
        <f t="shared" ref="I3:I33" si="2">IF(G3="","",IF(G3&gt;=50%,"POS","NEG"))</f>
        <v>NEG</v>
      </c>
      <c r="J3" s="43" t="str">
        <f t="shared" ref="J3:J66" si="3">IF(I3="POS","P",IF(I3="NEG","N",""))</f>
        <v>N</v>
      </c>
      <c r="K3" s="73"/>
    </row>
    <row r="4" spans="1:11" ht="15" customHeight="1" thickBot="1">
      <c r="A4" s="72" t="s">
        <v>166</v>
      </c>
      <c r="B4" s="72">
        <v>1</v>
      </c>
      <c r="C4" s="72" t="s">
        <v>51</v>
      </c>
      <c r="D4" s="43">
        <f>IF(Deepwell!B20="","",Deepwell!B20)</f>
        <v>339</v>
      </c>
      <c r="E4" s="44">
        <f>IF(ELISA!B9="","",ELISA!B9)</f>
        <v>2501063</v>
      </c>
      <c r="F4" s="45">
        <f>IF('450 nm - 600 nm'!B16="","",(('450 nm - 600 nm'!B16+'450 nm - 600 nm'!E16)/2)-(('450 nm - 600 nm'!H16+'450 nm - 600 nm'!K16)/2))</f>
        <v>0.17150000000000001</v>
      </c>
      <c r="G4" s="46">
        <f>IF(F4="","",(F4-Controls!$E$10)/(Controls!$E$2-Controls!$E$10))</f>
        <v>0.25328467153284673</v>
      </c>
      <c r="H4" s="43" t="str">
        <f t="shared" si="1"/>
        <v>NEG</v>
      </c>
      <c r="I4" s="43" t="str">
        <f t="shared" si="2"/>
        <v>NEG</v>
      </c>
      <c r="J4" s="43" t="str">
        <f t="shared" si="3"/>
        <v>N</v>
      </c>
      <c r="K4" s="73"/>
    </row>
    <row r="5" spans="1:11" ht="15" customHeight="1" thickBot="1">
      <c r="A5" s="72" t="s">
        <v>167</v>
      </c>
      <c r="B5" s="72">
        <v>1</v>
      </c>
      <c r="C5" s="72" t="s">
        <v>55</v>
      </c>
      <c r="D5" s="43">
        <f>IF(Deepwell!B21="","",Deepwell!B21)</f>
        <v>340</v>
      </c>
      <c r="E5" s="44">
        <f>IF(ELISA!B10="","",ELISA!B10)</f>
        <v>2501110</v>
      </c>
      <c r="F5" s="45">
        <f>IF('450 nm - 600 nm'!B17="","",(('450 nm - 600 nm'!B17+'450 nm - 600 nm'!E17)/2)-(('450 nm - 600 nm'!H17+'450 nm - 600 nm'!K17)/2))</f>
        <v>4.6499999999999986E-2</v>
      </c>
      <c r="G5" s="46">
        <f>IF(F5="","",(F5-Controls!$E$10)/(Controls!$E$2-Controls!$E$10))</f>
        <v>7.0802919708029169E-2</v>
      </c>
      <c r="H5" s="43" t="str">
        <f t="shared" si="1"/>
        <v>NEG</v>
      </c>
      <c r="I5" s="43" t="str">
        <f t="shared" si="2"/>
        <v>NEG</v>
      </c>
      <c r="J5" s="43" t="str">
        <f t="shared" si="3"/>
        <v>N</v>
      </c>
      <c r="K5" s="73"/>
    </row>
    <row r="6" spans="1:11" ht="15" customHeight="1" thickBot="1">
      <c r="A6" s="72" t="s">
        <v>168</v>
      </c>
      <c r="B6" s="72">
        <v>1</v>
      </c>
      <c r="C6" s="72" t="s">
        <v>59</v>
      </c>
      <c r="D6" s="43">
        <f>IF(Deepwell!B22="","",Deepwell!B22)</f>
        <v>341</v>
      </c>
      <c r="E6" s="44">
        <f>IF(ELISA!B11="","",ELISA!B11)</f>
        <v>2501119</v>
      </c>
      <c r="F6" s="45">
        <f>IF('450 nm - 600 nm'!B18="","",(('450 nm - 600 nm'!B18+'450 nm - 600 nm'!E18)/2)-(('450 nm - 600 nm'!H18+'450 nm - 600 nm'!K18)/2))</f>
        <v>0.12150000000000001</v>
      </c>
      <c r="G6" s="46">
        <f>IF(F6="","",(F6-Controls!$E$10)/(Controls!$E$2-Controls!$E$10))</f>
        <v>0.1802919708029197</v>
      </c>
      <c r="H6" s="43" t="str">
        <f t="shared" si="1"/>
        <v>NEG</v>
      </c>
      <c r="I6" s="43" t="str">
        <f t="shared" si="2"/>
        <v>NEG</v>
      </c>
      <c r="J6" s="43" t="str">
        <f t="shared" si="3"/>
        <v>N</v>
      </c>
      <c r="K6" s="73"/>
    </row>
    <row r="7" spans="1:11" ht="15" customHeight="1" thickBot="1">
      <c r="A7" s="72" t="s">
        <v>169</v>
      </c>
      <c r="B7" s="72">
        <v>1</v>
      </c>
      <c r="C7" s="72" t="s">
        <v>63</v>
      </c>
      <c r="D7" s="43">
        <f>IF(Deepwell!B23="","",Deepwell!B23)</f>
        <v>342</v>
      </c>
      <c r="E7" s="44">
        <f>IF(ELISA!B12="","",ELISA!B12)</f>
        <v>2501101</v>
      </c>
      <c r="F7" s="45">
        <f>IF('450 nm - 600 nm'!B19="","",(('450 nm - 600 nm'!B19+'450 nm - 600 nm'!E19)/2)-(('450 nm - 600 nm'!H19+'450 nm - 600 nm'!K19)/2))</f>
        <v>6.5000000000000058E-3</v>
      </c>
      <c r="G7" s="46">
        <f>IF(F7="","",(F7-Controls!$E$10)/(Controls!$E$2-Controls!$E$10))</f>
        <v>1.2408759124087601E-2</v>
      </c>
      <c r="H7" s="43" t="str">
        <f t="shared" si="1"/>
        <v>NEG</v>
      </c>
      <c r="I7" s="43" t="str">
        <f t="shared" si="2"/>
        <v>NEG</v>
      </c>
      <c r="J7" s="43" t="str">
        <f t="shared" si="3"/>
        <v>N</v>
      </c>
      <c r="K7" s="73"/>
    </row>
    <row r="8" spans="1:11" ht="15" customHeight="1" thickBot="1">
      <c r="A8" s="72" t="s">
        <v>170</v>
      </c>
      <c r="B8" s="72">
        <v>1</v>
      </c>
      <c r="C8" s="72" t="s">
        <v>67</v>
      </c>
      <c r="D8" s="43">
        <f>IF(Deepwell!B24="","",Deepwell!B24)</f>
        <v>343</v>
      </c>
      <c r="E8" s="44">
        <f>IF(ELISA!B13="","",ELISA!B13)</f>
        <v>2501216</v>
      </c>
      <c r="F8" s="45">
        <f>IF('450 nm - 600 nm'!B20="","",(('450 nm - 600 nm'!B20+'450 nm - 600 nm'!E20)/2)-(('450 nm - 600 nm'!H20+'450 nm - 600 nm'!K20)/2))</f>
        <v>1.55E-2</v>
      </c>
      <c r="G8" s="46">
        <f>IF(F8="","",(F8-Controls!$E$10)/(Controls!$E$2-Controls!$E$10))</f>
        <v>2.5547445255474453E-2</v>
      </c>
      <c r="H8" s="43" t="str">
        <f t="shared" si="1"/>
        <v>NEG</v>
      </c>
      <c r="I8" s="43" t="str">
        <f t="shared" si="2"/>
        <v>NEG</v>
      </c>
      <c r="J8" s="43" t="str">
        <f t="shared" si="3"/>
        <v>N</v>
      </c>
      <c r="K8" s="73"/>
    </row>
    <row r="9" spans="1:11" ht="15" customHeight="1" thickBot="1">
      <c r="A9" s="72" t="s">
        <v>171</v>
      </c>
      <c r="B9" s="72">
        <v>1</v>
      </c>
      <c r="C9" s="72" t="s">
        <v>71</v>
      </c>
      <c r="D9" s="43">
        <f>IF(Deepwell!B25="","",Deepwell!B25)</f>
        <v>344</v>
      </c>
      <c r="E9" s="44">
        <f>IF(ELISA!B14="","",ELISA!B14)</f>
        <v>2501201</v>
      </c>
      <c r="F9" s="45">
        <f>IF('450 nm - 600 nm'!B21="","",(('450 nm - 600 nm'!B21+'450 nm - 600 nm'!E21)/2)-(('450 nm - 600 nm'!H21+'450 nm - 600 nm'!K21)/2))</f>
        <v>0.11750000000000001</v>
      </c>
      <c r="G9" s="46">
        <f>IF(F9="","",(F9-Controls!$E$10)/(Controls!$E$2-Controls!$E$10))</f>
        <v>0.17445255474452553</v>
      </c>
      <c r="H9" s="43" t="str">
        <f t="shared" si="1"/>
        <v>NEG</v>
      </c>
      <c r="I9" s="43" t="str">
        <f t="shared" si="2"/>
        <v>NEG</v>
      </c>
      <c r="J9" s="43" t="str">
        <f t="shared" si="3"/>
        <v>N</v>
      </c>
      <c r="K9" s="73"/>
    </row>
    <row r="10" spans="1:11" ht="15" customHeight="1" thickBot="1">
      <c r="A10" s="72" t="s">
        <v>172</v>
      </c>
      <c r="B10" s="72">
        <v>1</v>
      </c>
      <c r="C10" s="72" t="s">
        <v>75</v>
      </c>
      <c r="D10" s="43">
        <f>IF(Deepwell!C18="","",Deepwell!C18)</f>
        <v>345</v>
      </c>
      <c r="E10" s="44">
        <f>IF(ELISA!B15="","",ELISA!B15)</f>
        <v>2501524</v>
      </c>
      <c r="F10" s="45">
        <f>IF('450 nm - 600 nm'!C14="","",(('450 nm - 600 nm'!C14+'450 nm - 600 nm'!F14)/2)-(('450 nm - 600 nm'!I14+'450 nm - 600 nm'!L14)/2))</f>
        <v>7.0000000000000007E-2</v>
      </c>
      <c r="G10" s="46">
        <f>IF(F10="","",(F10-Controls!$E$10)/(Controls!$E$2-Controls!$E$10))</f>
        <v>0.10510948905109489</v>
      </c>
      <c r="H10" s="43" t="str">
        <f t="shared" si="1"/>
        <v>NEG</v>
      </c>
      <c r="I10" s="43" t="str">
        <f t="shared" si="2"/>
        <v>NEG</v>
      </c>
      <c r="J10" s="43" t="str">
        <f t="shared" si="3"/>
        <v>N</v>
      </c>
      <c r="K10" s="73"/>
    </row>
    <row r="11" spans="1:11" ht="15" customHeight="1" thickBot="1">
      <c r="A11" s="72" t="s">
        <v>173</v>
      </c>
      <c r="B11" s="72">
        <v>1</v>
      </c>
      <c r="C11" s="72" t="s">
        <v>79</v>
      </c>
      <c r="D11" s="43">
        <f>IF(Deepwell!C19="","",Deepwell!C19)</f>
        <v>346</v>
      </c>
      <c r="E11" s="44">
        <f>IF(ELISA!B16="","",ELISA!B16)</f>
        <v>2501525</v>
      </c>
      <c r="F11" s="45">
        <f>IF('450 nm - 600 nm'!C15="","",(('450 nm - 600 nm'!C15+'450 nm - 600 nm'!F15)/2)-(('450 nm - 600 nm'!I15+'450 nm - 600 nm'!L15)/2))</f>
        <v>1.3500000000000005E-2</v>
      </c>
      <c r="G11" s="46">
        <f>IF(F11="","",(F11-Controls!$E$10)/(Controls!$E$2-Controls!$E$10))</f>
        <v>2.2627737226277381E-2</v>
      </c>
      <c r="H11" s="43" t="str">
        <f t="shared" si="1"/>
        <v>NEG</v>
      </c>
      <c r="I11" s="43" t="str">
        <f t="shared" si="2"/>
        <v>NEG</v>
      </c>
      <c r="J11" s="43" t="str">
        <f t="shared" si="3"/>
        <v>N</v>
      </c>
      <c r="K11" s="73"/>
    </row>
    <row r="12" spans="1:11" ht="15" customHeight="1" thickBot="1">
      <c r="A12" s="72" t="s">
        <v>174</v>
      </c>
      <c r="B12" s="72">
        <v>1</v>
      </c>
      <c r="C12" s="72" t="s">
        <v>83</v>
      </c>
      <c r="D12" s="43">
        <f>IF(Deepwell!C20="","",Deepwell!C20)</f>
        <v>347</v>
      </c>
      <c r="E12" s="44">
        <f>IF(ELISA!B17="","",ELISA!B17)</f>
        <v>2501542</v>
      </c>
      <c r="F12" s="45">
        <f>IF('450 nm - 600 nm'!C16="","",(('450 nm - 600 nm'!C16+'450 nm - 600 nm'!F16)/2)-(('450 nm - 600 nm'!I16+'450 nm - 600 nm'!L16)/2))</f>
        <v>1.3499999999999998E-2</v>
      </c>
      <c r="G12" s="46">
        <f>IF(F12="","",(F12-Controls!$E$10)/(Controls!$E$2-Controls!$E$10))</f>
        <v>2.262773722627737E-2</v>
      </c>
      <c r="H12" s="43" t="str">
        <f t="shared" si="1"/>
        <v>NEG</v>
      </c>
      <c r="I12" s="43" t="str">
        <f t="shared" si="2"/>
        <v>NEG</v>
      </c>
      <c r="J12" s="43" t="str">
        <f t="shared" si="3"/>
        <v>N</v>
      </c>
      <c r="K12" s="73"/>
    </row>
    <row r="13" spans="1:11" ht="15" customHeight="1" thickBot="1">
      <c r="A13" s="72" t="s">
        <v>175</v>
      </c>
      <c r="B13" s="72">
        <v>1</v>
      </c>
      <c r="C13" s="72" t="s">
        <v>87</v>
      </c>
      <c r="D13" s="43">
        <f>IF(Deepwell!C21="","",Deepwell!C21)</f>
        <v>348</v>
      </c>
      <c r="E13" s="44">
        <f>IF(ELISA!B18="","",ELISA!B18)</f>
        <v>2500759</v>
      </c>
      <c r="F13" s="45">
        <f>IF('450 nm - 600 nm'!C17="","",(('450 nm - 600 nm'!C17+'450 nm - 600 nm'!F17)/2)-(('450 nm - 600 nm'!I17+'450 nm - 600 nm'!L17)/2))</f>
        <v>6.0000000000000053E-3</v>
      </c>
      <c r="G13" s="46">
        <f>IF(F13="","",(F13-Controls!$E$10)/(Controls!$E$2-Controls!$E$10))</f>
        <v>1.1678832116788331E-2</v>
      </c>
      <c r="H13" s="43" t="str">
        <f t="shared" si="1"/>
        <v>NEG</v>
      </c>
      <c r="I13" s="43" t="str">
        <f t="shared" si="2"/>
        <v>NEG</v>
      </c>
      <c r="J13" s="43" t="str">
        <f t="shared" si="3"/>
        <v>N</v>
      </c>
      <c r="K13" s="73"/>
    </row>
    <row r="14" spans="1:11" ht="15" customHeight="1" thickBot="1">
      <c r="A14" s="72" t="s">
        <v>176</v>
      </c>
      <c r="B14" s="72">
        <v>1</v>
      </c>
      <c r="C14" s="72" t="s">
        <v>91</v>
      </c>
      <c r="D14" s="43">
        <f>IF(Deepwell!C22="","",Deepwell!C22)</f>
        <v>349</v>
      </c>
      <c r="E14" s="44">
        <f>IF(ELISA!B19="","",ELISA!B19)</f>
        <v>2501066</v>
      </c>
      <c r="F14" s="45">
        <f>IF('450 nm - 600 nm'!C18="","",(('450 nm - 600 nm'!C18+'450 nm - 600 nm'!F18)/2)-(('450 nm - 600 nm'!I18+'450 nm - 600 nm'!L18)/2))</f>
        <v>4.65E-2</v>
      </c>
      <c r="G14" s="46">
        <f>IF(F14="","",(F14-Controls!$E$10)/(Controls!$E$2-Controls!$E$10))</f>
        <v>7.0802919708029197E-2</v>
      </c>
      <c r="H14" s="43" t="str">
        <f t="shared" si="1"/>
        <v>NEG</v>
      </c>
      <c r="I14" s="43" t="str">
        <f t="shared" si="2"/>
        <v>NEG</v>
      </c>
      <c r="J14" s="43" t="str">
        <f t="shared" si="3"/>
        <v>N</v>
      </c>
      <c r="K14" s="73"/>
    </row>
    <row r="15" spans="1:11" ht="15" customHeight="1" thickBot="1">
      <c r="A15" s="72" t="s">
        <v>177</v>
      </c>
      <c r="B15" s="72">
        <v>1</v>
      </c>
      <c r="C15" s="72" t="s">
        <v>95</v>
      </c>
      <c r="D15" s="43">
        <f>IF(Deepwell!C23="","",Deepwell!C23)</f>
        <v>350</v>
      </c>
      <c r="E15" s="44">
        <f>IF(ELISA!B20="","",ELISA!B20)</f>
        <v>2501052</v>
      </c>
      <c r="F15" s="45">
        <f>IF('450 nm - 600 nm'!C19="","",(('450 nm - 600 nm'!C19+'450 nm - 600 nm'!F19)/2)-(('450 nm - 600 nm'!I19+'450 nm - 600 nm'!L19)/2))</f>
        <v>0</v>
      </c>
      <c r="G15" s="46">
        <f>IF(F15="","",(F15-Controls!$E$10)/(Controls!$E$2-Controls!$E$10))</f>
        <v>2.9197080291970827E-3</v>
      </c>
      <c r="H15" s="43" t="str">
        <f t="shared" si="1"/>
        <v>NEG</v>
      </c>
      <c r="I15" s="43" t="str">
        <f t="shared" si="2"/>
        <v>NEG</v>
      </c>
      <c r="J15" s="43" t="str">
        <f t="shared" si="3"/>
        <v>N</v>
      </c>
      <c r="K15" s="73"/>
    </row>
    <row r="16" spans="1:11" ht="15" customHeight="1" thickBot="1">
      <c r="A16" s="72" t="s">
        <v>178</v>
      </c>
      <c r="B16" s="72">
        <v>1</v>
      </c>
      <c r="C16" s="72" t="s">
        <v>99</v>
      </c>
      <c r="D16" s="43">
        <f>IF(Deepwell!C24="","",Deepwell!C24)</f>
        <v>351</v>
      </c>
      <c r="E16" s="44">
        <f>IF(ELISA!B21="","",ELISA!B21)</f>
        <v>2501073</v>
      </c>
      <c r="F16" s="45">
        <f>IF('450 nm - 600 nm'!C20="","",(('450 nm - 600 nm'!C20+'450 nm - 600 nm'!F20)/2)-(('450 nm - 600 nm'!I20+'450 nm - 600 nm'!L20)/2))</f>
        <v>3.7999999999999992E-2</v>
      </c>
      <c r="G16" s="46">
        <f>IF(F16="","",(F16-Controls!$E$10)/(Controls!$E$2-Controls!$E$10))</f>
        <v>5.839416058394159E-2</v>
      </c>
      <c r="H16" s="43" t="str">
        <f t="shared" si="1"/>
        <v>NEG</v>
      </c>
      <c r="I16" s="43" t="str">
        <f t="shared" si="2"/>
        <v>NEG</v>
      </c>
      <c r="J16" s="43" t="str">
        <f t="shared" si="3"/>
        <v>N</v>
      </c>
      <c r="K16" s="73"/>
    </row>
    <row r="17" spans="1:11" ht="15" customHeight="1" thickBot="1">
      <c r="A17" s="72" t="s">
        <v>179</v>
      </c>
      <c r="B17" s="72">
        <v>1</v>
      </c>
      <c r="C17" s="72" t="s">
        <v>103</v>
      </c>
      <c r="D17" s="43">
        <f>IF(Deepwell!C25="","",Deepwell!C25)</f>
        <v>352</v>
      </c>
      <c r="E17" s="44">
        <f>IF(ELISA!B22="","",ELISA!B22)</f>
        <v>2501062</v>
      </c>
      <c r="F17" s="45">
        <f>IF('450 nm - 600 nm'!C21="","",(('450 nm - 600 nm'!C21+'450 nm - 600 nm'!F21)/2)-(('450 nm - 600 nm'!I21+'450 nm - 600 nm'!L21)/2))</f>
        <v>2.1499999999999991E-2</v>
      </c>
      <c r="G17" s="46">
        <f>IF(F17="","",(F17-Controls!$E$10)/(Controls!$E$2-Controls!$E$10))</f>
        <v>3.4306569343065682E-2</v>
      </c>
      <c r="H17" s="43" t="str">
        <f t="shared" si="1"/>
        <v>NEG</v>
      </c>
      <c r="I17" s="43" t="str">
        <f t="shared" si="2"/>
        <v>NEG</v>
      </c>
      <c r="J17" s="43" t="str">
        <f t="shared" si="3"/>
        <v>N</v>
      </c>
      <c r="K17" s="73"/>
    </row>
    <row r="18" spans="1:11" ht="15" customHeight="1" thickBot="1">
      <c r="A18" s="72" t="s">
        <v>180</v>
      </c>
      <c r="B18" s="72">
        <v>1</v>
      </c>
      <c r="C18" s="72" t="s">
        <v>107</v>
      </c>
      <c r="D18" s="43">
        <f>IF(Deepwell!D18="","",Deepwell!D18)</f>
        <v>353</v>
      </c>
      <c r="E18" s="44">
        <f>IF(ELISA!B23="","",ELISA!B23)</f>
        <v>2501136</v>
      </c>
      <c r="F18" s="45">
        <f>IF('450 nm - 600 nm'!D14="","",(('450 nm - 600 nm'!D14+'450 nm - 600 nm'!G14)/2)-(('450 nm - 600 nm'!J14+'450 nm - 600 nm'!M14)/2))</f>
        <v>1.6E-2</v>
      </c>
      <c r="G18" s="46">
        <f>IF(F18="","",(F18-Controls!$E$10)/(Controls!$E$2-Controls!$E$10))</f>
        <v>2.6277372262773723E-2</v>
      </c>
      <c r="H18" s="43" t="str">
        <f t="shared" si="1"/>
        <v>NEG</v>
      </c>
      <c r="I18" s="43" t="str">
        <f t="shared" si="2"/>
        <v>NEG</v>
      </c>
      <c r="J18" s="43" t="str">
        <f t="shared" si="3"/>
        <v>N</v>
      </c>
      <c r="K18" s="73"/>
    </row>
    <row r="19" spans="1:11" ht="15" customHeight="1" thickBot="1">
      <c r="A19" s="72" t="s">
        <v>181</v>
      </c>
      <c r="B19" s="72">
        <v>1</v>
      </c>
      <c r="C19" s="72" t="s">
        <v>111</v>
      </c>
      <c r="D19" s="43">
        <f>IF(Deepwell!D19="","",Deepwell!D19)</f>
        <v>354</v>
      </c>
      <c r="E19" s="44">
        <f>IF(ELISA!B24="","",ELISA!B24)</f>
        <v>2500753</v>
      </c>
      <c r="F19" s="45">
        <f>IF('450 nm - 600 nm'!D15="","",(('450 nm - 600 nm'!D15+'450 nm - 600 nm'!G15)/2)-(('450 nm - 600 nm'!J15+'450 nm - 600 nm'!M15)/2))</f>
        <v>2.8500000000000011E-2</v>
      </c>
      <c r="G19" s="46">
        <f>IF(F19="","",(F19-Controls!$E$10)/(Controls!$E$2-Controls!$E$10))</f>
        <v>4.4525547445255491E-2</v>
      </c>
      <c r="H19" s="43" t="str">
        <f t="shared" si="1"/>
        <v>NEG</v>
      </c>
      <c r="I19" s="43" t="str">
        <f t="shared" si="2"/>
        <v>NEG</v>
      </c>
      <c r="J19" s="43" t="str">
        <f t="shared" si="3"/>
        <v>N</v>
      </c>
      <c r="K19" s="73"/>
    </row>
    <row r="20" spans="1:11" ht="15" customHeight="1" thickBot="1">
      <c r="A20" s="72" t="s">
        <v>182</v>
      </c>
      <c r="B20" s="72">
        <v>1</v>
      </c>
      <c r="C20" s="72" t="s">
        <v>115</v>
      </c>
      <c r="D20" s="43">
        <f>IF(Deepwell!D20="","",Deepwell!D20)</f>
        <v>355</v>
      </c>
      <c r="E20" s="44">
        <f>IF(ELISA!B25="","",ELISA!B25)</f>
        <v>2500702</v>
      </c>
      <c r="F20" s="45">
        <f>IF('450 nm - 600 nm'!D16="","",(('450 nm - 600 nm'!D16+'450 nm - 600 nm'!G16)/2)-(('450 nm - 600 nm'!J16+'450 nm - 600 nm'!M16)/2))</f>
        <v>5.2000000000000005E-2</v>
      </c>
      <c r="G20" s="46">
        <f>IF(F20="","",(F20-Controls!$E$10)/(Controls!$E$2-Controls!$E$10))</f>
        <v>7.8832116788321166E-2</v>
      </c>
      <c r="H20" s="43" t="str">
        <f t="shared" si="1"/>
        <v>NEG</v>
      </c>
      <c r="I20" s="43" t="str">
        <f t="shared" si="2"/>
        <v>NEG</v>
      </c>
      <c r="J20" s="43" t="str">
        <f t="shared" si="3"/>
        <v>N</v>
      </c>
      <c r="K20" s="73"/>
    </row>
    <row r="21" spans="1:11" ht="15" customHeight="1" thickBot="1">
      <c r="A21" s="72" t="s">
        <v>183</v>
      </c>
      <c r="B21" s="72">
        <v>1</v>
      </c>
      <c r="C21" s="72" t="s">
        <v>119</v>
      </c>
      <c r="D21" s="43">
        <f>IF(Deepwell!D21="","",Deepwell!D21)</f>
        <v>356</v>
      </c>
      <c r="E21" s="44">
        <f>IF(ELISA!B26="","",ELISA!B26)</f>
        <v>2500762</v>
      </c>
      <c r="F21" s="45">
        <f>IF('450 nm - 600 nm'!D17="","",(('450 nm - 600 nm'!D17+'450 nm - 600 nm'!G17)/2)-(('450 nm - 600 nm'!J17+'450 nm - 600 nm'!M17)/2))</f>
        <v>7.0000000000000062E-3</v>
      </c>
      <c r="G21" s="46">
        <f>IF(F21="","",(F21-Controls!$E$10)/(Controls!$E$2-Controls!$E$10))</f>
        <v>1.3138686131386872E-2</v>
      </c>
      <c r="H21" s="43" t="str">
        <f t="shared" si="1"/>
        <v>NEG</v>
      </c>
      <c r="I21" s="43" t="str">
        <f t="shared" si="2"/>
        <v>NEG</v>
      </c>
      <c r="J21" s="43" t="str">
        <f t="shared" si="3"/>
        <v>N</v>
      </c>
      <c r="K21" s="73"/>
    </row>
    <row r="22" spans="1:11" ht="15" customHeight="1" thickBot="1">
      <c r="A22" s="72" t="s">
        <v>184</v>
      </c>
      <c r="B22" s="72">
        <v>1</v>
      </c>
      <c r="C22" s="72" t="s">
        <v>123</v>
      </c>
      <c r="D22" s="43">
        <f>IF(Deepwell!D22="","",Deepwell!D22)</f>
        <v>357</v>
      </c>
      <c r="E22" s="44">
        <f>IF(ELISA!B27="","",ELISA!B27)</f>
        <v>2500760</v>
      </c>
      <c r="F22" s="45">
        <f>IF('450 nm - 600 nm'!D18="","",(('450 nm - 600 nm'!D18+'450 nm - 600 nm'!G18)/2)-(('450 nm - 600 nm'!J18+'450 nm - 600 nm'!M18)/2))</f>
        <v>-7.9999999999999932E-3</v>
      </c>
      <c r="G22" s="46">
        <f>IF(F22="","",(F22-Controls!$E$10)/(Controls!$E$2-Controls!$E$10))</f>
        <v>-8.7591240875912278E-3</v>
      </c>
      <c r="H22" s="43" t="str">
        <f t="shared" si="1"/>
        <v>NEG</v>
      </c>
      <c r="I22" s="43" t="str">
        <f t="shared" si="2"/>
        <v>NEG</v>
      </c>
      <c r="J22" s="43" t="str">
        <f t="shared" si="3"/>
        <v>N</v>
      </c>
      <c r="K22" s="73"/>
    </row>
    <row r="23" spans="1:11" ht="15" customHeight="1" thickBot="1">
      <c r="A23" s="72" t="s">
        <v>185</v>
      </c>
      <c r="B23" s="72">
        <v>2</v>
      </c>
      <c r="C23" s="72" t="s">
        <v>44</v>
      </c>
      <c r="D23" s="43">
        <f>IF(Deepwell!E18="","",Deepwell!E18)</f>
        <v>358</v>
      </c>
      <c r="E23" s="44">
        <f>IF(ELISA!F7="","",ELISA!F7)</f>
        <v>2501061</v>
      </c>
      <c r="F23" s="45">
        <f>IF('450 nm - 600 nm'!B26="","",(('450 nm - 600 nm'!B26+'450 nm - 600 nm'!E26)/2)-(('450 nm - 600 nm'!H26+'450 nm - 600 nm'!K26)/2))</f>
        <v>0.1295</v>
      </c>
      <c r="G23" s="46">
        <f>IF(F23="","",(F23-Controls!$E$11)/(Controls!$E$3-Controls!$E$11))</f>
        <v>0.20298977183320216</v>
      </c>
      <c r="H23" s="43" t="str">
        <f t="shared" si="1"/>
        <v>NEG</v>
      </c>
      <c r="I23" s="43" t="str">
        <f t="shared" si="2"/>
        <v>NEG</v>
      </c>
      <c r="J23" s="43" t="str">
        <f t="shared" si="3"/>
        <v>N</v>
      </c>
      <c r="K23" s="73"/>
    </row>
    <row r="24" spans="1:11" ht="15" customHeight="1" thickBot="1">
      <c r="A24" s="72" t="s">
        <v>186</v>
      </c>
      <c r="B24" s="72">
        <v>2</v>
      </c>
      <c r="C24" s="72" t="s">
        <v>48</v>
      </c>
      <c r="D24" s="43">
        <f>IF(Deepwell!E19="","",Deepwell!E19)</f>
        <v>359</v>
      </c>
      <c r="E24" s="44">
        <f>IF(ELISA!F8="","",ELISA!F8)</f>
        <v>2500724</v>
      </c>
      <c r="F24" s="45">
        <f>IF('450 nm - 600 nm'!B27="","",(('450 nm - 600 nm'!B27+'450 nm - 600 nm'!E27)/2)-(('450 nm - 600 nm'!H27+'450 nm - 600 nm'!K27)/2))</f>
        <v>3.0499999999999999E-2</v>
      </c>
      <c r="G24" s="46">
        <f>IF(F24="","",(F24-Controls!$E$11)/(Controls!$E$3-Controls!$E$11))</f>
        <v>4.7206923682140037E-2</v>
      </c>
      <c r="H24" s="43" t="str">
        <f t="shared" si="1"/>
        <v>NEG</v>
      </c>
      <c r="I24" s="43" t="str">
        <f t="shared" si="2"/>
        <v>NEG</v>
      </c>
      <c r="J24" s="43" t="str">
        <f t="shared" si="3"/>
        <v>N</v>
      </c>
      <c r="K24" s="73"/>
    </row>
    <row r="25" spans="1:11" ht="15" customHeight="1" thickBot="1">
      <c r="A25" s="72" t="s">
        <v>187</v>
      </c>
      <c r="B25" s="72">
        <v>2</v>
      </c>
      <c r="C25" s="72" t="s">
        <v>52</v>
      </c>
      <c r="D25" s="43">
        <f>IF(Deepwell!E20="","",Deepwell!E20)</f>
        <v>360</v>
      </c>
      <c r="E25" s="44">
        <f>IF(ELISA!F9="","",ELISA!F9)</f>
        <v>2500721</v>
      </c>
      <c r="F25" s="45">
        <f>IF('450 nm - 600 nm'!B28="","",(('450 nm - 600 nm'!B28+'450 nm - 600 nm'!E28)/2)-(('450 nm - 600 nm'!H28+'450 nm - 600 nm'!K28)/2))</f>
        <v>4.7000000000000007E-2</v>
      </c>
      <c r="G25" s="46">
        <f>IF(F25="","",(F25-Controls!$E$11)/(Controls!$E$3-Controls!$E$11))</f>
        <v>7.3170731707317069E-2</v>
      </c>
      <c r="H25" s="43" t="str">
        <f t="shared" si="1"/>
        <v>NEG</v>
      </c>
      <c r="I25" s="43" t="str">
        <f t="shared" si="2"/>
        <v>NEG</v>
      </c>
      <c r="J25" s="43" t="str">
        <f t="shared" si="3"/>
        <v>N</v>
      </c>
      <c r="K25" s="73"/>
    </row>
    <row r="26" spans="1:11" ht="15" customHeight="1" thickBot="1">
      <c r="A26" s="72" t="s">
        <v>188</v>
      </c>
      <c r="B26" s="72">
        <v>2</v>
      </c>
      <c r="C26" s="72" t="s">
        <v>56</v>
      </c>
      <c r="D26" s="43">
        <f>IF(Deepwell!E21="","",Deepwell!E21)</f>
        <v>361</v>
      </c>
      <c r="E26" s="44">
        <f>IF(ELISA!F10="","",ELISA!F10)</f>
        <v>2500714</v>
      </c>
      <c r="F26" s="45">
        <f>IF('450 nm - 600 nm'!B29="","",(('450 nm - 600 nm'!B29+'450 nm - 600 nm'!E29)/2)-(('450 nm - 600 nm'!H29+'450 nm - 600 nm'!K29)/2))</f>
        <v>4.65E-2</v>
      </c>
      <c r="G26" s="46">
        <f>IF(F26="","",(F26-Controls!$E$11)/(Controls!$E$3-Controls!$E$11))</f>
        <v>7.2383949645948048E-2</v>
      </c>
      <c r="H26" s="43" t="str">
        <f t="shared" si="1"/>
        <v>NEG</v>
      </c>
      <c r="I26" s="43" t="str">
        <f t="shared" si="2"/>
        <v>NEG</v>
      </c>
      <c r="J26" s="43" t="str">
        <f t="shared" si="3"/>
        <v>N</v>
      </c>
      <c r="K26" s="73"/>
    </row>
    <row r="27" spans="1:11" ht="15" customHeight="1" thickBot="1">
      <c r="A27" s="72" t="s">
        <v>189</v>
      </c>
      <c r="B27" s="72">
        <v>2</v>
      </c>
      <c r="C27" s="72" t="s">
        <v>60</v>
      </c>
      <c r="D27" s="43">
        <f>IF(Deepwell!E22="","",Deepwell!E22)</f>
        <v>362</v>
      </c>
      <c r="E27" s="44">
        <f>IF(ELISA!F11="","",ELISA!F11)</f>
        <v>2500723</v>
      </c>
      <c r="F27" s="45">
        <f>IF('450 nm - 600 nm'!B30="","",(('450 nm - 600 nm'!B30+'450 nm - 600 nm'!E30)/2)-(('450 nm - 600 nm'!H30+'450 nm - 600 nm'!K30)/2))</f>
        <v>5.149999999999999E-2</v>
      </c>
      <c r="G27" s="46">
        <f>IF(F27="","",(F27-Controls!$E$11)/(Controls!$E$3-Controls!$E$11))</f>
        <v>8.0251770259638047E-2</v>
      </c>
      <c r="H27" s="43" t="str">
        <f t="shared" si="1"/>
        <v>NEG</v>
      </c>
      <c r="I27" s="43" t="str">
        <f t="shared" si="2"/>
        <v>NEG</v>
      </c>
      <c r="J27" s="43" t="str">
        <f t="shared" si="3"/>
        <v>N</v>
      </c>
      <c r="K27" s="73"/>
    </row>
    <row r="28" spans="1:11" ht="15" customHeight="1" thickBot="1">
      <c r="A28" s="72" t="s">
        <v>190</v>
      </c>
      <c r="B28" s="72">
        <v>2</v>
      </c>
      <c r="C28" s="72" t="s">
        <v>64</v>
      </c>
      <c r="D28" s="43">
        <f>IF(Deepwell!E23="","",Deepwell!E23)</f>
        <v>363</v>
      </c>
      <c r="E28" s="44">
        <f>IF(ELISA!F12="","",ELISA!F12)</f>
        <v>2500718</v>
      </c>
      <c r="F28" s="45">
        <f>IF('450 nm - 600 nm'!B31="","",(('450 nm - 600 nm'!B31+'450 nm - 600 nm'!E31)/2)-(('450 nm - 600 nm'!H31+'450 nm - 600 nm'!K31)/2))</f>
        <v>9.4000000000000028E-2</v>
      </c>
      <c r="G28" s="46">
        <f>IF(F28="","",(F28-Controls!$E$11)/(Controls!$E$3-Controls!$E$11))</f>
        <v>0.14712824547600314</v>
      </c>
      <c r="H28" s="43" t="str">
        <f t="shared" si="1"/>
        <v>NEG</v>
      </c>
      <c r="I28" s="43" t="str">
        <f t="shared" si="2"/>
        <v>NEG</v>
      </c>
      <c r="J28" s="43" t="str">
        <f t="shared" si="3"/>
        <v>N</v>
      </c>
      <c r="K28" s="73"/>
    </row>
    <row r="29" spans="1:11" ht="15" customHeight="1" thickBot="1">
      <c r="A29" s="72" t="s">
        <v>191</v>
      </c>
      <c r="B29" s="72">
        <v>2</v>
      </c>
      <c r="C29" s="72" t="s">
        <v>68</v>
      </c>
      <c r="D29" s="43">
        <f>IF(Deepwell!E24="","",Deepwell!E24)</f>
        <v>364</v>
      </c>
      <c r="E29" s="44">
        <f>IF(ELISA!F13="","",ELISA!F13)</f>
        <v>2501056</v>
      </c>
      <c r="F29" s="45">
        <f>IF('450 nm - 600 nm'!B32="","",(('450 nm - 600 nm'!B32+'450 nm - 600 nm'!E32)/2)-(('450 nm - 600 nm'!H32+'450 nm - 600 nm'!K32)/2))</f>
        <v>3.9999999999999994E-2</v>
      </c>
      <c r="G29" s="46">
        <f>IF(F29="","",(F29-Controls!$E$11)/(Controls!$E$3-Controls!$E$11))</f>
        <v>6.2155782848151035E-2</v>
      </c>
      <c r="H29" s="43" t="str">
        <f t="shared" si="1"/>
        <v>NEG</v>
      </c>
      <c r="I29" s="43" t="str">
        <f t="shared" si="2"/>
        <v>NEG</v>
      </c>
      <c r="J29" s="43" t="str">
        <f t="shared" si="3"/>
        <v>N</v>
      </c>
      <c r="K29" s="73"/>
    </row>
    <row r="30" spans="1:11" ht="15" customHeight="1" thickBot="1">
      <c r="A30" s="72" t="s">
        <v>192</v>
      </c>
      <c r="B30" s="72">
        <v>2</v>
      </c>
      <c r="C30" s="72" t="s">
        <v>72</v>
      </c>
      <c r="D30" s="43">
        <f>IF(Deepwell!E25="","",Deepwell!E25)</f>
        <v>365</v>
      </c>
      <c r="E30" s="44">
        <f>IF(ELISA!F14="","",ELISA!F14)</f>
        <v>2501103</v>
      </c>
      <c r="F30" s="45">
        <f>IF('450 nm - 600 nm'!B33="","",(('450 nm - 600 nm'!B33+'450 nm - 600 nm'!E33)/2)-(('450 nm - 600 nm'!H33+'450 nm - 600 nm'!K33)/2))</f>
        <v>3.3000000000000002E-2</v>
      </c>
      <c r="G30" s="46">
        <f>IF(F30="","",(F30-Controls!$E$11)/(Controls!$E$3-Controls!$E$11))</f>
        <v>5.1140833988985036E-2</v>
      </c>
      <c r="H30" s="43" t="str">
        <f t="shared" si="1"/>
        <v>NEG</v>
      </c>
      <c r="I30" s="43" t="str">
        <f t="shared" si="2"/>
        <v>NEG</v>
      </c>
      <c r="J30" s="43" t="str">
        <f t="shared" si="3"/>
        <v>N</v>
      </c>
      <c r="K30" s="73"/>
    </row>
    <row r="31" spans="1:11" ht="15" customHeight="1" thickBot="1">
      <c r="A31" s="72" t="s">
        <v>193</v>
      </c>
      <c r="B31" s="72">
        <v>2</v>
      </c>
      <c r="C31" s="72" t="s">
        <v>76</v>
      </c>
      <c r="D31" s="43">
        <f>IF(Deepwell!F18="","",Deepwell!F18)</f>
        <v>366</v>
      </c>
      <c r="E31" s="44">
        <f>IF(ELISA!F15="","",ELISA!F15)</f>
        <v>2501102</v>
      </c>
      <c r="F31" s="45">
        <f>IF('450 nm - 600 nm'!C26="","",(('450 nm - 600 nm'!C26+'450 nm - 600 nm'!F26)/2)-(('450 nm - 600 nm'!I26+'450 nm - 600 nm'!L26)/2))</f>
        <v>2.2499999999999999E-2</v>
      </c>
      <c r="G31" s="46">
        <f>IF(F31="","",(F31-Controls!$E$11)/(Controls!$E$3-Controls!$E$11))</f>
        <v>3.4618410700236031E-2</v>
      </c>
      <c r="H31" s="43" t="str">
        <f t="shared" si="1"/>
        <v>NEG</v>
      </c>
      <c r="I31" s="43" t="str">
        <f t="shared" si="2"/>
        <v>NEG</v>
      </c>
      <c r="J31" s="43" t="str">
        <f t="shared" si="3"/>
        <v>N</v>
      </c>
      <c r="K31" s="73"/>
    </row>
    <row r="32" spans="1:11" ht="15" customHeight="1" thickBot="1">
      <c r="A32" s="72" t="s">
        <v>194</v>
      </c>
      <c r="B32" s="72">
        <v>2</v>
      </c>
      <c r="C32" s="72" t="s">
        <v>80</v>
      </c>
      <c r="D32" s="43">
        <f>IF(Deepwell!F19="","",Deepwell!F19)</f>
        <v>367</v>
      </c>
      <c r="E32" s="44">
        <f>IF(ELISA!F16="","",ELISA!F16)</f>
        <v>2501116</v>
      </c>
      <c r="F32" s="45">
        <f>IF('450 nm - 600 nm'!C27="","",(('450 nm - 600 nm'!C27+'450 nm - 600 nm'!F27)/2)-(('450 nm - 600 nm'!I27+'450 nm - 600 nm'!L27)/2))</f>
        <v>1.429</v>
      </c>
      <c r="G32" s="46">
        <f>IF(F32="","",(F32-Controls!$E$11)/(Controls!$E$3-Controls!$E$11))</f>
        <v>2.247836349331235</v>
      </c>
      <c r="H32" s="43" t="str">
        <f t="shared" si="1"/>
        <v>POS</v>
      </c>
      <c r="I32" s="43" t="str">
        <f t="shared" si="2"/>
        <v>POS</v>
      </c>
      <c r="J32" s="43" t="str">
        <f t="shared" si="3"/>
        <v>P</v>
      </c>
      <c r="K32" s="73"/>
    </row>
    <row r="33" spans="1:11" ht="15" customHeight="1" thickBot="1">
      <c r="A33" s="72" t="s">
        <v>195</v>
      </c>
      <c r="B33" s="72">
        <v>2</v>
      </c>
      <c r="C33" s="72" t="s">
        <v>84</v>
      </c>
      <c r="D33" s="43">
        <f>IF(Deepwell!F20="","",Deepwell!F20)</f>
        <v>368</v>
      </c>
      <c r="E33" s="44">
        <f>IF(ELISA!F17="","",ELISA!F17)</f>
        <v>2501137</v>
      </c>
      <c r="F33" s="45">
        <f>IF('450 nm - 600 nm'!C28="","",(('450 nm - 600 nm'!C28+'450 nm - 600 nm'!F28)/2)-(('450 nm - 600 nm'!I28+'450 nm - 600 nm'!L28)/2))</f>
        <v>4.4999999999999971E-3</v>
      </c>
      <c r="G33" s="46">
        <f>IF(F33="","",(F33-Controls!$E$11)/(Controls!$E$3-Controls!$E$11))</f>
        <v>6.2942564909520046E-3</v>
      </c>
      <c r="H33" s="43" t="str">
        <f t="shared" si="1"/>
        <v>NEG</v>
      </c>
      <c r="I33" s="43" t="str">
        <f t="shared" si="2"/>
        <v>NEG</v>
      </c>
      <c r="J33" s="43" t="str">
        <f t="shared" si="3"/>
        <v>N</v>
      </c>
      <c r="K33" s="73"/>
    </row>
    <row r="34" spans="1:11" ht="15" customHeight="1" thickBot="1">
      <c r="A34" s="72" t="s">
        <v>196</v>
      </c>
      <c r="B34" s="72">
        <v>2</v>
      </c>
      <c r="C34" s="72" t="s">
        <v>88</v>
      </c>
      <c r="D34" s="43">
        <f>IF(Deepwell!F21="","",Deepwell!F21)</f>
        <v>369</v>
      </c>
      <c r="E34" s="44">
        <f>IF(ELISA!F18="","",ELISA!F18)</f>
        <v>2500701</v>
      </c>
      <c r="F34" s="45">
        <f>IF('450 nm - 600 nm'!C29="","",(('450 nm - 600 nm'!C29+'450 nm - 600 nm'!F29)/2)-(('450 nm - 600 nm'!I29+'450 nm - 600 nm'!L29)/2))</f>
        <v>1.8500000000000009E-2</v>
      </c>
      <c r="G34" s="46">
        <f>IF(F34="","",(F34-Controls!$E$11)/(Controls!$E$3-Controls!$E$11))</f>
        <v>2.8324154209284039E-2</v>
      </c>
      <c r="H34" s="43" t="str">
        <f t="shared" ref="H34:H65" si="4">IF(G34="","",IF(G34&gt;=60%,"POS","NEG"))</f>
        <v>NEG</v>
      </c>
      <c r="I34" s="43" t="str">
        <f t="shared" ref="I34:I65" si="5">IF(G34="","",IF(G34&gt;=50%,"POS","NEG"))</f>
        <v>NEG</v>
      </c>
      <c r="J34" s="43" t="str">
        <f t="shared" si="3"/>
        <v>N</v>
      </c>
      <c r="K34" s="73"/>
    </row>
    <row r="35" spans="1:11" ht="15" customHeight="1" thickBot="1">
      <c r="A35" s="72" t="s">
        <v>197</v>
      </c>
      <c r="B35" s="72">
        <v>2</v>
      </c>
      <c r="C35" s="72" t="s">
        <v>92</v>
      </c>
      <c r="D35" s="43">
        <f>IF(Deepwell!F22="","",Deepwell!F22)</f>
        <v>370</v>
      </c>
      <c r="E35" s="44">
        <f>IF(ELISA!F19="","",ELISA!F19)</f>
        <v>2500738</v>
      </c>
      <c r="F35" s="45">
        <f>IF('450 nm - 600 nm'!C30="","",(('450 nm - 600 nm'!C30+'450 nm - 600 nm'!F30)/2)-(('450 nm - 600 nm'!I30+'450 nm - 600 nm'!L30)/2))</f>
        <v>3.2000000000000001E-2</v>
      </c>
      <c r="G35" s="46">
        <f>IF(F35="","",(F35-Controls!$E$11)/(Controls!$E$3-Controls!$E$11))</f>
        <v>4.9567269866247037E-2</v>
      </c>
      <c r="H35" s="43" t="str">
        <f t="shared" si="4"/>
        <v>NEG</v>
      </c>
      <c r="I35" s="43" t="str">
        <f t="shared" si="5"/>
        <v>NEG</v>
      </c>
      <c r="J35" s="43" t="str">
        <f t="shared" si="3"/>
        <v>N</v>
      </c>
      <c r="K35" s="73"/>
    </row>
    <row r="36" spans="1:11" ht="15" customHeight="1" thickBot="1">
      <c r="A36" s="72" t="s">
        <v>198</v>
      </c>
      <c r="B36" s="72">
        <v>2</v>
      </c>
      <c r="C36" s="72" t="s">
        <v>96</v>
      </c>
      <c r="D36" s="43">
        <f>IF(Deepwell!F23="","",Deepwell!F23)</f>
        <v>371</v>
      </c>
      <c r="E36" s="44">
        <f>IF(ELISA!F20="","",ELISA!F20)</f>
        <v>2501086</v>
      </c>
      <c r="F36" s="45">
        <f>IF('450 nm - 600 nm'!C31="","",(('450 nm - 600 nm'!C31+'450 nm - 600 nm'!F31)/2)-(('450 nm - 600 nm'!I31+'450 nm - 600 nm'!L31)/2))</f>
        <v>3.85E-2</v>
      </c>
      <c r="G36" s="46">
        <f>IF(F36="","",(F36-Controls!$E$11)/(Controls!$E$3-Controls!$E$11))</f>
        <v>5.9795436664044049E-2</v>
      </c>
      <c r="H36" s="43" t="str">
        <f t="shared" si="4"/>
        <v>NEG</v>
      </c>
      <c r="I36" s="43" t="str">
        <f t="shared" si="5"/>
        <v>NEG</v>
      </c>
      <c r="J36" s="43" t="str">
        <f t="shared" si="3"/>
        <v>N</v>
      </c>
      <c r="K36" s="73"/>
    </row>
    <row r="37" spans="1:11" ht="15" customHeight="1" thickBot="1">
      <c r="A37" s="72" t="s">
        <v>199</v>
      </c>
      <c r="B37" s="72">
        <v>2</v>
      </c>
      <c r="C37" s="72" t="s">
        <v>100</v>
      </c>
      <c r="D37" s="43">
        <f>IF(Deepwell!F24="","",Deepwell!F24)</f>
        <v>372</v>
      </c>
      <c r="E37" s="44">
        <f>IF(ELISA!F21="","",ELISA!F21)</f>
        <v>2501070</v>
      </c>
      <c r="F37" s="45">
        <f>IF('450 nm - 600 nm'!C32="","",(('450 nm - 600 nm'!C32+'450 nm - 600 nm'!F32)/2)-(('450 nm - 600 nm'!I32+'450 nm - 600 nm'!L32)/2))</f>
        <v>0.16649999999999998</v>
      </c>
      <c r="G37" s="46">
        <f>IF(F37="","",(F37-Controls!$E$11)/(Controls!$E$3-Controls!$E$11))</f>
        <v>0.26121164437450817</v>
      </c>
      <c r="H37" s="43" t="str">
        <f t="shared" si="4"/>
        <v>NEG</v>
      </c>
      <c r="I37" s="43" t="str">
        <f t="shared" si="5"/>
        <v>NEG</v>
      </c>
      <c r="J37" s="43" t="str">
        <f t="shared" si="3"/>
        <v>N</v>
      </c>
      <c r="K37" s="73"/>
    </row>
    <row r="38" spans="1:11" ht="15" customHeight="1" thickBot="1">
      <c r="A38" s="72" t="s">
        <v>200</v>
      </c>
      <c r="B38" s="72">
        <v>2</v>
      </c>
      <c r="C38" s="72" t="s">
        <v>104</v>
      </c>
      <c r="D38" s="43">
        <f>IF(Deepwell!F25="","",Deepwell!F25)</f>
        <v>373</v>
      </c>
      <c r="E38" s="44">
        <f>IF(ELISA!F22="","",ELISA!F22)</f>
        <v>2501094</v>
      </c>
      <c r="F38" s="45">
        <f>IF('450 nm - 600 nm'!C33="","",(('450 nm - 600 nm'!C33+'450 nm - 600 nm'!F33)/2)-(('450 nm - 600 nm'!I33+'450 nm - 600 nm'!L33)/2))</f>
        <v>1.0999999999999996E-2</v>
      </c>
      <c r="G38" s="46">
        <f>IF(F38="","",(F38-Controls!$E$11)/(Controls!$E$3-Controls!$E$11))</f>
        <v>1.6522423288749009E-2</v>
      </c>
      <c r="H38" s="43" t="str">
        <f t="shared" si="4"/>
        <v>NEG</v>
      </c>
      <c r="I38" s="43" t="str">
        <f t="shared" si="5"/>
        <v>NEG</v>
      </c>
      <c r="J38" s="43" t="str">
        <f t="shared" si="3"/>
        <v>N</v>
      </c>
      <c r="K38" s="73"/>
    </row>
    <row r="39" spans="1:11" ht="15" customHeight="1" thickBot="1">
      <c r="A39" s="72" t="s">
        <v>201</v>
      </c>
      <c r="B39" s="72">
        <v>2</v>
      </c>
      <c r="C39" s="72" t="s">
        <v>108</v>
      </c>
      <c r="D39" s="43">
        <f>IF(Deepwell!G18="","",Deepwell!G18)</f>
        <v>374</v>
      </c>
      <c r="E39" s="44">
        <f>IF(ELISA!F23="","",ELISA!F23)</f>
        <v>2501115</v>
      </c>
      <c r="F39" s="45">
        <f>IF('450 nm - 600 nm'!D26="","",(('450 nm - 600 nm'!D26+'450 nm - 600 nm'!G26)/2)-(('450 nm - 600 nm'!J26+'450 nm - 600 nm'!M26)/2))</f>
        <v>3.8000000000000006E-2</v>
      </c>
      <c r="G39" s="46">
        <f>IF(F39="","",(F39-Controls!$E$11)/(Controls!$E$3-Controls!$E$11))</f>
        <v>5.9008654602675049E-2</v>
      </c>
      <c r="H39" s="43" t="str">
        <f t="shared" si="4"/>
        <v>NEG</v>
      </c>
      <c r="I39" s="43" t="str">
        <f t="shared" si="5"/>
        <v>NEG</v>
      </c>
      <c r="J39" s="43" t="str">
        <f t="shared" si="3"/>
        <v>N</v>
      </c>
      <c r="K39" s="73"/>
    </row>
    <row r="40" spans="1:11" ht="15" customHeight="1" thickBot="1">
      <c r="A40" s="72" t="s">
        <v>202</v>
      </c>
      <c r="B40" s="72">
        <v>2</v>
      </c>
      <c r="C40" s="72" t="s">
        <v>112</v>
      </c>
      <c r="D40" s="43">
        <f>IF(Deepwell!G19="","",Deepwell!G19)</f>
        <v>375</v>
      </c>
      <c r="E40" s="44">
        <f>IF(ELISA!F24="","",ELISA!F24)</f>
        <v>2501134</v>
      </c>
      <c r="F40" s="45">
        <f>IF('450 nm - 600 nm'!D27="","",(('450 nm - 600 nm'!D27+'450 nm - 600 nm'!G27)/2)-(('450 nm - 600 nm'!J27+'450 nm - 600 nm'!M27)/2))</f>
        <v>5.2500000000000019E-2</v>
      </c>
      <c r="G40" s="46">
        <f>IF(F40="","",(F40-Controls!$E$11)/(Controls!$E$3-Controls!$E$11))</f>
        <v>8.1825334382376089E-2</v>
      </c>
      <c r="H40" s="43" t="str">
        <f t="shared" si="4"/>
        <v>NEG</v>
      </c>
      <c r="I40" s="43" t="str">
        <f t="shared" si="5"/>
        <v>NEG</v>
      </c>
      <c r="J40" s="43" t="str">
        <f t="shared" si="3"/>
        <v>N</v>
      </c>
      <c r="K40" s="73"/>
    </row>
    <row r="41" spans="1:11" ht="15" customHeight="1" thickBot="1">
      <c r="A41" s="72" t="s">
        <v>203</v>
      </c>
      <c r="B41" s="72">
        <v>2</v>
      </c>
      <c r="C41" s="72" t="s">
        <v>116</v>
      </c>
      <c r="D41" s="43">
        <f>IF(Deepwell!G20="","",Deepwell!G20)</f>
        <v>376</v>
      </c>
      <c r="E41" s="44">
        <f>IF(ELISA!F25="","",ELISA!F25)</f>
        <v>2501121</v>
      </c>
      <c r="F41" s="45">
        <f>IF('450 nm - 600 nm'!D28="","",(('450 nm - 600 nm'!D28+'450 nm - 600 nm'!G28)/2)-(('450 nm - 600 nm'!J28+'450 nm - 600 nm'!M28)/2))</f>
        <v>0.17549999999999999</v>
      </c>
      <c r="G41" s="46">
        <f>IF(F41="","",(F41-Controls!$E$11)/(Controls!$E$3-Controls!$E$11))</f>
        <v>0.27537372147915018</v>
      </c>
      <c r="H41" s="43" t="str">
        <f t="shared" si="4"/>
        <v>NEG</v>
      </c>
      <c r="I41" s="43" t="str">
        <f t="shared" si="5"/>
        <v>NEG</v>
      </c>
      <c r="J41" s="43" t="str">
        <f t="shared" si="3"/>
        <v>N</v>
      </c>
      <c r="K41" s="73"/>
    </row>
    <row r="42" spans="1:11" ht="15" customHeight="1" thickBot="1">
      <c r="A42" s="72" t="s">
        <v>204</v>
      </c>
      <c r="B42" s="72">
        <v>2</v>
      </c>
      <c r="C42" s="72" t="s">
        <v>120</v>
      </c>
      <c r="D42" s="43">
        <f>IF(Deepwell!G21="","",Deepwell!G21)</f>
        <v>377</v>
      </c>
      <c r="E42" s="44">
        <f>IF(ELISA!F26="","",ELISA!F26)</f>
        <v>2501133</v>
      </c>
      <c r="F42" s="45">
        <f>IF('450 nm - 600 nm'!D29="","",(('450 nm - 600 nm'!D29+'450 nm - 600 nm'!G29)/2)-(('450 nm - 600 nm'!J29+'450 nm - 600 nm'!M29)/2))</f>
        <v>6.4999999999999988E-3</v>
      </c>
      <c r="G42" s="46">
        <f>IF(F42="","",(F42-Controls!$E$11)/(Controls!$E$3-Controls!$E$11))</f>
        <v>9.4413847364280094E-3</v>
      </c>
      <c r="H42" s="43" t="str">
        <f t="shared" si="4"/>
        <v>NEG</v>
      </c>
      <c r="I42" s="43" t="str">
        <f t="shared" si="5"/>
        <v>NEG</v>
      </c>
      <c r="J42" s="43" t="str">
        <f t="shared" si="3"/>
        <v>N</v>
      </c>
      <c r="K42" s="73"/>
    </row>
    <row r="43" spans="1:11" ht="15" customHeight="1" thickBot="1">
      <c r="A43" s="72" t="s">
        <v>205</v>
      </c>
      <c r="B43" s="72">
        <v>2</v>
      </c>
      <c r="C43" s="72" t="s">
        <v>124</v>
      </c>
      <c r="D43" s="43">
        <f>IF(Deepwell!G22="","",Deepwell!G22)</f>
        <v>378</v>
      </c>
      <c r="E43" s="44">
        <f>IF(ELISA!F27="","",ELISA!F27)</f>
        <v>2501132</v>
      </c>
      <c r="F43" s="45">
        <f>IF('450 nm - 600 nm'!D30="","",(('450 nm - 600 nm'!D30+'450 nm - 600 nm'!G30)/2)-(('450 nm - 600 nm'!J30+'450 nm - 600 nm'!M30)/2))</f>
        <v>-4.0000000000000036E-3</v>
      </c>
      <c r="G43" s="46">
        <f>IF(F43="","",(F43-Controls!$E$11)/(Controls!$E$3-Controls!$E$11))</f>
        <v>-7.0810385523210062E-3</v>
      </c>
      <c r="H43" s="43" t="str">
        <f t="shared" si="4"/>
        <v>NEG</v>
      </c>
      <c r="I43" s="43" t="str">
        <f t="shared" si="5"/>
        <v>NEG</v>
      </c>
      <c r="J43" s="43" t="str">
        <f t="shared" si="3"/>
        <v>N</v>
      </c>
      <c r="K43" s="73"/>
    </row>
    <row r="44" spans="1:11" ht="15" customHeight="1" thickBot="1">
      <c r="A44" s="72" t="s">
        <v>206</v>
      </c>
      <c r="B44" s="72">
        <v>3</v>
      </c>
      <c r="C44" s="72" t="s">
        <v>45</v>
      </c>
      <c r="D44" s="43">
        <f>IF(Deepwell!H18="","",Deepwell!H18)</f>
        <v>379</v>
      </c>
      <c r="E44" s="44">
        <f>IF(ELISA!J7="","",ELISA!J7)</f>
        <v>2501080</v>
      </c>
      <c r="F44" s="45">
        <f>IF('450 nm - 600 nm'!B38="","",(('450 nm - 600 nm'!B38+'450 nm - 600 nm'!E38)/2)-(('450 nm - 600 nm'!H38+'450 nm - 600 nm'!K38)/2))</f>
        <v>0.05</v>
      </c>
      <c r="G44" s="46">
        <f>IF(F44="","",(F44-Controls!$E$12)/(Controls!E$4-Controls!$E$12))</f>
        <v>5.7208237986270026E-2</v>
      </c>
      <c r="H44" s="43" t="str">
        <f t="shared" si="4"/>
        <v>NEG</v>
      </c>
      <c r="I44" s="43" t="str">
        <f t="shared" si="5"/>
        <v>NEG</v>
      </c>
      <c r="J44" s="43" t="str">
        <f t="shared" si="3"/>
        <v>N</v>
      </c>
      <c r="K44" s="73"/>
    </row>
    <row r="45" spans="1:11" ht="15" customHeight="1" thickBot="1">
      <c r="A45" s="72" t="s">
        <v>207</v>
      </c>
      <c r="B45" s="72">
        <v>3</v>
      </c>
      <c r="C45" s="72" t="s">
        <v>49</v>
      </c>
      <c r="D45" s="43">
        <f>IF(Deepwell!H19="","",Deepwell!H19)</f>
        <v>380</v>
      </c>
      <c r="E45" s="44">
        <f>IF(ELISA!J8="","",ELISA!J8)</f>
        <v>2501074</v>
      </c>
      <c r="F45" s="45">
        <f>IF('450 nm - 600 nm'!B39="","",(('450 nm - 600 nm'!B39+'450 nm - 600 nm'!E39)/2)-(('450 nm - 600 nm'!H39+'450 nm - 600 nm'!K39)/2))</f>
        <v>3.5000000000000031E-3</v>
      </c>
      <c r="G45" s="46">
        <f>IF(F45="","",(F45-Controls!$E$12)/(Controls!E$4-Controls!$E$12))</f>
        <v>4.0045766590389052E-3</v>
      </c>
      <c r="H45" s="43" t="str">
        <f t="shared" si="4"/>
        <v>NEG</v>
      </c>
      <c r="I45" s="43" t="str">
        <f t="shared" si="5"/>
        <v>NEG</v>
      </c>
      <c r="J45" s="43" t="str">
        <f t="shared" si="3"/>
        <v>N</v>
      </c>
      <c r="K45" s="73"/>
    </row>
    <row r="46" spans="1:11" ht="15" customHeight="1" thickBot="1">
      <c r="A46" s="72" t="s">
        <v>208</v>
      </c>
      <c r="B46" s="72">
        <v>3</v>
      </c>
      <c r="C46" s="72" t="s">
        <v>53</v>
      </c>
      <c r="D46" s="43">
        <f>IF(Deepwell!H20="","",Deepwell!H20)</f>
        <v>381</v>
      </c>
      <c r="E46" s="44">
        <f>IF(ELISA!J9="","",ELISA!J9)</f>
        <v>2501076</v>
      </c>
      <c r="F46" s="45">
        <f>IF('450 nm - 600 nm'!B40="","",(('450 nm - 600 nm'!B40+'450 nm - 600 nm'!E40)/2)-(('450 nm - 600 nm'!H40+'450 nm - 600 nm'!K40)/2))</f>
        <v>0.22750000000000004</v>
      </c>
      <c r="G46" s="46">
        <f>IF(F46="","",(F46-Controls!$E$12)/(Controls!E$4-Controls!$E$12))</f>
        <v>0.26029748283752863</v>
      </c>
      <c r="H46" s="43" t="str">
        <f t="shared" si="4"/>
        <v>NEG</v>
      </c>
      <c r="I46" s="43" t="str">
        <f t="shared" si="5"/>
        <v>NEG</v>
      </c>
      <c r="J46" s="43" t="str">
        <f t="shared" si="3"/>
        <v>N</v>
      </c>
      <c r="K46" s="73"/>
    </row>
    <row r="47" spans="1:11" ht="15" customHeight="1" thickBot="1">
      <c r="A47" s="72" t="s">
        <v>209</v>
      </c>
      <c r="B47" s="72">
        <v>3</v>
      </c>
      <c r="C47" s="72" t="s">
        <v>57</v>
      </c>
      <c r="D47" s="43">
        <f>IF(Deepwell!H21="","",Deepwell!H21)</f>
        <v>382</v>
      </c>
      <c r="E47" s="44">
        <f>IF(ELISA!J10="","",ELISA!J10)</f>
        <v>2501084</v>
      </c>
      <c r="F47" s="45">
        <f>IF('450 nm - 600 nm'!B41="","",(('450 nm - 600 nm'!B41+'450 nm - 600 nm'!E41)/2)-(('450 nm - 600 nm'!H41+'450 nm - 600 nm'!K41)/2))</f>
        <v>0.23</v>
      </c>
      <c r="G47" s="46">
        <f>IF(F47="","",(F47-Controls!$E$12)/(Controls!E$4-Controls!$E$12))</f>
        <v>0.26315789473684209</v>
      </c>
      <c r="H47" s="43" t="str">
        <f t="shared" si="4"/>
        <v>NEG</v>
      </c>
      <c r="I47" s="43" t="str">
        <f t="shared" si="5"/>
        <v>NEG</v>
      </c>
      <c r="J47" s="43" t="str">
        <f t="shared" si="3"/>
        <v>N</v>
      </c>
      <c r="K47" s="73"/>
    </row>
    <row r="48" spans="1:11" ht="15" customHeight="1" thickBot="1">
      <c r="A48" s="72" t="s">
        <v>210</v>
      </c>
      <c r="B48" s="72">
        <v>3</v>
      </c>
      <c r="C48" s="72" t="s">
        <v>61</v>
      </c>
      <c r="D48" s="43">
        <f>IF(Deepwell!H22="","",Deepwell!H22)</f>
        <v>383</v>
      </c>
      <c r="E48" s="44">
        <f>IF(ELISA!J11="","",ELISA!J11)</f>
        <v>2402168</v>
      </c>
      <c r="F48" s="45">
        <f>IF('450 nm - 600 nm'!B42="","",(('450 nm - 600 nm'!B42+'450 nm - 600 nm'!E42)/2)-(('450 nm - 600 nm'!H42+'450 nm - 600 nm'!K42)/2))</f>
        <v>9.0000000000000011E-3</v>
      </c>
      <c r="G48" s="46">
        <f>IF(F48="","",(F48-Controls!$E$12)/(Controls!E$4-Controls!$E$12))</f>
        <v>1.0297482837528606E-2</v>
      </c>
      <c r="H48" s="43" t="str">
        <f t="shared" si="4"/>
        <v>NEG</v>
      </c>
      <c r="I48" s="43" t="str">
        <f t="shared" si="5"/>
        <v>NEG</v>
      </c>
      <c r="J48" s="43" t="str">
        <f t="shared" si="3"/>
        <v>N</v>
      </c>
      <c r="K48" s="73"/>
    </row>
    <row r="49" spans="1:11" ht="15" customHeight="1" thickBot="1">
      <c r="A49" s="72" t="s">
        <v>211</v>
      </c>
      <c r="B49" s="72">
        <v>3</v>
      </c>
      <c r="C49" s="72" t="s">
        <v>65</v>
      </c>
      <c r="D49" s="43">
        <f>IF(Deepwell!H23="","",Deepwell!H23)</f>
        <v>384</v>
      </c>
      <c r="E49" s="44">
        <f>IF(ELISA!J12="","",ELISA!J12)</f>
        <v>2400836</v>
      </c>
      <c r="F49" s="45">
        <f>IF('450 nm - 600 nm'!B43="","",(('450 nm - 600 nm'!B43+'450 nm - 600 nm'!E43)/2)-(('450 nm - 600 nm'!H43+'450 nm - 600 nm'!K43)/2))</f>
        <v>0.45</v>
      </c>
      <c r="G49" s="46">
        <f>IF(F49="","",(F49-Controls!$E$12)/(Controls!E$4-Controls!$E$12))</f>
        <v>0.51487414187643021</v>
      </c>
      <c r="H49" s="43" t="str">
        <f t="shared" si="4"/>
        <v>NEG</v>
      </c>
      <c r="I49" s="43" t="str">
        <f t="shared" si="5"/>
        <v>POS</v>
      </c>
      <c r="J49" s="43" t="str">
        <f t="shared" si="3"/>
        <v>P</v>
      </c>
      <c r="K49" s="73"/>
    </row>
    <row r="50" spans="1:11" ht="15" customHeight="1" thickBot="1">
      <c r="A50" s="72" t="s">
        <v>212</v>
      </c>
      <c r="B50" s="72">
        <v>3</v>
      </c>
      <c r="C50" s="72" t="s">
        <v>69</v>
      </c>
      <c r="D50" s="43">
        <f>IF(Deepwell!H24="","",Deepwell!H24)</f>
        <v>385</v>
      </c>
      <c r="E50" s="44">
        <f>IF(ELISA!J13="","",ELISA!J13)</f>
        <v>2501346</v>
      </c>
      <c r="F50" s="45">
        <f>IF('450 nm - 600 nm'!B44="","",(('450 nm - 600 nm'!B44+'450 nm - 600 nm'!E44)/2)-(('450 nm - 600 nm'!H44+'450 nm - 600 nm'!K44)/2))</f>
        <v>0.11899999999999999</v>
      </c>
      <c r="G50" s="46">
        <f>IF(F50="","",(F50-Controls!$E$12)/(Controls!E$4-Controls!$E$12))</f>
        <v>0.13615560640732266</v>
      </c>
      <c r="H50" s="43" t="str">
        <f t="shared" si="4"/>
        <v>NEG</v>
      </c>
      <c r="I50" s="43" t="str">
        <f t="shared" si="5"/>
        <v>NEG</v>
      </c>
      <c r="J50" s="43" t="str">
        <f t="shared" si="3"/>
        <v>N</v>
      </c>
      <c r="K50" s="73"/>
    </row>
    <row r="51" spans="1:11" ht="15" customHeight="1" thickBot="1">
      <c r="A51" s="72" t="s">
        <v>213</v>
      </c>
      <c r="B51" s="72">
        <v>3</v>
      </c>
      <c r="C51" s="72" t="s">
        <v>73</v>
      </c>
      <c r="D51" s="43">
        <f>IF(Deepwell!H25="","",Deepwell!H25)</f>
        <v>386</v>
      </c>
      <c r="E51" s="44">
        <f>IF(ELISA!J14="","",ELISA!J14)</f>
        <v>2400902</v>
      </c>
      <c r="F51" s="45">
        <f>IF('450 nm - 600 nm'!B45="","",(('450 nm - 600 nm'!B45+'450 nm - 600 nm'!E45)/2)-(('450 nm - 600 nm'!H45+'450 nm - 600 nm'!K45)/2))</f>
        <v>6.6500000000000004E-2</v>
      </c>
      <c r="G51" s="46">
        <f>IF(F51="","",(F51-Controls!$E$12)/(Controls!E$4-Controls!$E$12))</f>
        <v>7.6086956521739135E-2</v>
      </c>
      <c r="H51" s="43" t="str">
        <f t="shared" si="4"/>
        <v>NEG</v>
      </c>
      <c r="I51" s="43" t="str">
        <f t="shared" si="5"/>
        <v>NEG</v>
      </c>
      <c r="J51" s="43" t="str">
        <f t="shared" si="3"/>
        <v>N</v>
      </c>
      <c r="K51" s="73"/>
    </row>
    <row r="52" spans="1:11" ht="15" customHeight="1" thickBot="1">
      <c r="A52" s="72" t="s">
        <v>214</v>
      </c>
      <c r="B52" s="72">
        <v>3</v>
      </c>
      <c r="C52" s="72" t="s">
        <v>77</v>
      </c>
      <c r="D52" s="43">
        <f>IF(Deepwell!I18="","",Deepwell!I18)</f>
        <v>387</v>
      </c>
      <c r="E52" s="44">
        <f>IF(ELISA!J15="","",ELISA!J15)</f>
        <v>2501079</v>
      </c>
      <c r="F52" s="45">
        <f>IF('450 nm - 600 nm'!C38="","",(('450 nm - 600 nm'!C38+'450 nm - 600 nm'!F38)/2)-(('450 nm - 600 nm'!I38+'450 nm - 600 nm'!L38)/2))</f>
        <v>4.300000000000001E-2</v>
      </c>
      <c r="G52" s="46">
        <f>IF(F52="","",(F52-Controls!$E$12)/(Controls!E$4-Controls!$E$12))</f>
        <v>4.9199084668192235E-2</v>
      </c>
      <c r="H52" s="43" t="str">
        <f t="shared" si="4"/>
        <v>NEG</v>
      </c>
      <c r="I52" s="43" t="str">
        <f t="shared" si="5"/>
        <v>NEG</v>
      </c>
      <c r="J52" s="43" t="str">
        <f t="shared" si="3"/>
        <v>N</v>
      </c>
      <c r="K52" s="73"/>
    </row>
    <row r="53" spans="1:11" ht="15" customHeight="1" thickBot="1">
      <c r="A53" s="72" t="s">
        <v>215</v>
      </c>
      <c r="B53" s="72">
        <v>3</v>
      </c>
      <c r="C53" s="72" t="s">
        <v>81</v>
      </c>
      <c r="D53" s="43">
        <f>IF(Deepwell!I19="","",Deepwell!I19)</f>
        <v>388</v>
      </c>
      <c r="E53" s="44">
        <f>IF(ELISA!J16="","",ELISA!J16)</f>
        <v>2500671</v>
      </c>
      <c r="F53" s="45">
        <f>IF('450 nm - 600 nm'!C39="","",(('450 nm - 600 nm'!C39+'450 nm - 600 nm'!F39)/2)-(('450 nm - 600 nm'!I39+'450 nm - 600 nm'!L39)/2))</f>
        <v>-3.0499999999999999E-2</v>
      </c>
      <c r="G53" s="46">
        <f>IF(F53="","",(F53-Controls!$E$12)/(Controls!E$4-Controls!$E$12))</f>
        <v>-3.4897025171624713E-2</v>
      </c>
      <c r="H53" s="43" t="str">
        <f t="shared" si="4"/>
        <v>NEG</v>
      </c>
      <c r="I53" s="43" t="str">
        <f t="shared" si="5"/>
        <v>NEG</v>
      </c>
      <c r="J53" s="43" t="str">
        <f t="shared" si="3"/>
        <v>N</v>
      </c>
      <c r="K53" s="73"/>
    </row>
    <row r="54" spans="1:11" ht="15" customHeight="1" thickBot="1">
      <c r="A54" s="72" t="s">
        <v>216</v>
      </c>
      <c r="B54" s="72">
        <v>3</v>
      </c>
      <c r="C54" s="72" t="s">
        <v>85</v>
      </c>
      <c r="D54" s="43">
        <f>IF(Deepwell!I20="","",Deepwell!I20)</f>
        <v>389</v>
      </c>
      <c r="E54" s="44">
        <f>IF(ELISA!J17="","",ELISA!J17)</f>
        <v>2501069</v>
      </c>
      <c r="F54" s="45">
        <f>IF('450 nm - 600 nm'!C40="","",(('450 nm - 600 nm'!C40+'450 nm - 600 nm'!F40)/2)-(('450 nm - 600 nm'!I40+'450 nm - 600 nm'!L40)/2))</f>
        <v>-2.3000000000000007E-2</v>
      </c>
      <c r="G54" s="46">
        <f>IF(F54="","",(F54-Controls!$E$12)/(Controls!E$4-Controls!$E$12))</f>
        <v>-2.6315789473684219E-2</v>
      </c>
      <c r="H54" s="43" t="str">
        <f t="shared" si="4"/>
        <v>NEG</v>
      </c>
      <c r="I54" s="43" t="str">
        <f t="shared" si="5"/>
        <v>NEG</v>
      </c>
      <c r="J54" s="43" t="str">
        <f t="shared" si="3"/>
        <v>N</v>
      </c>
      <c r="K54" s="73"/>
    </row>
    <row r="55" spans="1:11" ht="15" customHeight="1" thickBot="1">
      <c r="A55" s="72" t="s">
        <v>217</v>
      </c>
      <c r="B55" s="72">
        <v>3</v>
      </c>
      <c r="C55" s="72" t="s">
        <v>89</v>
      </c>
      <c r="D55" s="43">
        <f>IF(Deepwell!I21="","",Deepwell!I21)</f>
        <v>390</v>
      </c>
      <c r="E55" s="44">
        <f>IF(ELISA!J18="","",ELISA!J18)</f>
        <v>2500620</v>
      </c>
      <c r="F55" s="45">
        <f>IF('450 nm - 600 nm'!C41="","",(('450 nm - 600 nm'!C41+'450 nm - 600 nm'!F41)/2)-(('450 nm - 600 nm'!I41+'450 nm - 600 nm'!L41)/2))</f>
        <v>1.9000000000000003E-2</v>
      </c>
      <c r="G55" s="46">
        <f>IF(F55="","",(F55-Controls!$E$12)/(Controls!E$4-Controls!$E$12))</f>
        <v>2.1739130434782612E-2</v>
      </c>
      <c r="H55" s="43" t="str">
        <f t="shared" si="4"/>
        <v>NEG</v>
      </c>
      <c r="I55" s="43" t="str">
        <f t="shared" si="5"/>
        <v>NEG</v>
      </c>
      <c r="J55" s="43" t="str">
        <f t="shared" si="3"/>
        <v>N</v>
      </c>
      <c r="K55" s="73"/>
    </row>
    <row r="56" spans="1:11" ht="15" customHeight="1" thickBot="1">
      <c r="A56" s="72" t="s">
        <v>218</v>
      </c>
      <c r="B56" s="72">
        <v>3</v>
      </c>
      <c r="C56" s="72" t="s">
        <v>93</v>
      </c>
      <c r="D56" s="43">
        <f>IF(Deepwell!I22="","",Deepwell!I22)</f>
        <v>391</v>
      </c>
      <c r="E56" s="44">
        <f>IF(ELISA!J19="","",ELISA!J19)</f>
        <v>2500615</v>
      </c>
      <c r="F56" s="45">
        <f>IF('450 nm - 600 nm'!C42="","",(('450 nm - 600 nm'!C42+'450 nm - 600 nm'!F42)/2)-(('450 nm - 600 nm'!I42+'450 nm - 600 nm'!L42)/2))</f>
        <v>-9.2999999999999999E-2</v>
      </c>
      <c r="G56" s="46">
        <f>IF(F56="","",(F56-Controls!$E$12)/(Controls!E$4-Controls!$E$12))</f>
        <v>-0.10640732265446225</v>
      </c>
      <c r="H56" s="43" t="str">
        <f t="shared" si="4"/>
        <v>NEG</v>
      </c>
      <c r="I56" s="43" t="str">
        <f t="shared" si="5"/>
        <v>NEG</v>
      </c>
      <c r="J56" s="43" t="str">
        <f t="shared" si="3"/>
        <v>N</v>
      </c>
      <c r="K56" s="73"/>
    </row>
    <row r="57" spans="1:11" ht="15" customHeight="1" thickBot="1">
      <c r="A57" s="72" t="s">
        <v>219</v>
      </c>
      <c r="B57" s="72">
        <v>3</v>
      </c>
      <c r="C57" s="72" t="s">
        <v>97</v>
      </c>
      <c r="D57" s="43">
        <f>IF(Deepwell!I23="","",Deepwell!I23)</f>
        <v>392</v>
      </c>
      <c r="E57" s="44">
        <f>IF(ELISA!J20="","",ELISA!J20)</f>
        <v>2500601</v>
      </c>
      <c r="F57" s="45">
        <f>IF('450 nm - 600 nm'!C43="","",(('450 nm - 600 nm'!C43+'450 nm - 600 nm'!F43)/2)-(('450 nm - 600 nm'!I43+'450 nm - 600 nm'!L43)/2))</f>
        <v>4.4499999999999984E-2</v>
      </c>
      <c r="G57" s="46">
        <f>IF(F57="","",(F57-Controls!$E$12)/(Controls!E$4-Controls!$E$12))</f>
        <v>5.0915331807780302E-2</v>
      </c>
      <c r="H57" s="43" t="str">
        <f t="shared" si="4"/>
        <v>NEG</v>
      </c>
      <c r="I57" s="43" t="str">
        <f t="shared" si="5"/>
        <v>NEG</v>
      </c>
      <c r="J57" s="43" t="str">
        <f t="shared" si="3"/>
        <v>N</v>
      </c>
      <c r="K57" s="73"/>
    </row>
    <row r="58" spans="1:11" ht="15" customHeight="1" thickBot="1">
      <c r="A58" s="72" t="s">
        <v>220</v>
      </c>
      <c r="B58" s="72">
        <v>3</v>
      </c>
      <c r="C58" s="72" t="s">
        <v>101</v>
      </c>
      <c r="D58" s="43">
        <f>IF(Deepwell!I24="","",Deepwell!I24)</f>
        <v>393</v>
      </c>
      <c r="E58" s="44">
        <f>IF(ELISA!J21="","",ELISA!J21)</f>
        <v>2500619</v>
      </c>
      <c r="F58" s="45">
        <f>IF('450 nm - 600 nm'!C44="","",(('450 nm - 600 nm'!C44+'450 nm - 600 nm'!F44)/2)-(('450 nm - 600 nm'!I44+'450 nm - 600 nm'!L44)/2))</f>
        <v>0.15050000000000002</v>
      </c>
      <c r="G58" s="46">
        <f>IF(F58="","",(F58-Controls!$E$12)/(Controls!E$4-Controls!$E$12))</f>
        <v>0.1721967963386728</v>
      </c>
      <c r="H58" s="43" t="str">
        <f t="shared" si="4"/>
        <v>NEG</v>
      </c>
      <c r="I58" s="43" t="str">
        <f t="shared" si="5"/>
        <v>NEG</v>
      </c>
      <c r="J58" s="43" t="str">
        <f t="shared" si="3"/>
        <v>N</v>
      </c>
      <c r="K58" s="73"/>
    </row>
    <row r="59" spans="1:11" ht="15" customHeight="1" thickBot="1">
      <c r="A59" s="72" t="s">
        <v>221</v>
      </c>
      <c r="B59" s="72">
        <v>3</v>
      </c>
      <c r="C59" s="72" t="s">
        <v>105</v>
      </c>
      <c r="D59" s="43">
        <f>IF(Deepwell!I25="","",Deepwell!I25)</f>
        <v>394</v>
      </c>
      <c r="E59" s="44">
        <f>IF(ELISA!J22="","",ELISA!J22)</f>
        <v>2501210</v>
      </c>
      <c r="F59" s="45">
        <f>IF('450 nm - 600 nm'!C45="","",(('450 nm - 600 nm'!C45+'450 nm - 600 nm'!F45)/2)-(('450 nm - 600 nm'!I45+'450 nm - 600 nm'!L45)/2))</f>
        <v>7.1000000000000008E-2</v>
      </c>
      <c r="G59" s="46">
        <f>IF(F59="","",(F59-Controls!$E$12)/(Controls!E$4-Controls!$E$12))</f>
        <v>8.1235697940503435E-2</v>
      </c>
      <c r="H59" s="43" t="str">
        <f t="shared" si="4"/>
        <v>NEG</v>
      </c>
      <c r="I59" s="43" t="str">
        <f t="shared" si="5"/>
        <v>NEG</v>
      </c>
      <c r="J59" s="43" t="str">
        <f t="shared" si="3"/>
        <v>N</v>
      </c>
      <c r="K59" s="73"/>
    </row>
    <row r="60" spans="1:11" ht="15" customHeight="1" thickBot="1">
      <c r="A60" s="72" t="s">
        <v>222</v>
      </c>
      <c r="B60" s="72">
        <v>3</v>
      </c>
      <c r="C60" s="72" t="s">
        <v>109</v>
      </c>
      <c r="D60" s="43">
        <f>IF(Deepwell!J18="","",Deepwell!J18)</f>
        <v>395</v>
      </c>
      <c r="E60" s="44">
        <f>IF(ELISA!J23="","",ELISA!J23)</f>
        <v>2501259</v>
      </c>
      <c r="F60" s="45">
        <f>IF('450 nm - 600 nm'!D38="","",(('450 nm - 600 nm'!D38+'450 nm - 600 nm'!G38)/2)-(('450 nm - 600 nm'!J38+'450 nm - 600 nm'!M38)/2))</f>
        <v>6.9999999999999923E-3</v>
      </c>
      <c r="G60" s="46">
        <f>IF(F60="","",(F60-Controls!$E$12)/(Controls!E$4-Controls!$E$12))</f>
        <v>8.0091533180777948E-3</v>
      </c>
      <c r="H60" s="43" t="str">
        <f t="shared" si="4"/>
        <v>NEG</v>
      </c>
      <c r="I60" s="43" t="str">
        <f t="shared" si="5"/>
        <v>NEG</v>
      </c>
      <c r="J60" s="43" t="str">
        <f t="shared" si="3"/>
        <v>N</v>
      </c>
      <c r="K60" s="73"/>
    </row>
    <row r="61" spans="1:11" ht="15" customHeight="1" thickBot="1">
      <c r="A61" s="72" t="s">
        <v>223</v>
      </c>
      <c r="B61" s="72">
        <v>3</v>
      </c>
      <c r="C61" s="72" t="s">
        <v>113</v>
      </c>
      <c r="D61" s="43">
        <f>IF(Deepwell!J19="","",Deepwell!J19)</f>
        <v>396</v>
      </c>
      <c r="E61" s="44">
        <f>IF(ELISA!J24="","",ELISA!J24)</f>
        <v>2501204</v>
      </c>
      <c r="F61" s="45">
        <f>IF('450 nm - 600 nm'!D39="","",(('450 nm - 600 nm'!D39+'450 nm - 600 nm'!G39)/2)-(('450 nm - 600 nm'!J39+'450 nm - 600 nm'!M39)/2))</f>
        <v>0.187</v>
      </c>
      <c r="G61" s="46">
        <f>IF(F61="","",(F61-Controls!$E$12)/(Controls!E$4-Controls!$E$12))</f>
        <v>0.21395881006864989</v>
      </c>
      <c r="H61" s="43" t="str">
        <f t="shared" si="4"/>
        <v>NEG</v>
      </c>
      <c r="I61" s="43" t="str">
        <f t="shared" si="5"/>
        <v>NEG</v>
      </c>
      <c r="J61" s="43" t="str">
        <f t="shared" si="3"/>
        <v>N</v>
      </c>
      <c r="K61" s="73"/>
    </row>
    <row r="62" spans="1:11" ht="15" customHeight="1" thickBot="1">
      <c r="A62" s="72" t="s">
        <v>224</v>
      </c>
      <c r="B62" s="72">
        <v>3</v>
      </c>
      <c r="C62" s="72" t="s">
        <v>117</v>
      </c>
      <c r="D62" s="43">
        <f>IF(Deepwell!J20="","",Deepwell!J20)</f>
        <v>397</v>
      </c>
      <c r="E62" s="44">
        <f>IF(ELISA!J25="","",ELISA!J25)</f>
        <v>2501249</v>
      </c>
      <c r="F62" s="45">
        <f>IF('450 nm - 600 nm'!D40="","",(('450 nm - 600 nm'!D40+'450 nm - 600 nm'!G40)/2)-(('450 nm - 600 nm'!J40+'450 nm - 600 nm'!M40)/2))</f>
        <v>0.05</v>
      </c>
      <c r="G62" s="46">
        <f>IF(F62="","",(F62-Controls!$E$12)/(Controls!E$4-Controls!$E$12))</f>
        <v>5.7208237986270026E-2</v>
      </c>
      <c r="H62" s="43" t="str">
        <f t="shared" si="4"/>
        <v>NEG</v>
      </c>
      <c r="I62" s="43" t="str">
        <f t="shared" si="5"/>
        <v>NEG</v>
      </c>
      <c r="J62" s="43" t="str">
        <f t="shared" si="3"/>
        <v>N</v>
      </c>
      <c r="K62" s="73"/>
    </row>
    <row r="63" spans="1:11" ht="15" customHeight="1" thickBot="1">
      <c r="A63" s="72" t="s">
        <v>225</v>
      </c>
      <c r="B63" s="72">
        <v>3</v>
      </c>
      <c r="C63" s="72" t="s">
        <v>121</v>
      </c>
      <c r="D63" s="43">
        <f>IF(Deepwell!J21="","",Deepwell!J21)</f>
        <v>398</v>
      </c>
      <c r="E63" s="44">
        <f>IF(ELISA!J26="","",ELISA!J26)</f>
        <v>2500107</v>
      </c>
      <c r="F63" s="45">
        <f>IF('450 nm - 600 nm'!D41="","",(('450 nm - 600 nm'!D41+'450 nm - 600 nm'!G41)/2)-(('450 nm - 600 nm'!J41+'450 nm - 600 nm'!M41)/2))</f>
        <v>-4.500000000000004E-3</v>
      </c>
      <c r="G63" s="46">
        <f>IF(F63="","",(F63-Controls!$E$12)/(Controls!E$4-Controls!$E$12))</f>
        <v>-5.1487414187643063E-3</v>
      </c>
      <c r="H63" s="43" t="str">
        <f t="shared" si="4"/>
        <v>NEG</v>
      </c>
      <c r="I63" s="43" t="str">
        <f t="shared" si="5"/>
        <v>NEG</v>
      </c>
      <c r="J63" s="43" t="str">
        <f t="shared" si="3"/>
        <v>N</v>
      </c>
      <c r="K63" s="73"/>
    </row>
    <row r="64" spans="1:11" ht="15" customHeight="1" thickBot="1">
      <c r="A64" s="72" t="s">
        <v>226</v>
      </c>
      <c r="B64" s="72">
        <v>3</v>
      </c>
      <c r="C64" s="72" t="s">
        <v>125</v>
      </c>
      <c r="D64" s="43">
        <f>IF(Deepwell!J22="","",Deepwell!J22)</f>
        <v>399</v>
      </c>
      <c r="E64" s="44">
        <f>IF(ELISA!J27="","",ELISA!J27)</f>
        <v>2500015</v>
      </c>
      <c r="F64" s="45">
        <f>IF('450 nm - 600 nm'!D42="","",(('450 nm - 600 nm'!D42+'450 nm - 600 nm'!G42)/2)-(('450 nm - 600 nm'!J42+'450 nm - 600 nm'!M42)/2))</f>
        <v>0.61150000000000004</v>
      </c>
      <c r="G64" s="46">
        <f>IF(F64="","",(F64-Controls!$E$12)/(Controls!E$4-Controls!$E$12))</f>
        <v>0.69965675057208243</v>
      </c>
      <c r="H64" s="43" t="str">
        <f t="shared" si="4"/>
        <v>POS</v>
      </c>
      <c r="I64" s="43" t="str">
        <f t="shared" si="5"/>
        <v>POS</v>
      </c>
      <c r="J64" s="43" t="str">
        <f t="shared" si="3"/>
        <v>P</v>
      </c>
      <c r="K64" s="73"/>
    </row>
    <row r="65" spans="1:11" ht="15" customHeight="1" thickBot="1">
      <c r="A65" s="72" t="s">
        <v>227</v>
      </c>
      <c r="B65" s="72">
        <v>4</v>
      </c>
      <c r="C65" s="72" t="s">
        <v>46</v>
      </c>
      <c r="D65" s="43">
        <f>IF(Deepwell!K18="","",Deepwell!K18)</f>
        <v>400</v>
      </c>
      <c r="E65" s="44">
        <f>IF(ELISA!N7="","",ELISA!N7)</f>
        <v>2500592</v>
      </c>
      <c r="F65" s="45">
        <f>IF('450 nm - 600 nm'!B50="","",(('450 nm - 600 nm'!B50+'450 nm - 600 nm'!E50)/2)-(('450 nm - 600 nm'!H50+'450 nm - 600 nm'!K50)/2))</f>
        <v>4.500000000000004E-3</v>
      </c>
      <c r="G65" s="46">
        <f>IF(F65="","",(F65-Controls!$E$13)/(Controls!E$5-Controls!$E$13))</f>
        <v>7.6726342710997436E-3</v>
      </c>
      <c r="H65" s="43" t="str">
        <f t="shared" si="4"/>
        <v>NEG</v>
      </c>
      <c r="I65" s="43" t="str">
        <f t="shared" si="5"/>
        <v>NEG</v>
      </c>
      <c r="J65" s="43" t="str">
        <f t="shared" si="3"/>
        <v>N</v>
      </c>
      <c r="K65" s="73"/>
    </row>
    <row r="66" spans="1:11" ht="15" customHeight="1" thickBot="1">
      <c r="A66" s="72" t="s">
        <v>228</v>
      </c>
      <c r="B66" s="72">
        <v>4</v>
      </c>
      <c r="C66" s="72" t="s">
        <v>50</v>
      </c>
      <c r="D66" s="43">
        <f>IF(Deepwell!K19="","",Deepwell!K19)</f>
        <v>401</v>
      </c>
      <c r="E66" s="44">
        <f>IF(ELISA!N8="","",ELISA!N8)</f>
        <v>2500737</v>
      </c>
      <c r="F66" s="45">
        <f>IF('450 nm - 600 nm'!B51="","",(('450 nm - 600 nm'!B51+'450 nm - 600 nm'!E51)/2)-(('450 nm - 600 nm'!H51+'450 nm - 600 nm'!K51)/2))</f>
        <v>8.0000000000000016E-2</v>
      </c>
      <c r="G66" s="46">
        <f>IF(F66="","",(F66-Controls!$E$13)/(Controls!E$5-Controls!$E$13))</f>
        <v>8.4910485933503851E-2</v>
      </c>
      <c r="H66" s="43" t="str">
        <f t="shared" ref="H66:H85" si="6">IF(G66="","",IF(G66&gt;=60%,"POS","NEG"))</f>
        <v>NEG</v>
      </c>
      <c r="I66" s="43" t="str">
        <f t="shared" ref="I66:I85" si="7">IF(G66="","",IF(G66&gt;=50%,"POS","NEG"))</f>
        <v>NEG</v>
      </c>
      <c r="J66" s="43" t="str">
        <f t="shared" si="3"/>
        <v>N</v>
      </c>
      <c r="K66" s="73"/>
    </row>
    <row r="67" spans="1:11" ht="15" customHeight="1" thickBot="1">
      <c r="A67" s="72" t="s">
        <v>229</v>
      </c>
      <c r="B67" s="72">
        <v>4</v>
      </c>
      <c r="C67" s="72" t="s">
        <v>54</v>
      </c>
      <c r="D67" s="43">
        <f>IF(Deepwell!K20="","",Deepwell!K20)</f>
        <v>402</v>
      </c>
      <c r="E67" s="44">
        <f>IF(ELISA!N9="","",ELISA!N9)</f>
        <v>2500735</v>
      </c>
      <c r="F67" s="45">
        <f>IF('450 nm - 600 nm'!B52="","",(('450 nm - 600 nm'!B52+'450 nm - 600 nm'!E52)/2)-(('450 nm - 600 nm'!H52+'450 nm - 600 nm'!K52)/2))</f>
        <v>2.1500000000000005E-2</v>
      </c>
      <c r="G67" s="46">
        <f>IF(F67="","",(F67-Controls!$E$13)/(Controls!E$5-Controls!$E$13))</f>
        <v>2.5063938618925832E-2</v>
      </c>
      <c r="H67" s="43" t="str">
        <f t="shared" si="6"/>
        <v>NEG</v>
      </c>
      <c r="I67" s="43" t="str">
        <f t="shared" si="7"/>
        <v>NEG</v>
      </c>
      <c r="J67" s="43" t="str">
        <f t="shared" ref="J67:J85" si="8">IF(I67="POS","P",IF(I67="NEG","N",""))</f>
        <v>N</v>
      </c>
      <c r="K67" s="73"/>
    </row>
    <row r="68" spans="1:11" ht="15" customHeight="1" thickBot="1">
      <c r="A68" s="72" t="s">
        <v>230</v>
      </c>
      <c r="B68" s="72">
        <v>4</v>
      </c>
      <c r="C68" s="72" t="s">
        <v>58</v>
      </c>
      <c r="D68" s="43">
        <f>IF(Deepwell!K21="","",Deepwell!K21)</f>
        <v>403</v>
      </c>
      <c r="E68" s="44">
        <f>IF(ELISA!N10="","",ELISA!N10)</f>
        <v>2500739</v>
      </c>
      <c r="F68" s="45">
        <f>IF('450 nm - 600 nm'!B53="","",(('450 nm - 600 nm'!B53+'450 nm - 600 nm'!E53)/2)-(('450 nm - 600 nm'!H53+'450 nm - 600 nm'!K53)/2))</f>
        <v>-0.48100000000000009</v>
      </c>
      <c r="G68" s="46">
        <f>IF(F68="","",(F68-Controls!$E$13)/(Controls!E$5-Controls!$E$13))</f>
        <v>-0.48900255754475713</v>
      </c>
      <c r="H68" s="43" t="str">
        <f t="shared" si="6"/>
        <v>NEG</v>
      </c>
      <c r="I68" s="43" t="str">
        <f t="shared" si="7"/>
        <v>NEG</v>
      </c>
      <c r="J68" s="43" t="str">
        <f t="shared" si="8"/>
        <v>N</v>
      </c>
      <c r="K68" s="73"/>
    </row>
    <row r="69" spans="1:11" ht="15" customHeight="1" thickBot="1">
      <c r="A69" s="72" t="s">
        <v>231</v>
      </c>
      <c r="B69" s="72">
        <v>4</v>
      </c>
      <c r="C69" s="72" t="s">
        <v>62</v>
      </c>
      <c r="D69" s="43">
        <f>IF(Deepwell!K22="","",Deepwell!K22)</f>
        <v>404</v>
      </c>
      <c r="E69" s="44">
        <f>IF(ELISA!N11="","",ELISA!N11)</f>
        <v>2500155</v>
      </c>
      <c r="F69" s="45">
        <f>IF('450 nm - 600 nm'!B54="","",(('450 nm - 600 nm'!B54+'450 nm - 600 nm'!E54)/2)-(('450 nm - 600 nm'!H54+'450 nm - 600 nm'!K54)/2))</f>
        <v>0.16049999999999998</v>
      </c>
      <c r="G69" s="46">
        <f>IF(F69="","",(F69-Controls!$E$13)/(Controls!E$5-Controls!$E$13))</f>
        <v>0.16726342710997438</v>
      </c>
      <c r="H69" s="43" t="str">
        <f t="shared" si="6"/>
        <v>NEG</v>
      </c>
      <c r="I69" s="43" t="str">
        <f t="shared" si="7"/>
        <v>NEG</v>
      </c>
      <c r="J69" s="43" t="str">
        <f t="shared" si="8"/>
        <v>N</v>
      </c>
      <c r="K69" s="73"/>
    </row>
    <row r="70" spans="1:11" ht="15" customHeight="1" thickBot="1">
      <c r="A70" s="72" t="s">
        <v>232</v>
      </c>
      <c r="B70" s="72">
        <v>4</v>
      </c>
      <c r="C70" s="72" t="s">
        <v>66</v>
      </c>
      <c r="D70" s="43">
        <f>IF(Deepwell!K23="","",Deepwell!K23)</f>
        <v>405</v>
      </c>
      <c r="E70" s="44">
        <f>IF(ELISA!N12="","",ELISA!N12)</f>
        <v>2500899</v>
      </c>
      <c r="F70" s="45">
        <f>IF('450 nm - 600 nm'!B55="","",(('450 nm - 600 nm'!B55+'450 nm - 600 nm'!E55)/2)-(('450 nm - 600 nm'!H55+'450 nm - 600 nm'!K55)/2))</f>
        <v>-1.7499999999999988E-2</v>
      </c>
      <c r="G70" s="46">
        <f>IF(F70="","",(F70-Controls!$E$13)/(Controls!E$5-Controls!$E$13))</f>
        <v>-1.483375959079283E-2</v>
      </c>
      <c r="H70" s="43" t="str">
        <f t="shared" si="6"/>
        <v>NEG</v>
      </c>
      <c r="I70" s="43" t="str">
        <f t="shared" si="7"/>
        <v>NEG</v>
      </c>
      <c r="J70" s="43" t="str">
        <f t="shared" si="8"/>
        <v>N</v>
      </c>
      <c r="K70" s="73"/>
    </row>
    <row r="71" spans="1:11" ht="15" customHeight="1" thickBot="1">
      <c r="A71" s="72" t="s">
        <v>233</v>
      </c>
      <c r="B71" s="72">
        <v>4</v>
      </c>
      <c r="C71" s="72" t="s">
        <v>70</v>
      </c>
      <c r="D71" s="43">
        <f>IF(Deepwell!K24="","",Deepwell!K24)</f>
        <v>406</v>
      </c>
      <c r="E71" s="44">
        <f>IF(ELISA!N13="","",ELISA!N13)</f>
        <v>2500835</v>
      </c>
      <c r="F71" s="45">
        <f>IF('450 nm - 600 nm'!B56="","",(('450 nm - 600 nm'!B56+'450 nm - 600 nm'!E56)/2)-(('450 nm - 600 nm'!H56+'450 nm - 600 nm'!K56)/2))</f>
        <v>0.67899999999999994</v>
      </c>
      <c r="G71" s="46">
        <f>IF(F71="","",(F71-Controls!$E$13)/(Controls!E$5-Controls!$E$13))</f>
        <v>0.69769820971867003</v>
      </c>
      <c r="H71" s="43" t="str">
        <f t="shared" si="6"/>
        <v>POS</v>
      </c>
      <c r="I71" s="43" t="str">
        <f t="shared" si="7"/>
        <v>POS</v>
      </c>
      <c r="J71" s="43" t="str">
        <f t="shared" si="8"/>
        <v>P</v>
      </c>
      <c r="K71" s="73"/>
    </row>
    <row r="72" spans="1:11" ht="15" customHeight="1" thickBot="1">
      <c r="A72" s="72" t="s">
        <v>234</v>
      </c>
      <c r="B72" s="72">
        <v>4</v>
      </c>
      <c r="C72" s="72" t="s">
        <v>74</v>
      </c>
      <c r="D72" s="43">
        <f>IF(Deepwell!K25="","",Deepwell!K25)</f>
        <v>407</v>
      </c>
      <c r="E72" s="44">
        <f>IF(ELISA!N14="","",ELISA!N14)</f>
        <v>2500830</v>
      </c>
      <c r="F72" s="45">
        <f>IF('450 nm - 600 nm'!B57="","",(('450 nm - 600 nm'!B57+'450 nm - 600 nm'!E57)/2)-(('450 nm - 600 nm'!H57+'450 nm - 600 nm'!K57)/2))</f>
        <v>0.03</v>
      </c>
      <c r="G72" s="46">
        <f>IF(F72="","",(F72-Controls!$E$13)/(Controls!E$5-Controls!$E$13))</f>
        <v>3.375959079283887E-2</v>
      </c>
      <c r="H72" s="43" t="str">
        <f t="shared" si="6"/>
        <v>NEG</v>
      </c>
      <c r="I72" s="43" t="str">
        <f t="shared" si="7"/>
        <v>NEG</v>
      </c>
      <c r="J72" s="43" t="str">
        <f t="shared" si="8"/>
        <v>N</v>
      </c>
      <c r="K72" s="73"/>
    </row>
    <row r="73" spans="1:11" ht="15" customHeight="1" thickBot="1">
      <c r="A73" s="72" t="s">
        <v>235</v>
      </c>
      <c r="B73" s="72">
        <v>4</v>
      </c>
      <c r="C73" s="72" t="s">
        <v>78</v>
      </c>
      <c r="D73" s="43">
        <f>IF(Deepwell!L18="","",Deepwell!L18)</f>
        <v>408</v>
      </c>
      <c r="E73" s="44">
        <f>IF(ELISA!N15="","",ELISA!N15)</f>
        <v>2500808</v>
      </c>
      <c r="F73" s="45">
        <f>IF('450 nm - 600 nm'!C50="","",(('450 nm - 600 nm'!C50+'450 nm - 600 nm'!F50)/2)-(('450 nm - 600 nm'!I50+'450 nm - 600 nm'!L50)/2))</f>
        <v>0.44350000000000001</v>
      </c>
      <c r="G73" s="46">
        <f>IF(F73="","",(F73-Controls!$E$13)/(Controls!E$5-Controls!$E$13))</f>
        <v>0.45677749360613812</v>
      </c>
      <c r="H73" s="43" t="str">
        <f t="shared" si="6"/>
        <v>NEG</v>
      </c>
      <c r="I73" s="43" t="str">
        <f t="shared" si="7"/>
        <v>NEG</v>
      </c>
      <c r="J73" s="43" t="str">
        <f t="shared" si="8"/>
        <v>N</v>
      </c>
      <c r="K73" s="73"/>
    </row>
    <row r="74" spans="1:11" ht="15" customHeight="1" thickBot="1">
      <c r="A74" s="72" t="s">
        <v>236</v>
      </c>
      <c r="B74" s="72">
        <v>4</v>
      </c>
      <c r="C74" s="72" t="s">
        <v>82</v>
      </c>
      <c r="D74" s="43">
        <f>IF(Deepwell!L19="","",Deepwell!L19)</f>
        <v>409</v>
      </c>
      <c r="E74" s="44">
        <f>IF(ELISA!N16="","",ELISA!N16)</f>
        <v>2500996</v>
      </c>
      <c r="F74" s="45">
        <f>IF('450 nm - 600 nm'!C51="","",(('450 nm - 600 nm'!C51+'450 nm - 600 nm'!F51)/2)-(('450 nm - 600 nm'!I51+'450 nm - 600 nm'!L51)/2))</f>
        <v>5.8499999999999996E-2</v>
      </c>
      <c r="G74" s="46">
        <f>IF(F74="","",(F74-Controls!$E$13)/(Controls!E$5-Controls!$E$13))</f>
        <v>6.2915601023017895E-2</v>
      </c>
      <c r="H74" s="43" t="str">
        <f t="shared" si="6"/>
        <v>NEG</v>
      </c>
      <c r="I74" s="43" t="str">
        <f t="shared" si="7"/>
        <v>NEG</v>
      </c>
      <c r="J74" s="43" t="str">
        <f t="shared" si="8"/>
        <v>N</v>
      </c>
      <c r="K74" s="73"/>
    </row>
    <row r="75" spans="1:11" ht="15" customHeight="1" thickBot="1">
      <c r="A75" s="72" t="s">
        <v>237</v>
      </c>
      <c r="B75" s="72">
        <v>4</v>
      </c>
      <c r="C75" s="72" t="s">
        <v>86</v>
      </c>
      <c r="D75" s="43">
        <f>IF(Deepwell!L20="","",Deepwell!L20)</f>
        <v>410</v>
      </c>
      <c r="E75" s="44">
        <f>IF(ELISA!N17="","",ELISA!N17)</f>
        <v>2500804</v>
      </c>
      <c r="F75" s="45">
        <f>IF('450 nm - 600 nm'!C52="","",(('450 nm - 600 nm'!C52+'450 nm - 600 nm'!F52)/2)-(('450 nm - 600 nm'!I52+'450 nm - 600 nm'!L52)/2))</f>
        <v>-2.0000000000000004E-2</v>
      </c>
      <c r="G75" s="46">
        <f>IF(F75="","",(F75-Controls!$E$13)/(Controls!E$5-Controls!$E$13))</f>
        <v>-1.7391304347826094E-2</v>
      </c>
      <c r="H75" s="43" t="str">
        <f t="shared" si="6"/>
        <v>NEG</v>
      </c>
      <c r="I75" s="43" t="str">
        <f t="shared" si="7"/>
        <v>NEG</v>
      </c>
      <c r="J75" s="43" t="str">
        <f t="shared" si="8"/>
        <v>N</v>
      </c>
      <c r="K75" s="73"/>
    </row>
    <row r="76" spans="1:11" ht="15" customHeight="1" thickBot="1">
      <c r="A76" s="72" t="s">
        <v>238</v>
      </c>
      <c r="B76" s="72">
        <v>4</v>
      </c>
      <c r="C76" s="72" t="s">
        <v>90</v>
      </c>
      <c r="D76" s="43">
        <f>IF(Deepwell!L21="","",Deepwell!L21)</f>
        <v>411</v>
      </c>
      <c r="E76" s="44">
        <f>IF(ELISA!N18="","",ELISA!N18)</f>
        <v>2500923</v>
      </c>
      <c r="F76" s="45">
        <f>IF('450 nm - 600 nm'!C53="","",(('450 nm - 600 nm'!C53+'450 nm - 600 nm'!F53)/2)-(('450 nm - 600 nm'!I53+'450 nm - 600 nm'!L53)/2))</f>
        <v>0.43200000000000005</v>
      </c>
      <c r="G76" s="46">
        <f>IF(F76="","",(F76-Controls!$E$13)/(Controls!E$5-Controls!$E$13))</f>
        <v>0.44501278772378522</v>
      </c>
      <c r="H76" s="43" t="str">
        <f t="shared" si="6"/>
        <v>NEG</v>
      </c>
      <c r="I76" s="43" t="str">
        <f t="shared" si="7"/>
        <v>NEG</v>
      </c>
      <c r="J76" s="43" t="str">
        <f t="shared" si="8"/>
        <v>N</v>
      </c>
      <c r="K76" s="73"/>
    </row>
    <row r="77" spans="1:11" ht="15" customHeight="1" thickBot="1">
      <c r="A77" s="72" t="s">
        <v>239</v>
      </c>
      <c r="B77" s="72">
        <v>4</v>
      </c>
      <c r="C77" s="72" t="s">
        <v>94</v>
      </c>
      <c r="D77" s="43">
        <f>IF(Deepwell!L22="","",Deepwell!L22)</f>
        <v>412</v>
      </c>
      <c r="E77" s="44">
        <f>IF(ELISA!N19="","",ELISA!N19)</f>
        <v>2402981</v>
      </c>
      <c r="F77" s="45">
        <f>IF('450 nm - 600 nm'!C54="","",(('450 nm - 600 nm'!C54+'450 nm - 600 nm'!F54)/2)-(('450 nm - 600 nm'!I54+'450 nm - 600 nm'!L54)/2))</f>
        <v>3.6000000000000004E-2</v>
      </c>
      <c r="G77" s="46">
        <f>IF(F77="","",(F77-Controls!$E$13)/(Controls!E$5-Controls!$E$13))</f>
        <v>3.9897698209718668E-2</v>
      </c>
      <c r="H77" s="43" t="str">
        <f t="shared" si="6"/>
        <v>NEG</v>
      </c>
      <c r="I77" s="43" t="str">
        <f t="shared" si="7"/>
        <v>NEG</v>
      </c>
      <c r="J77" s="43" t="str">
        <f t="shared" si="8"/>
        <v>N</v>
      </c>
      <c r="K77" s="73"/>
    </row>
    <row r="78" spans="1:11" ht="15" customHeight="1" thickBot="1">
      <c r="A78" s="72" t="s">
        <v>240</v>
      </c>
      <c r="B78" s="72">
        <v>4</v>
      </c>
      <c r="C78" s="72" t="s">
        <v>98</v>
      </c>
      <c r="D78" s="43">
        <f>IF(Deepwell!L23="","",Deepwell!L23)</f>
        <v>413</v>
      </c>
      <c r="E78" s="44">
        <f>IF(ELISA!N20="","",ELISA!N20)</f>
        <v>2501995</v>
      </c>
      <c r="F78" s="45">
        <f>IF('450 nm - 600 nm'!C55="","",(('450 nm - 600 nm'!C55+'450 nm - 600 nm'!F55)/2)-(('450 nm - 600 nm'!I55+'450 nm - 600 nm'!L55)/2))</f>
        <v>-1.3499999999999998E-2</v>
      </c>
      <c r="G78" s="46">
        <f>IF(F78="","",(F78-Controls!$E$13)/(Controls!E$5-Controls!$E$13))</f>
        <v>-1.0741687979539644E-2</v>
      </c>
      <c r="H78" s="43" t="str">
        <f t="shared" si="6"/>
        <v>NEG</v>
      </c>
      <c r="I78" s="43" t="str">
        <f t="shared" si="7"/>
        <v>NEG</v>
      </c>
      <c r="J78" s="43" t="str">
        <f t="shared" si="8"/>
        <v>N</v>
      </c>
      <c r="K78" s="73"/>
    </row>
    <row r="79" spans="1:11" ht="15" customHeight="1" thickBot="1">
      <c r="A79" s="72" t="s">
        <v>241</v>
      </c>
      <c r="B79" s="72">
        <v>4</v>
      </c>
      <c r="C79" s="72" t="s">
        <v>102</v>
      </c>
      <c r="D79" s="43">
        <f>IF(Deepwell!L24="","",Deepwell!L24)</f>
        <v>414</v>
      </c>
      <c r="E79" s="44">
        <f>IF(ELISA!N21="","",ELISA!N21)</f>
        <v>2501914</v>
      </c>
      <c r="F79" s="45">
        <f>IF('450 nm - 600 nm'!C56="","",(('450 nm - 600 nm'!C56+'450 nm - 600 nm'!F56)/2)-(('450 nm - 600 nm'!I56+'450 nm - 600 nm'!L56)/2))</f>
        <v>0.33350000000000002</v>
      </c>
      <c r="G79" s="46">
        <f>IF(F79="","",(F79-Controls!$E$13)/(Controls!E$5-Controls!$E$13))</f>
        <v>0.34424552429667521</v>
      </c>
      <c r="H79" s="43" t="str">
        <f t="shared" si="6"/>
        <v>NEG</v>
      </c>
      <c r="I79" s="43" t="str">
        <f t="shared" si="7"/>
        <v>NEG</v>
      </c>
      <c r="J79" s="43" t="str">
        <f t="shared" si="8"/>
        <v>N</v>
      </c>
      <c r="K79" s="73"/>
    </row>
    <row r="80" spans="1:11" ht="15" customHeight="1" thickBot="1">
      <c r="A80" s="72" t="s">
        <v>242</v>
      </c>
      <c r="B80" s="72">
        <v>4</v>
      </c>
      <c r="C80" s="72" t="s">
        <v>106</v>
      </c>
      <c r="D80" s="43">
        <f>IF(Deepwell!L25="","",Deepwell!L25)</f>
        <v>415</v>
      </c>
      <c r="E80" s="44">
        <f>IF(ELISA!N22="","",ELISA!N22)</f>
        <v>2501223</v>
      </c>
      <c r="F80" s="45">
        <f>IF('450 nm - 600 nm'!C57="","",(('450 nm - 600 nm'!C57+'450 nm - 600 nm'!F57)/2)-(('450 nm - 600 nm'!I57+'450 nm - 600 nm'!L57)/2))</f>
        <v>0</v>
      </c>
      <c r="G80" s="46">
        <f>IF(F80="","",(F80-Controls!$E$13)/(Controls!E$5-Controls!$E$13))</f>
        <v>3.0690537084398931E-3</v>
      </c>
      <c r="H80" s="43" t="str">
        <f t="shared" si="6"/>
        <v>NEG</v>
      </c>
      <c r="I80" s="43" t="str">
        <f t="shared" si="7"/>
        <v>NEG</v>
      </c>
      <c r="J80" s="43" t="str">
        <f t="shared" si="8"/>
        <v>N</v>
      </c>
      <c r="K80" s="73"/>
    </row>
    <row r="81" spans="1:11" ht="15" customHeight="1" thickBot="1">
      <c r="A81" s="72" t="s">
        <v>243</v>
      </c>
      <c r="B81" s="72">
        <v>4</v>
      </c>
      <c r="C81" s="72" t="s">
        <v>110</v>
      </c>
      <c r="D81" s="43">
        <f>IF(Deepwell!M18="","",Deepwell!M18)</f>
        <v>416</v>
      </c>
      <c r="E81" s="44">
        <f>IF(ELISA!N23="","",ELISA!N23)</f>
        <v>2500145</v>
      </c>
      <c r="F81" s="45">
        <f>IF('450 nm - 600 nm'!D50="","",(('450 nm - 600 nm'!D50+'450 nm - 600 nm'!G50)/2)-(('450 nm - 600 nm'!J50+'450 nm - 600 nm'!M50)/2))</f>
        <v>0.16599999999999998</v>
      </c>
      <c r="G81" s="46">
        <f>IF(F81="","",(F81-Controls!$E$13)/(Controls!E$5-Controls!$E$13))</f>
        <v>0.17289002557544755</v>
      </c>
      <c r="H81" s="43" t="str">
        <f t="shared" si="6"/>
        <v>NEG</v>
      </c>
      <c r="I81" s="43" t="str">
        <f t="shared" si="7"/>
        <v>NEG</v>
      </c>
      <c r="J81" s="43" t="str">
        <f t="shared" si="8"/>
        <v>N</v>
      </c>
      <c r="K81" s="73"/>
    </row>
    <row r="82" spans="1:11" ht="15" customHeight="1" thickBot="1">
      <c r="A82" s="72" t="s">
        <v>244</v>
      </c>
      <c r="B82" s="72">
        <v>4</v>
      </c>
      <c r="C82" s="72" t="s">
        <v>114</v>
      </c>
      <c r="D82" s="43">
        <f>IF(Deepwell!M19="","",Deepwell!M19)</f>
        <v>417</v>
      </c>
      <c r="E82" s="44">
        <f>IF(ELISA!N24="","",ELISA!N24)</f>
        <v>2500074</v>
      </c>
      <c r="F82" s="45">
        <f>IF('450 nm - 600 nm'!D51="","",(('450 nm - 600 nm'!D51+'450 nm - 600 nm'!G51)/2)-(('450 nm - 600 nm'!J51+'450 nm - 600 nm'!M51)/2))</f>
        <v>6.0000000000000053E-3</v>
      </c>
      <c r="G82" s="46">
        <f>IF(F82="","",(F82-Controls!$E$13)/(Controls!E$5-Controls!$E$13))</f>
        <v>9.207161125319694E-3</v>
      </c>
      <c r="H82" s="43" t="str">
        <f t="shared" si="6"/>
        <v>NEG</v>
      </c>
      <c r="I82" s="43" t="str">
        <f t="shared" si="7"/>
        <v>NEG</v>
      </c>
      <c r="J82" s="43" t="str">
        <f t="shared" si="8"/>
        <v>N</v>
      </c>
      <c r="K82" s="73"/>
    </row>
    <row r="83" spans="1:11" ht="15" customHeight="1" thickBot="1">
      <c r="A83" s="72" t="s">
        <v>245</v>
      </c>
      <c r="B83" s="72">
        <v>4</v>
      </c>
      <c r="C83" s="72" t="s">
        <v>118</v>
      </c>
      <c r="D83" s="43">
        <f>IF(Deepwell!M20="","",Deepwell!M20)</f>
        <v>418</v>
      </c>
      <c r="E83" s="44">
        <f>IF(ELISA!N25="","",ELISA!N25)</f>
        <v>2501219</v>
      </c>
      <c r="F83" s="45">
        <f>IF('450 nm - 600 nm'!D52="","",(('450 nm - 600 nm'!D52+'450 nm - 600 nm'!G52)/2)-(('450 nm - 600 nm'!J52+'450 nm - 600 nm'!M52)/2))</f>
        <v>0.127</v>
      </c>
      <c r="G83" s="46">
        <f>IF(F83="","",(F83-Controls!$E$13)/(Controls!E$5-Controls!$E$13))</f>
        <v>0.13299232736572891</v>
      </c>
      <c r="H83" s="43" t="str">
        <f t="shared" si="6"/>
        <v>NEG</v>
      </c>
      <c r="I83" s="43" t="str">
        <f t="shared" si="7"/>
        <v>NEG</v>
      </c>
      <c r="J83" s="43" t="str">
        <f t="shared" si="8"/>
        <v>N</v>
      </c>
      <c r="K83" s="73"/>
    </row>
    <row r="84" spans="1:11" ht="15" customHeight="1" thickBot="1">
      <c r="A84" s="72" t="s">
        <v>246</v>
      </c>
      <c r="B84" s="72">
        <v>4</v>
      </c>
      <c r="C84" s="72" t="s">
        <v>122</v>
      </c>
      <c r="D84" s="43">
        <f>IF(Deepwell!M21="","",Deepwell!M21)</f>
        <v>419</v>
      </c>
      <c r="E84" s="44">
        <f>IF(ELISA!N26="","",ELISA!N26)</f>
        <v>2501217</v>
      </c>
      <c r="F84" s="45">
        <f>IF('450 nm - 600 nm'!D53="","",(('450 nm - 600 nm'!D53+'450 nm - 600 nm'!G53)/2)-(('450 nm - 600 nm'!J53+'450 nm - 600 nm'!M53)/2))</f>
        <v>0.21399999999999997</v>
      </c>
      <c r="G84" s="46">
        <f>IF(F84="","",(F84-Controls!$E$13)/(Controls!E$5-Controls!$E$13))</f>
        <v>0.22199488491048588</v>
      </c>
      <c r="H84" s="43" t="str">
        <f t="shared" si="6"/>
        <v>NEG</v>
      </c>
      <c r="I84" s="43" t="str">
        <f t="shared" si="7"/>
        <v>NEG</v>
      </c>
      <c r="J84" s="43" t="str">
        <f t="shared" si="8"/>
        <v>N</v>
      </c>
      <c r="K84" s="73"/>
    </row>
    <row r="85" spans="1:11" ht="15" customHeight="1" thickBot="1">
      <c r="A85" s="72" t="s">
        <v>247</v>
      </c>
      <c r="B85" s="72">
        <v>4</v>
      </c>
      <c r="C85" s="72" t="s">
        <v>126</v>
      </c>
      <c r="D85" s="43">
        <f>IF(Deepwell!M22="","",Deepwell!M22)</f>
        <v>420</v>
      </c>
      <c r="E85" s="44">
        <f>IF(ELISA!N27="","",ELISA!N27)</f>
        <v>2501218</v>
      </c>
      <c r="F85" s="45">
        <f>IF('450 nm - 600 nm'!D54="","",(('450 nm - 600 nm'!D54+'450 nm - 600 nm'!G54)/2)-(('450 nm - 600 nm'!J54+'450 nm - 600 nm'!M54)/2))</f>
        <v>0.45650000000000013</v>
      </c>
      <c r="G85" s="46">
        <f>IF(F85="","",(F85-Controls!$E$13)/(Controls!E$5-Controls!$E$13))</f>
        <v>0.47007672634271114</v>
      </c>
      <c r="H85" s="43" t="str">
        <f t="shared" si="6"/>
        <v>NEG</v>
      </c>
      <c r="I85" s="43" t="str">
        <f t="shared" si="7"/>
        <v>NEG</v>
      </c>
      <c r="J85" s="43" t="str">
        <f t="shared" si="8"/>
        <v>N</v>
      </c>
      <c r="K85" s="73"/>
    </row>
    <row r="86" spans="1:11">
      <c r="D86" s="64"/>
    </row>
  </sheetData>
  <sheetProtection algorithmName="SHA-512" hashValue="xB+N9VKqqoXwjg/oFU/2AZp8qMZy+/GgSWEOncmNKsdn1yWSs0jqwul1oeZir3gdYHq9WHClHWLb8MLJfWl0Dw==" saltValue="d5WsU8vfNnwC4n7vcZDLjw==" spinCount="100000" sheet="1" objects="1" scenarios="1"/>
  <protectedRanges>
    <protectedRange sqref="K2:K85" name="Range1"/>
  </protectedRanges>
  <autoFilter ref="A1:K1" xr:uid="{00000000-0001-0000-0500-000000000000}"/>
  <phoneticPr fontId="6" type="noConversion"/>
  <conditionalFormatting sqref="G2:G85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2:I85">
    <cfRule type="containsText" dxfId="13" priority="23" operator="containsText" text="NEG">
      <formula>NOT(ISERROR(SEARCH("NEG",H2)))</formula>
    </cfRule>
    <cfRule type="containsText" dxfId="12" priority="24" operator="containsText" text="POS">
      <formula>NOT(ISERROR(SEARCH("POS",H2)))</formula>
    </cfRule>
  </conditionalFormatting>
  <conditionalFormatting sqref="J2:J85">
    <cfRule type="containsText" dxfId="11" priority="1" operator="containsText" text="P">
      <formula>NOT(ISERROR(SEARCH("P",J2)))</formula>
    </cfRule>
    <cfRule type="containsText" dxfId="10" priority="2" operator="containsText" text="N">
      <formula>NOT(ISERROR(SEARCH("N",J2)))</formula>
    </cfRule>
  </conditionalFormatting>
  <pageMargins left="0.70866141732283472" right="0.70866141732283472" top="0.74803149606299213" bottom="0.74803149606299213" header="0.31496062992125984" footer="0.31496062992125984"/>
  <pageSetup paperSize="9" scale="73" fitToHeight="0" orientation="portrait" r:id="rId1"/>
  <rowBreaks count="1" manualBreakCount="1">
    <brk id="43" max="16383" man="1"/>
  </row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9499FE-A08C-4975-9DFD-27B71A74159C}">
  <dimension ref="A1:H13"/>
  <sheetViews>
    <sheetView workbookViewId="0"/>
  </sheetViews>
  <sheetFormatPr defaultColWidth="10.85546875" defaultRowHeight="15"/>
  <cols>
    <col min="1" max="1" width="11.85546875" customWidth="1"/>
    <col min="2" max="2" width="6.28515625" customWidth="1"/>
    <col min="3" max="3" width="8.140625" bestFit="1" customWidth="1"/>
    <col min="4" max="4" width="18.42578125" customWidth="1"/>
    <col min="5" max="5" width="11.140625" customWidth="1"/>
    <col min="6" max="6" width="12.7109375" customWidth="1"/>
    <col min="7" max="7" width="11.42578125" customWidth="1"/>
    <col min="8" max="8" width="24.42578125" customWidth="1"/>
    <col min="9" max="9" width="2.7109375" customWidth="1"/>
    <col min="13" max="13" width="11.5703125" bestFit="1" customWidth="1"/>
  </cols>
  <sheetData>
    <row r="1" spans="1:8" ht="21.75" customHeight="1" thickBot="1">
      <c r="A1" s="41" t="s">
        <v>154</v>
      </c>
      <c r="B1" s="41" t="s">
        <v>155</v>
      </c>
      <c r="C1" s="41" t="s">
        <v>156</v>
      </c>
      <c r="D1" s="41" t="s">
        <v>248</v>
      </c>
      <c r="E1" s="56" t="s">
        <v>159</v>
      </c>
      <c r="F1" s="41" t="s">
        <v>160</v>
      </c>
      <c r="G1" s="41" t="s">
        <v>249</v>
      </c>
      <c r="H1" s="42" t="s">
        <v>42</v>
      </c>
    </row>
    <row r="2" spans="1:8" ht="15" customHeight="1" thickBot="1">
      <c r="A2" s="43" t="s">
        <v>250</v>
      </c>
      <c r="B2" s="43">
        <v>1</v>
      </c>
      <c r="C2" s="43" t="s">
        <v>131</v>
      </c>
      <c r="D2" s="44" t="str">
        <f>IF(ELISA!B29="","",ELISA!B29)</f>
        <v>CP</v>
      </c>
      <c r="E2" s="45">
        <f>IF('450 nm - 600 nm'!D20="","",(('450 nm - 600 nm'!D20+'450 nm - 600 nm'!G20)/2)-(('450 nm - 600 nm'!J20+'450 nm - 600 nm'!M20)/2))</f>
        <v>0.68300000000000005</v>
      </c>
      <c r="F2" s="46">
        <f>IF(E2="","",(E2-$E$10)/($E$2-$E$10))</f>
        <v>1</v>
      </c>
      <c r="G2" s="43" t="str">
        <f>IF(F2="","",IF(F2&gt;=50%,"POS","NEG"))</f>
        <v>POS</v>
      </c>
      <c r="H2" s="47" t="str">
        <f>IF(ELISA!C29="","",ELISA!C29)</f>
        <v/>
      </c>
    </row>
    <row r="3" spans="1:8" ht="15" customHeight="1" thickBot="1">
      <c r="A3" s="43" t="s">
        <v>251</v>
      </c>
      <c r="B3" s="43">
        <v>2</v>
      </c>
      <c r="C3" s="43" t="s">
        <v>132</v>
      </c>
      <c r="D3" s="44" t="str">
        <f>IF(ELISA!F29="","",ELISA!F29)</f>
        <v>CP</v>
      </c>
      <c r="E3" s="45">
        <f>IF('450 nm - 600 nm'!D32="","",(('450 nm - 600 nm'!D32+'450 nm - 600 nm'!G32)/2)-(('450 nm - 600 nm'!J32+'450 nm - 600 nm'!M32)/2))</f>
        <v>0.63600000000000012</v>
      </c>
      <c r="F3" s="46">
        <f>IF(E3="","",(E3-$E$11)/($E$3-$E$11))</f>
        <v>1</v>
      </c>
      <c r="G3" s="43" t="str">
        <f>IF(F3="","",IF(F3&gt;=50%,"POS","NEG"))</f>
        <v>POS</v>
      </c>
      <c r="H3" s="47" t="str">
        <f>IF(ELISA!G29="","",ELISA!G29)</f>
        <v/>
      </c>
    </row>
    <row r="4" spans="1:8" ht="15" customHeight="1" thickBot="1">
      <c r="A4" s="43" t="s">
        <v>252</v>
      </c>
      <c r="B4" s="43">
        <v>3</v>
      </c>
      <c r="C4" s="43" t="s">
        <v>133</v>
      </c>
      <c r="D4" s="44" t="str">
        <f>IF(ELISA!J29="","",ELISA!J29)</f>
        <v>CP</v>
      </c>
      <c r="E4" s="45">
        <f>IF('450 nm - 600 nm'!D44="","",(('450 nm - 600 nm'!D44+'450 nm - 600 nm'!G44)/2)-(('450 nm - 600 nm'!J44+'450 nm - 600 nm'!M44)/2))</f>
        <v>0.874</v>
      </c>
      <c r="F4" s="46">
        <f>IF(E4="","",(E4-$E$12)/(E$4-$E$12))</f>
        <v>1</v>
      </c>
      <c r="G4" s="43" t="str">
        <f>IF(F4="","",IF(F4&gt;=50%,"POS","NEG"))</f>
        <v>POS</v>
      </c>
      <c r="H4" s="47" t="str">
        <f>IF(ELISA!K29="","",ELISA!K29)</f>
        <v/>
      </c>
    </row>
    <row r="5" spans="1:8" ht="15" customHeight="1" thickBot="1">
      <c r="A5" s="43" t="s">
        <v>253</v>
      </c>
      <c r="B5" s="43">
        <v>4</v>
      </c>
      <c r="C5" s="43" t="s">
        <v>134</v>
      </c>
      <c r="D5" s="44" t="str">
        <f>IF(ELISA!N29="","",ELISA!N29)</f>
        <v>CP</v>
      </c>
      <c r="E5" s="45">
        <f>IF('450 nm - 600 nm'!D56="","",(('450 nm - 600 nm'!D56+'450 nm - 600 nm'!G56)/2)-(('450 nm - 600 nm'!J56+'450 nm - 600 nm'!M56)/2))</f>
        <v>0.97450000000000003</v>
      </c>
      <c r="F5" s="46">
        <f>IF(E5="","",(E5-$E$13)/(E$5-$E$13))</f>
        <v>1</v>
      </c>
      <c r="G5" s="43" t="str">
        <f>IF(F5="","",IF(F5&gt;=50%,"POS","NEG"))</f>
        <v>POS</v>
      </c>
      <c r="H5" s="47" t="str">
        <f>IF(ELISA!O29="","",ELISA!O29)</f>
        <v/>
      </c>
    </row>
    <row r="6" spans="1:8" ht="15" customHeight="1" thickBot="1">
      <c r="A6" s="43" t="s">
        <v>254</v>
      </c>
      <c r="B6" s="43">
        <v>1</v>
      </c>
      <c r="C6" s="43" t="s">
        <v>127</v>
      </c>
      <c r="D6" s="44" t="str">
        <f>IF(ELISA!B28="","",ELISA!B28)</f>
        <v>CC</v>
      </c>
      <c r="E6" s="45">
        <f>IF('450 nm - 600 nm'!D19="","",(('450 nm - 600 nm'!D19+'450 nm - 600 nm'!G19)/2)-(('450 nm - 600 nm'!J19+'450 nm - 600 nm'!M19)/2))</f>
        <v>2.9999999999999992E-3</v>
      </c>
      <c r="F6" s="46">
        <f>IF(E6="","",(E6-$E$10)/($E$2-$E$10))</f>
        <v>7.2992700729927014E-3</v>
      </c>
      <c r="G6" s="43" t="str">
        <f>IF(F6="","",IF(F6&gt;=50%,"POS","NEG"))</f>
        <v>NEG</v>
      </c>
      <c r="H6" s="47" t="str">
        <f>IF(ELISA!C28="","",ELISA!C28)</f>
        <v/>
      </c>
    </row>
    <row r="7" spans="1:8" ht="15" customHeight="1" thickBot="1">
      <c r="A7" s="43" t="s">
        <v>255</v>
      </c>
      <c r="B7" s="43">
        <v>2</v>
      </c>
      <c r="C7" s="43" t="s">
        <v>128</v>
      </c>
      <c r="D7" s="44" t="str">
        <f>IF(ELISA!F28="","",ELISA!F28)</f>
        <v>CC</v>
      </c>
      <c r="E7" s="45">
        <f>IF('450 nm - 600 nm'!D31="","",(('450 nm - 600 nm'!D31+'450 nm - 600 nm'!G31)/2)-(('450 nm - 600 nm'!J31+'450 nm - 600 nm'!M31)/2))</f>
        <v>4.5000000000000005E-3</v>
      </c>
      <c r="F7" s="46">
        <f>IF(E7="","",(E7-$E$11)/($E$3-$E$11))</f>
        <v>6.2942564909520098E-3</v>
      </c>
      <c r="G7" s="43" t="str">
        <f t="shared" ref="G7:G13" si="0">IF(F7="","",IF(F7&gt;=50%,"POS","NEG"))</f>
        <v>NEG</v>
      </c>
      <c r="H7" s="47" t="str">
        <f>IF(ELISA!G28="","",ELISA!G28)</f>
        <v/>
      </c>
    </row>
    <row r="8" spans="1:8" ht="15" customHeight="1" thickBot="1">
      <c r="A8" s="43" t="s">
        <v>256</v>
      </c>
      <c r="B8" s="43">
        <v>3</v>
      </c>
      <c r="C8" s="43" t="s">
        <v>129</v>
      </c>
      <c r="D8" s="44" t="str">
        <f>IF(ELISA!J28="","",ELISA!J28)</f>
        <v>CC</v>
      </c>
      <c r="E8" s="45">
        <f>IF('450 nm - 600 nm'!D43="","",(('450 nm - 600 nm'!D43+'450 nm - 600 nm'!G43)/2)-(('450 nm - 600 nm'!J43+'450 nm - 600 nm'!M43)/2))</f>
        <v>3.5000000000000014E-3</v>
      </c>
      <c r="F8" s="46">
        <f>IF(E8="","",(E8-$E$12)/(E$4-$E$12))</f>
        <v>4.0045766590389035E-3</v>
      </c>
      <c r="G8" s="43" t="str">
        <f t="shared" si="0"/>
        <v>NEG</v>
      </c>
      <c r="H8" s="47" t="str">
        <f>IF(ELISA!K28="","",ELISA!K28)</f>
        <v/>
      </c>
    </row>
    <row r="9" spans="1:8" ht="15" customHeight="1" thickBot="1">
      <c r="A9" s="43" t="s">
        <v>257</v>
      </c>
      <c r="B9" s="43">
        <v>4</v>
      </c>
      <c r="C9" s="43" t="s">
        <v>130</v>
      </c>
      <c r="D9" s="44" t="str">
        <f>IF(ELISA!N28="","",ELISA!N28)</f>
        <v>CC</v>
      </c>
      <c r="E9" s="45">
        <f>IF('450 nm - 600 nm'!D55="","",(('450 nm - 600 nm'!D55+'450 nm - 600 nm'!G55)/2)-(('450 nm - 600 nm'!J55+'450 nm - 600 nm'!M55)/2))</f>
        <v>5.5000000000000014E-3</v>
      </c>
      <c r="F9" s="46">
        <f>IF(E9="","",(E9-$E$13)/(E$5-$E$13))</f>
        <v>8.6956521739130401E-3</v>
      </c>
      <c r="G9" s="43" t="str">
        <f t="shared" si="0"/>
        <v>NEG</v>
      </c>
      <c r="H9" s="47" t="str">
        <f>IF(ELISA!O28="","",ELISA!O28)</f>
        <v/>
      </c>
    </row>
    <row r="10" spans="1:8" ht="15" customHeight="1" thickBot="1">
      <c r="A10" s="43" t="s">
        <v>258</v>
      </c>
      <c r="B10" s="43">
        <v>1</v>
      </c>
      <c r="C10" s="43" t="s">
        <v>135</v>
      </c>
      <c r="D10" s="44" t="str">
        <f>IF(ELISA!B30="","",ELISA!B30)</f>
        <v>CN</v>
      </c>
      <c r="E10" s="45">
        <f>IF('450 nm - 600 nm'!D21="","",(('450 nm - 600 nm'!D21+'450 nm - 600 nm'!G21)/2)-(('450 nm - 600 nm'!J21+'450 nm - 600 nm'!M21)/2))</f>
        <v>-2.0000000000000018E-3</v>
      </c>
      <c r="F10" s="46">
        <f>IF(E10="","",(E10-$E$10)/($E$2-$E$10))</f>
        <v>0</v>
      </c>
      <c r="G10" s="43" t="str">
        <f t="shared" si="0"/>
        <v>NEG</v>
      </c>
      <c r="H10" s="47" t="str">
        <f>IF(ELISA!C30="","",ELISA!C30)</f>
        <v/>
      </c>
    </row>
    <row r="11" spans="1:8" ht="15" customHeight="1" thickBot="1">
      <c r="A11" s="43" t="s">
        <v>259</v>
      </c>
      <c r="B11" s="43">
        <v>2</v>
      </c>
      <c r="C11" s="43" t="s">
        <v>136</v>
      </c>
      <c r="D11" s="44" t="str">
        <f>IF(ELISA!F30="","",ELISA!F30)</f>
        <v>CN</v>
      </c>
      <c r="E11" s="45">
        <f>IF('450 nm - 600 nm'!D33="","",(('450 nm - 600 nm'!D33+'450 nm - 600 nm'!G33)/2)-(('450 nm - 600 nm'!J33+'450 nm - 600 nm'!M33)/2))</f>
        <v>4.9999999999999697E-4</v>
      </c>
      <c r="F11" s="46">
        <f>IF(E11="","",(E11-$E$11)/($E$3-$E$11))</f>
        <v>0</v>
      </c>
      <c r="G11" s="43" t="str">
        <f t="shared" si="0"/>
        <v>NEG</v>
      </c>
      <c r="H11" s="47" t="str">
        <f>IF(ELISA!G30="","",ELISA!G30)</f>
        <v/>
      </c>
    </row>
    <row r="12" spans="1:8" ht="15" customHeight="1" thickBot="1">
      <c r="A12" s="43" t="s">
        <v>260</v>
      </c>
      <c r="B12" s="43">
        <v>3</v>
      </c>
      <c r="C12" s="43" t="s">
        <v>137</v>
      </c>
      <c r="D12" s="44" t="str">
        <f>IF(ELISA!J30="","",ELISA!J30)</f>
        <v>CN</v>
      </c>
      <c r="E12" s="45">
        <f>IF('450 nm - 600 nm'!D45="","",(('450 nm - 600 nm'!D45+'450 nm - 600 nm'!G45)/2)-(('450 nm - 600 nm'!J45+'450 nm - 600 nm'!M45)/2))</f>
        <v>0</v>
      </c>
      <c r="F12" s="46">
        <f>IF(E12="","",(E12-$E$12)/(E$4-$E$12))</f>
        <v>0</v>
      </c>
      <c r="G12" s="43" t="str">
        <f t="shared" si="0"/>
        <v>NEG</v>
      </c>
      <c r="H12" s="47" t="str">
        <f>IF(ELISA!K30="","",ELISA!K30)</f>
        <v/>
      </c>
    </row>
    <row r="13" spans="1:8" ht="15" customHeight="1" thickBot="1">
      <c r="A13" s="43" t="s">
        <v>261</v>
      </c>
      <c r="B13" s="43">
        <v>4</v>
      </c>
      <c r="C13" s="43" t="s">
        <v>138</v>
      </c>
      <c r="D13" s="44" t="str">
        <f>IF(ELISA!N30="","",ELISA!N30)</f>
        <v>CN</v>
      </c>
      <c r="E13" s="45">
        <f>IF('450 nm - 600 nm'!D57="","",(('450 nm - 600 nm'!D57+'450 nm - 600 nm'!G57)/2)-(('450 nm - 600 nm'!J57+'450 nm - 600 nm'!M57)/2))</f>
        <v>-2.9999999999999957E-3</v>
      </c>
      <c r="F13" s="46">
        <f>IF(E13="","",(E13-$E$13)/(E$5-$E$13))</f>
        <v>0</v>
      </c>
      <c r="G13" s="43" t="str">
        <f t="shared" si="0"/>
        <v>NEG</v>
      </c>
      <c r="H13" s="47" t="str">
        <f>IF(ELISA!O30="","",ELISA!O30)</f>
        <v/>
      </c>
    </row>
  </sheetData>
  <sheetProtection algorithmName="SHA-512" hashValue="nm3qlqKnuTq4Mkqmg3hSOrFofcK5F1SQZ3zVsUUG6Vmsg0703P3pWPfyduqYbMMTOXqUpzzAWPCykIeIoyqyzQ==" saltValue="SIQ8jlrW7ZR30iaiYsFfPw==" spinCount="100000" sheet="1" objects="1" scenarios="1"/>
  <conditionalFormatting sqref="E3 E7 E11">
    <cfRule type="cellIs" dxfId="9" priority="74" operator="between">
      <formula>30</formula>
      <formula>200</formula>
    </cfRule>
    <cfRule type="cellIs" dxfId="8" priority="75" operator="between">
      <formula>25</formula>
      <formula>29</formula>
    </cfRule>
  </conditionalFormatting>
  <conditionalFormatting sqref="E5 E9 E13">
    <cfRule type="cellIs" dxfId="7" priority="109" operator="between">
      <formula>30</formula>
      <formula>200</formula>
    </cfRule>
    <cfRule type="cellIs" dxfId="6" priority="110" operator="between">
      <formula>25</formula>
      <formula>29</formula>
    </cfRule>
  </conditionalFormatting>
  <conditionalFormatting sqref="E6 E10 E2">
    <cfRule type="colorScale" priority="2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11 E7 E3">
    <cfRule type="colorScale" priority="73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8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8 E12 E4">
    <cfRule type="colorScale" priority="9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13 E9 E5">
    <cfRule type="colorScale" priority="10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1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2:F10 F11 E12:F12 F13">
    <cfRule type="cellIs" dxfId="5" priority="29" operator="between">
      <formula>30</formula>
      <formula>200</formula>
    </cfRule>
    <cfRule type="cellIs" dxfId="4" priority="30" operator="between">
      <formula>25</formula>
      <formula>29</formula>
    </cfRule>
  </conditionalFormatting>
  <conditionalFormatting sqref="G2:G13">
    <cfRule type="containsText" dxfId="3" priority="27" operator="containsText" text="NEG">
      <formula>NOT(ISERROR(SEARCH("NEG",G2)))</formula>
    </cfRule>
    <cfRule type="containsText" dxfId="2" priority="28" operator="containsText" text="POS">
      <formula>NOT(ISERROR(SEARCH("POS",G2)))</formula>
    </cfRule>
  </conditionalFormatting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065F70-F05A-4559-8641-6584880D7134}">
  <dimension ref="B2:D93"/>
  <sheetViews>
    <sheetView zoomScaleNormal="100" workbookViewId="0">
      <selection activeCell="D6" sqref="D6"/>
    </sheetView>
  </sheetViews>
  <sheetFormatPr defaultColWidth="9.140625" defaultRowHeight="15"/>
  <cols>
    <col min="2" max="2" width="23.85546875" bestFit="1" customWidth="1"/>
    <col min="3" max="3" width="12.5703125" bestFit="1" customWidth="1"/>
    <col min="4" max="4" width="19" bestFit="1" customWidth="1"/>
  </cols>
  <sheetData>
    <row r="2" spans="2:4">
      <c r="B2" s="57" t="s">
        <v>262</v>
      </c>
      <c r="C2" s="58">
        <v>30</v>
      </c>
    </row>
    <row r="3" spans="2:4" ht="15.75" thickBot="1"/>
    <row r="4" spans="2:4" ht="15.75" thickBot="1">
      <c r="B4" s="81" t="s">
        <v>156</v>
      </c>
      <c r="C4" s="81" t="s">
        <v>248</v>
      </c>
      <c r="D4" s="61" t="s">
        <v>263</v>
      </c>
    </row>
    <row r="5" spans="2:4" ht="15.75" thickBot="1">
      <c r="B5" s="81"/>
      <c r="C5" s="81"/>
      <c r="D5" s="62" t="s">
        <v>264</v>
      </c>
    </row>
    <row r="6" spans="2:4" ht="15.75" thickBot="1">
      <c r="B6" s="59" t="s">
        <v>43</v>
      </c>
      <c r="C6" s="60">
        <f>IF(ELISA!B7="","",ELISA!B7)</f>
        <v>2500764</v>
      </c>
      <c r="D6" s="60" t="str">
        <f>IF('450 nm - 600 nm'!B14="","",IF(ABS(1-('450 nm - 600 nm'!B14/'450 nm - 600 nm'!E14))&lt;($C$2/100),"OK","NOK"))</f>
        <v>OK</v>
      </c>
    </row>
    <row r="7" spans="2:4" ht="15.75" thickBot="1">
      <c r="B7" s="43" t="s">
        <v>47</v>
      </c>
      <c r="C7" s="44">
        <f>IF(ELISA!B8="","",ELISA!B8)</f>
        <v>2501078</v>
      </c>
      <c r="D7" s="60" t="str">
        <f>IF('450 nm - 600 nm'!B15="","",IF(ABS(1-('450 nm - 600 nm'!B15/'450 nm - 600 nm'!E15))&lt;($C$2/100),"OK","NOK"))</f>
        <v>OK</v>
      </c>
    </row>
    <row r="8" spans="2:4" ht="15.75" thickBot="1">
      <c r="B8" s="43" t="s">
        <v>51</v>
      </c>
      <c r="C8" s="44">
        <f>IF(ELISA!B9="","",ELISA!B9)</f>
        <v>2501063</v>
      </c>
      <c r="D8" s="60" t="str">
        <f>IF('450 nm - 600 nm'!B16="","",IF(ABS(1-('450 nm - 600 nm'!B16/'450 nm - 600 nm'!E16))&lt;($C$2/100),"OK","NOK"))</f>
        <v>OK</v>
      </c>
    </row>
    <row r="9" spans="2:4" ht="15.75" thickBot="1">
      <c r="B9" s="43" t="s">
        <v>55</v>
      </c>
      <c r="C9" s="44">
        <f>IF(ELISA!B10="","",ELISA!B10)</f>
        <v>2501110</v>
      </c>
      <c r="D9" s="60" t="str">
        <f>IF('450 nm - 600 nm'!B17="","",IF(ABS(1-('450 nm - 600 nm'!B17/'450 nm - 600 nm'!E17))&lt;($C$2/100),"OK","NOK"))</f>
        <v>OK</v>
      </c>
    </row>
    <row r="10" spans="2:4" ht="15.75" thickBot="1">
      <c r="B10" s="43" t="s">
        <v>59</v>
      </c>
      <c r="C10" s="44">
        <f>IF(ELISA!B11="","",ELISA!B11)</f>
        <v>2501119</v>
      </c>
      <c r="D10" s="60" t="str">
        <f>IF('450 nm - 600 nm'!B18="","",IF(ABS(1-('450 nm - 600 nm'!B18/'450 nm - 600 nm'!E18))&lt;($C$2/100),"OK","NOK"))</f>
        <v>OK</v>
      </c>
    </row>
    <row r="11" spans="2:4" ht="15.75" thickBot="1">
      <c r="B11" s="43" t="s">
        <v>63</v>
      </c>
      <c r="C11" s="44">
        <f>IF(ELISA!B12="","",ELISA!B12)</f>
        <v>2501101</v>
      </c>
      <c r="D11" s="60" t="str">
        <f>IF('450 nm - 600 nm'!B19="","",IF(ABS(1-('450 nm - 600 nm'!B19/'450 nm - 600 nm'!E19))&lt;($C$2/100),"OK","NOK"))</f>
        <v>OK</v>
      </c>
    </row>
    <row r="12" spans="2:4" ht="15.75" thickBot="1">
      <c r="B12" s="43" t="s">
        <v>67</v>
      </c>
      <c r="C12" s="44">
        <f>IF(ELISA!B13="","",ELISA!B13)</f>
        <v>2501216</v>
      </c>
      <c r="D12" s="60" t="str">
        <f>IF('450 nm - 600 nm'!B20="","",IF(ABS(1-('450 nm - 600 nm'!B20/'450 nm - 600 nm'!E20))&lt;($C$2/100),"OK","NOK"))</f>
        <v>OK</v>
      </c>
    </row>
    <row r="13" spans="2:4" ht="15.75" thickBot="1">
      <c r="B13" s="43" t="s">
        <v>71</v>
      </c>
      <c r="C13" s="44">
        <f>IF(ELISA!B14="","",ELISA!B14)</f>
        <v>2501201</v>
      </c>
      <c r="D13" s="60" t="str">
        <f>IF('450 nm - 600 nm'!B21="","",IF(ABS(1-('450 nm - 600 nm'!B21/'450 nm - 600 nm'!E21))&lt;($C$2/100),"OK","NOK"))</f>
        <v>OK</v>
      </c>
    </row>
    <row r="14" spans="2:4" ht="15.75" thickBot="1">
      <c r="B14" s="43" t="s">
        <v>75</v>
      </c>
      <c r="C14" s="44">
        <f>IF(ELISA!B15="","",ELISA!B15)</f>
        <v>2501524</v>
      </c>
      <c r="D14" s="60" t="str">
        <f>IF('450 nm - 600 nm'!C14="","",IF(ABS(1-('450 nm - 600 nm'!C14/'450 nm - 600 nm'!F14))&lt;($C$2/100),"OK","NOK"))</f>
        <v>OK</v>
      </c>
    </row>
    <row r="15" spans="2:4" ht="15.75" thickBot="1">
      <c r="B15" s="43" t="s">
        <v>79</v>
      </c>
      <c r="C15" s="44">
        <f>IF(ELISA!B16="","",ELISA!B16)</f>
        <v>2501525</v>
      </c>
      <c r="D15" s="60" t="str">
        <f>IF('450 nm - 600 nm'!C15="","",IF(ABS(1-('450 nm - 600 nm'!C15/'450 nm - 600 nm'!F15))&lt;($C$2/100),"OK","NOK"))</f>
        <v>OK</v>
      </c>
    </row>
    <row r="16" spans="2:4" ht="15.75" thickBot="1">
      <c r="B16" s="43" t="s">
        <v>83</v>
      </c>
      <c r="C16" s="44">
        <f>IF(ELISA!B17="","",ELISA!B17)</f>
        <v>2501542</v>
      </c>
      <c r="D16" s="60" t="str">
        <f>IF('450 nm - 600 nm'!C16="","",IF(ABS(1-('450 nm - 600 nm'!C16/'450 nm - 600 nm'!F16))&lt;($C$2/100),"OK","NOK"))</f>
        <v>OK</v>
      </c>
    </row>
    <row r="17" spans="2:4" ht="15.75" thickBot="1">
      <c r="B17" s="43" t="s">
        <v>87</v>
      </c>
      <c r="C17" s="44">
        <f>IF(ELISA!B18="","",ELISA!B18)</f>
        <v>2500759</v>
      </c>
      <c r="D17" s="60" t="str">
        <f>IF('450 nm - 600 nm'!C17="","",IF(ABS(1-('450 nm - 600 nm'!C17/'450 nm - 600 nm'!F17))&lt;($C$2/100),"OK","NOK"))</f>
        <v>OK</v>
      </c>
    </row>
    <row r="18" spans="2:4" ht="15.75" thickBot="1">
      <c r="B18" s="43" t="s">
        <v>91</v>
      </c>
      <c r="C18" s="44">
        <f>IF(ELISA!B19="","",ELISA!B19)</f>
        <v>2501066</v>
      </c>
      <c r="D18" s="60" t="str">
        <f>IF('450 nm - 600 nm'!C18="","",IF(ABS(1-('450 nm - 600 nm'!C18/'450 nm - 600 nm'!F18))&lt;($C$2/100),"OK","NOK"))</f>
        <v>OK</v>
      </c>
    </row>
    <row r="19" spans="2:4" ht="15.75" thickBot="1">
      <c r="B19" s="43" t="s">
        <v>95</v>
      </c>
      <c r="C19" s="44">
        <f>IF(ELISA!B20="","",ELISA!B20)</f>
        <v>2501052</v>
      </c>
      <c r="D19" s="60" t="str">
        <f>IF('450 nm - 600 nm'!C19="","",IF(ABS(1-('450 nm - 600 nm'!C19/'450 nm - 600 nm'!F19))&lt;($C$2/100),"OK","NOK"))</f>
        <v>OK</v>
      </c>
    </row>
    <row r="20" spans="2:4" ht="15.75" thickBot="1">
      <c r="B20" s="43" t="s">
        <v>99</v>
      </c>
      <c r="C20" s="44">
        <f>IF(ELISA!B21="","",ELISA!B21)</f>
        <v>2501073</v>
      </c>
      <c r="D20" s="60" t="str">
        <f>IF('450 nm - 600 nm'!C20="","",IF(ABS(1-('450 nm - 600 nm'!C20/'450 nm - 600 nm'!F20))&lt;($C$2/100),"OK","NOK"))</f>
        <v>OK</v>
      </c>
    </row>
    <row r="21" spans="2:4" ht="15.75" thickBot="1">
      <c r="B21" s="43" t="s">
        <v>103</v>
      </c>
      <c r="C21" s="44">
        <f>IF(ELISA!B22="","",ELISA!B22)</f>
        <v>2501062</v>
      </c>
      <c r="D21" s="60" t="str">
        <f>IF('450 nm - 600 nm'!C21="","",IF(ABS(1-('450 nm - 600 nm'!C21/'450 nm - 600 nm'!F21))&lt;($C$2/100),"OK","NOK"))</f>
        <v>OK</v>
      </c>
    </row>
    <row r="22" spans="2:4" ht="15.75" thickBot="1">
      <c r="B22" s="43" t="s">
        <v>107</v>
      </c>
      <c r="C22" s="44">
        <f>IF(ELISA!B23="","",ELISA!B23)</f>
        <v>2501136</v>
      </c>
      <c r="D22" s="60" t="str">
        <f>IF('450 nm - 600 nm'!D14="","",IF(ABS(1-('450 nm - 600 nm'!D14/'450 nm - 600 nm'!G14))&lt;($C$2/100),"OK","NOK"))</f>
        <v>OK</v>
      </c>
    </row>
    <row r="23" spans="2:4" ht="15.75" thickBot="1">
      <c r="B23" s="43" t="s">
        <v>111</v>
      </c>
      <c r="C23" s="44">
        <f>IF(ELISA!B24="","",ELISA!B24)</f>
        <v>2500753</v>
      </c>
      <c r="D23" s="60" t="str">
        <f>IF('450 nm - 600 nm'!D15="","",IF(ABS(1-('450 nm - 600 nm'!D15/'450 nm - 600 nm'!G15))&lt;($C$2/100),"OK","NOK"))</f>
        <v>OK</v>
      </c>
    </row>
    <row r="24" spans="2:4" ht="15.75" thickBot="1">
      <c r="B24" s="43" t="s">
        <v>115</v>
      </c>
      <c r="C24" s="44">
        <f>IF(ELISA!B25="","",ELISA!B25)</f>
        <v>2500702</v>
      </c>
      <c r="D24" s="60" t="str">
        <f>IF('450 nm - 600 nm'!D16="","",IF(ABS(1-('450 nm - 600 nm'!D16/'450 nm - 600 nm'!G16))&lt;($C$2/100),"OK","NOK"))</f>
        <v>OK</v>
      </c>
    </row>
    <row r="25" spans="2:4" ht="15.75" thickBot="1">
      <c r="B25" s="43" t="s">
        <v>119</v>
      </c>
      <c r="C25" s="44">
        <f>IF(ELISA!B26="","",ELISA!B26)</f>
        <v>2500762</v>
      </c>
      <c r="D25" s="60" t="str">
        <f>IF('450 nm - 600 nm'!D17="","",IF(ABS(1-('450 nm - 600 nm'!D17/'450 nm - 600 nm'!G17))&lt;($C$2/100),"OK","NOK"))</f>
        <v>OK</v>
      </c>
    </row>
    <row r="26" spans="2:4" ht="15.75" thickBot="1">
      <c r="B26" s="43" t="s">
        <v>123</v>
      </c>
      <c r="C26" s="44">
        <f>IF(ELISA!B27="","",ELISA!B27)</f>
        <v>2500760</v>
      </c>
      <c r="D26" s="60" t="str">
        <f>IF('450 nm - 600 nm'!D18="","",IF(ABS(1-('450 nm - 600 nm'!D18/'450 nm - 600 nm'!G18))&lt;($C$2/100),"OK","NOK"))</f>
        <v>OK</v>
      </c>
    </row>
    <row r="27" spans="2:4" ht="15.75" thickBot="1">
      <c r="B27" s="43" t="s">
        <v>32</v>
      </c>
      <c r="C27" s="63" t="str">
        <f>IF(ELISA!B29="","",ELISA!B29)</f>
        <v>CP</v>
      </c>
      <c r="D27" s="60" t="str">
        <f>IF('450 nm - 600 nm'!D20="","",IF(ABS(1-('450 nm - 600 nm'!D20/'450 nm - 600 nm'!G20))&lt;($C$2/100),"OK","NOK"))</f>
        <v>OK</v>
      </c>
    </row>
    <row r="28" spans="2:4" ht="15.75" thickBot="1">
      <c r="B28" s="43" t="s">
        <v>44</v>
      </c>
      <c r="C28" s="44">
        <f>IF(ELISA!F7="","",ELISA!F7)</f>
        <v>2501061</v>
      </c>
      <c r="D28" s="60" t="str">
        <f>IF('450 nm - 600 nm'!B26="","",IF(ABS(1-('450 nm - 600 nm'!B26/'450 nm - 600 nm'!E26))&lt;($C$2/100),"OK","NOK"))</f>
        <v>OK</v>
      </c>
    </row>
    <row r="29" spans="2:4" ht="15.75" thickBot="1">
      <c r="B29" s="43" t="s">
        <v>48</v>
      </c>
      <c r="C29" s="44">
        <f>IF(ELISA!F8="","",ELISA!F8)</f>
        <v>2500724</v>
      </c>
      <c r="D29" s="60" t="str">
        <f>IF('450 nm - 600 nm'!B27="","",IF(ABS(1-('450 nm - 600 nm'!B27/'450 nm - 600 nm'!E27))&lt;($C$2/100),"OK","NOK"))</f>
        <v>OK</v>
      </c>
    </row>
    <row r="30" spans="2:4" ht="15.75" thickBot="1">
      <c r="B30" s="43" t="s">
        <v>52</v>
      </c>
      <c r="C30" s="44">
        <f>IF(ELISA!F9="","",ELISA!F9)</f>
        <v>2500721</v>
      </c>
      <c r="D30" s="60" t="str">
        <f>IF('450 nm - 600 nm'!B28="","",IF(ABS(1-('450 nm - 600 nm'!B28/'450 nm - 600 nm'!E28))&lt;($C$2/100),"OK","NOK"))</f>
        <v>OK</v>
      </c>
    </row>
    <row r="31" spans="2:4" ht="15.75" thickBot="1">
      <c r="B31" s="43" t="s">
        <v>56</v>
      </c>
      <c r="C31" s="44">
        <f>IF(ELISA!F10="","",ELISA!F10)</f>
        <v>2500714</v>
      </c>
      <c r="D31" s="60" t="str">
        <f>IF('450 nm - 600 nm'!B29="","",IF(ABS(1-('450 nm - 600 nm'!B29/'450 nm - 600 nm'!E29))&lt;($C$2/100),"OK","NOK"))</f>
        <v>OK</v>
      </c>
    </row>
    <row r="32" spans="2:4" ht="15.75" thickBot="1">
      <c r="B32" s="43" t="s">
        <v>60</v>
      </c>
      <c r="C32" s="44">
        <f>IF(ELISA!F11="","",ELISA!F11)</f>
        <v>2500723</v>
      </c>
      <c r="D32" s="60" t="str">
        <f>IF('450 nm - 600 nm'!B30="","",IF(ABS(1-('450 nm - 600 nm'!B30/'450 nm - 600 nm'!E30))&lt;($C$2/100),"OK","NOK"))</f>
        <v>OK</v>
      </c>
    </row>
    <row r="33" spans="2:4" ht="15.75" thickBot="1">
      <c r="B33" s="43" t="s">
        <v>64</v>
      </c>
      <c r="C33" s="44">
        <f>IF(ELISA!F12="","",ELISA!F12)</f>
        <v>2500718</v>
      </c>
      <c r="D33" s="60" t="str">
        <f>IF('450 nm - 600 nm'!B31="","",IF(ABS(1-('450 nm - 600 nm'!B31/'450 nm - 600 nm'!E31))&lt;($C$2/100),"OK","NOK"))</f>
        <v>OK</v>
      </c>
    </row>
    <row r="34" spans="2:4" ht="15.75" thickBot="1">
      <c r="B34" s="43" t="s">
        <v>68</v>
      </c>
      <c r="C34" s="44">
        <f>IF(ELISA!F13="","",ELISA!F13)</f>
        <v>2501056</v>
      </c>
      <c r="D34" s="60" t="str">
        <f>IF('450 nm - 600 nm'!B32="","",IF(ABS(1-('450 nm - 600 nm'!B32/'450 nm - 600 nm'!E32))&lt;($C$2/100),"OK","NOK"))</f>
        <v>OK</v>
      </c>
    </row>
    <row r="35" spans="2:4" ht="15.75" thickBot="1">
      <c r="B35" s="43" t="s">
        <v>72</v>
      </c>
      <c r="C35" s="44">
        <f>IF(ELISA!F14="","",ELISA!F14)</f>
        <v>2501103</v>
      </c>
      <c r="D35" s="60" t="str">
        <f>IF('450 nm - 600 nm'!B33="","",IF(ABS(1-('450 nm - 600 nm'!B33/'450 nm - 600 nm'!E33))&lt;($C$2/100),"OK","NOK"))</f>
        <v>OK</v>
      </c>
    </row>
    <row r="36" spans="2:4" ht="15.75" thickBot="1">
      <c r="B36" s="43" t="s">
        <v>76</v>
      </c>
      <c r="C36" s="44">
        <f>IF(ELISA!F15="","",ELISA!F15)</f>
        <v>2501102</v>
      </c>
      <c r="D36" s="60" t="str">
        <f>IF('450 nm - 600 nm'!C26="","",IF(ABS(1-('450 nm - 600 nm'!C26/'450 nm - 600 nm'!F26))&lt;($C$2/100),"OK","NOK"))</f>
        <v>OK</v>
      </c>
    </row>
    <row r="37" spans="2:4" ht="15.75" thickBot="1">
      <c r="B37" s="43" t="s">
        <v>80</v>
      </c>
      <c r="C37" s="44">
        <f>IF(ELISA!F16="","",ELISA!F16)</f>
        <v>2501116</v>
      </c>
      <c r="D37" s="60" t="str">
        <f>IF('450 nm - 600 nm'!C27="","",IF(ABS(1-('450 nm - 600 nm'!C27/'450 nm - 600 nm'!F27))&lt;($C$2/100),"OK","NOK"))</f>
        <v>OK</v>
      </c>
    </row>
    <row r="38" spans="2:4" ht="15.75" thickBot="1">
      <c r="B38" s="43" t="s">
        <v>84</v>
      </c>
      <c r="C38" s="44">
        <f>IF(ELISA!F17="","",ELISA!F17)</f>
        <v>2501137</v>
      </c>
      <c r="D38" s="60" t="str">
        <f>IF('450 nm - 600 nm'!C28="","",IF(ABS(1-('450 nm - 600 nm'!C28/'450 nm - 600 nm'!F28))&lt;($C$2/100),"OK","NOK"))</f>
        <v>OK</v>
      </c>
    </row>
    <row r="39" spans="2:4" ht="15.75" thickBot="1">
      <c r="B39" s="43" t="s">
        <v>88</v>
      </c>
      <c r="C39" s="44">
        <f>IF(ELISA!F18="","",ELISA!F18)</f>
        <v>2500701</v>
      </c>
      <c r="D39" s="60" t="str">
        <f>IF('450 nm - 600 nm'!C29="","",IF(ABS(1-('450 nm - 600 nm'!C29/'450 nm - 600 nm'!F29))&lt;($C$2/100),"OK","NOK"))</f>
        <v>OK</v>
      </c>
    </row>
    <row r="40" spans="2:4" ht="15.75" thickBot="1">
      <c r="B40" s="43" t="s">
        <v>92</v>
      </c>
      <c r="C40" s="44">
        <f>IF(ELISA!F19="","",ELISA!F19)</f>
        <v>2500738</v>
      </c>
      <c r="D40" s="60" t="str">
        <f>IF('450 nm - 600 nm'!C30="","",IF(ABS(1-('450 nm - 600 nm'!C30/'450 nm - 600 nm'!F30))&lt;($C$2/100),"OK","NOK"))</f>
        <v>OK</v>
      </c>
    </row>
    <row r="41" spans="2:4" ht="15.75" thickBot="1">
      <c r="B41" s="43" t="s">
        <v>96</v>
      </c>
      <c r="C41" s="44">
        <f>IF(ELISA!F20="","",ELISA!F20)</f>
        <v>2501086</v>
      </c>
      <c r="D41" s="60" t="str">
        <f>IF('450 nm - 600 nm'!C31="","",IF(ABS(1-('450 nm - 600 nm'!C31/'450 nm - 600 nm'!F31))&lt;($C$2/100),"OK","NOK"))</f>
        <v>OK</v>
      </c>
    </row>
    <row r="42" spans="2:4" ht="15.75" thickBot="1">
      <c r="B42" s="43" t="s">
        <v>100</v>
      </c>
      <c r="C42" s="44">
        <f>IF(ELISA!F21="","",ELISA!F21)</f>
        <v>2501070</v>
      </c>
      <c r="D42" s="60" t="str">
        <f>IF('450 nm - 600 nm'!C32="","",IF(ABS(1-('450 nm - 600 nm'!C32/'450 nm - 600 nm'!F32))&lt;($C$2/100),"OK","NOK"))</f>
        <v>OK</v>
      </c>
    </row>
    <row r="43" spans="2:4" ht="15.75" thickBot="1">
      <c r="B43" s="43" t="s">
        <v>104</v>
      </c>
      <c r="C43" s="44">
        <f>IF(ELISA!F22="","",ELISA!F22)</f>
        <v>2501094</v>
      </c>
      <c r="D43" s="60" t="str">
        <f>IF('450 nm - 600 nm'!C33="","",IF(ABS(1-('450 nm - 600 nm'!C33/'450 nm - 600 nm'!F33))&lt;($C$2/100),"OK","NOK"))</f>
        <v>OK</v>
      </c>
    </row>
    <row r="44" spans="2:4" ht="15.75" thickBot="1">
      <c r="B44" s="43" t="s">
        <v>108</v>
      </c>
      <c r="C44" s="44">
        <f>IF(ELISA!F23="","",ELISA!F23)</f>
        <v>2501115</v>
      </c>
      <c r="D44" s="60" t="str">
        <f>IF('450 nm - 600 nm'!D26="","",IF(ABS(1-('450 nm - 600 nm'!D26/'450 nm - 600 nm'!G26))&lt;($C$2/100),"OK","NOK"))</f>
        <v>OK</v>
      </c>
    </row>
    <row r="45" spans="2:4" ht="15.75" thickBot="1">
      <c r="B45" s="43" t="s">
        <v>112</v>
      </c>
      <c r="C45" s="44">
        <f>IF(ELISA!F24="","",ELISA!F24)</f>
        <v>2501134</v>
      </c>
      <c r="D45" s="60" t="str">
        <f>IF('450 nm - 600 nm'!D27="","",IF(ABS(1-('450 nm - 600 nm'!D27/'450 nm - 600 nm'!G27))&lt;($C$2/100),"OK","NOK"))</f>
        <v>NOK</v>
      </c>
    </row>
    <row r="46" spans="2:4" ht="15.75" thickBot="1">
      <c r="B46" s="43" t="s">
        <v>116</v>
      </c>
      <c r="C46" s="44">
        <f>IF(ELISA!F25="","",ELISA!F25)</f>
        <v>2501121</v>
      </c>
      <c r="D46" s="60" t="str">
        <f>IF('450 nm - 600 nm'!D28="","",IF(ABS(1-('450 nm - 600 nm'!D28/'450 nm - 600 nm'!G28))&lt;($C$2/100),"OK","NOK"))</f>
        <v>OK</v>
      </c>
    </row>
    <row r="47" spans="2:4" ht="15.75" thickBot="1">
      <c r="B47" s="43" t="s">
        <v>120</v>
      </c>
      <c r="C47" s="44">
        <f>IF(ELISA!F26="","",ELISA!F26)</f>
        <v>2501133</v>
      </c>
      <c r="D47" s="60" t="str">
        <f>IF('450 nm - 600 nm'!D29="","",IF(ABS(1-('450 nm - 600 nm'!D29/'450 nm - 600 nm'!G29))&lt;($C$2/100),"OK","NOK"))</f>
        <v>OK</v>
      </c>
    </row>
    <row r="48" spans="2:4" ht="15.75" thickBot="1">
      <c r="B48" s="43" t="s">
        <v>124</v>
      </c>
      <c r="C48" s="44">
        <f>IF(ELISA!F27="","",ELISA!F27)</f>
        <v>2501132</v>
      </c>
      <c r="D48" s="60" t="str">
        <f>IF('450 nm - 600 nm'!D30="","",IF(ABS(1-('450 nm - 600 nm'!D30/'450 nm - 600 nm'!G30))&lt;($C$2/100),"OK","NOK"))</f>
        <v>OK</v>
      </c>
    </row>
    <row r="49" spans="2:4" ht="15.75" thickBot="1">
      <c r="B49" s="43" t="s">
        <v>32</v>
      </c>
      <c r="C49" s="63" t="str">
        <f>IF(ELISA!F29="","",ELISA!F29)</f>
        <v>CP</v>
      </c>
      <c r="D49" s="60" t="str">
        <f>IF('450 nm - 600 nm'!D32="","",IF(ABS(1-('450 nm - 600 nm'!D32/'450 nm - 600 nm'!G32))&lt;($C$2/100),"OK","NOK"))</f>
        <v>OK</v>
      </c>
    </row>
    <row r="50" spans="2:4" ht="15.75" thickBot="1">
      <c r="B50" s="43" t="s">
        <v>45</v>
      </c>
      <c r="C50" s="44">
        <f>IF(ELISA!J7="","",ELISA!J7)</f>
        <v>2501080</v>
      </c>
      <c r="D50" s="60" t="str">
        <f>IF('450 nm - 600 nm'!B38="","",IF(ABS(1-('450 nm - 600 nm'!B38/'450 nm - 600 nm'!E38))&lt;($C$2/100),"OK","NOK"))</f>
        <v>OK</v>
      </c>
    </row>
    <row r="51" spans="2:4" ht="15.75" thickBot="1">
      <c r="B51" s="43" t="s">
        <v>49</v>
      </c>
      <c r="C51" s="44">
        <f>IF(ELISA!J8="","",ELISA!J8)</f>
        <v>2501074</v>
      </c>
      <c r="D51" s="60" t="str">
        <f>IF('450 nm - 600 nm'!B39="","",IF(ABS(1-('450 nm - 600 nm'!B39/'450 nm - 600 nm'!E39))&lt;($C$2/100),"OK","NOK"))</f>
        <v>OK</v>
      </c>
    </row>
    <row r="52" spans="2:4" ht="15.75" thickBot="1">
      <c r="B52" s="43" t="s">
        <v>53</v>
      </c>
      <c r="C52" s="44">
        <f>IF(ELISA!J9="","",ELISA!J9)</f>
        <v>2501076</v>
      </c>
      <c r="D52" s="60" t="str">
        <f>IF('450 nm - 600 nm'!B40="","",IF(ABS(1-('450 nm - 600 nm'!B40/'450 nm - 600 nm'!E40))&lt;($C$2/100),"OK","NOK"))</f>
        <v>OK</v>
      </c>
    </row>
    <row r="53" spans="2:4" ht="15.75" thickBot="1">
      <c r="B53" s="43" t="s">
        <v>57</v>
      </c>
      <c r="C53" s="44">
        <f>IF(ELISA!J10="","",ELISA!J10)</f>
        <v>2501084</v>
      </c>
      <c r="D53" s="60" t="str">
        <f>IF('450 nm - 600 nm'!B41="","",IF(ABS(1-('450 nm - 600 nm'!B41/'450 nm - 600 nm'!E41))&lt;($C$2/100),"OK","NOK"))</f>
        <v>OK</v>
      </c>
    </row>
    <row r="54" spans="2:4" ht="15.75" thickBot="1">
      <c r="B54" s="43" t="s">
        <v>61</v>
      </c>
      <c r="C54" s="44">
        <f>IF(ELISA!J11="","",ELISA!J11)</f>
        <v>2402168</v>
      </c>
      <c r="D54" s="60" t="str">
        <f>IF('450 nm - 600 nm'!B42="","",IF(ABS(1-('450 nm - 600 nm'!B42/'450 nm - 600 nm'!E42))&lt;($C$2/100),"OK","NOK"))</f>
        <v>OK</v>
      </c>
    </row>
    <row r="55" spans="2:4" ht="15.75" thickBot="1">
      <c r="B55" s="43" t="s">
        <v>65</v>
      </c>
      <c r="C55" s="44">
        <f>IF(ELISA!J12="","",ELISA!J12)</f>
        <v>2400836</v>
      </c>
      <c r="D55" s="60" t="str">
        <f>IF('450 nm - 600 nm'!B43="","",IF(ABS(1-('450 nm - 600 nm'!B43/'450 nm - 600 nm'!E43))&lt;($C$2/100),"OK","NOK"))</f>
        <v>OK</v>
      </c>
    </row>
    <row r="56" spans="2:4" ht="15.75" thickBot="1">
      <c r="B56" s="43" t="s">
        <v>69</v>
      </c>
      <c r="C56" s="44">
        <f>IF(ELISA!J13="","",ELISA!J13)</f>
        <v>2501346</v>
      </c>
      <c r="D56" s="60" t="str">
        <f>IF('450 nm - 600 nm'!B44="","",IF(ABS(1-('450 nm - 600 nm'!B44/'450 nm - 600 nm'!E44))&lt;($C$2/100),"OK","NOK"))</f>
        <v>OK</v>
      </c>
    </row>
    <row r="57" spans="2:4" ht="15.75" thickBot="1">
      <c r="B57" s="43" t="s">
        <v>73</v>
      </c>
      <c r="C57" s="44">
        <f>IF(ELISA!J14="","",ELISA!J14)</f>
        <v>2400902</v>
      </c>
      <c r="D57" s="60" t="str">
        <f>IF('450 nm - 600 nm'!B45="","",IF(ABS(1-('450 nm - 600 nm'!B45/'450 nm - 600 nm'!E45))&lt;($C$2/100),"OK","NOK"))</f>
        <v>OK</v>
      </c>
    </row>
    <row r="58" spans="2:4" ht="15.75" thickBot="1">
      <c r="B58" s="43" t="s">
        <v>77</v>
      </c>
      <c r="C58" s="44">
        <f>IF(ELISA!J15="","",ELISA!J15)</f>
        <v>2501079</v>
      </c>
      <c r="D58" s="60" t="str">
        <f>IF('450 nm - 600 nm'!C38="","",IF(ABS(1-('450 nm - 600 nm'!C38/'450 nm - 600 nm'!F38))&lt;($C$2/100),"OK","NOK"))</f>
        <v>OK</v>
      </c>
    </row>
    <row r="59" spans="2:4" ht="15.75" thickBot="1">
      <c r="B59" s="43" t="s">
        <v>81</v>
      </c>
      <c r="C59" s="44">
        <f>IF(ELISA!J16="","",ELISA!J16)</f>
        <v>2500671</v>
      </c>
      <c r="D59" s="60" t="str">
        <f>IF('450 nm - 600 nm'!C39="","",IF(ABS(1-('450 nm - 600 nm'!C39/'450 nm - 600 nm'!F39))&lt;($C$2/100),"OK","NOK"))</f>
        <v>OK</v>
      </c>
    </row>
    <row r="60" spans="2:4" ht="15.75" thickBot="1">
      <c r="B60" s="43" t="s">
        <v>85</v>
      </c>
      <c r="C60" s="44">
        <f>IF(ELISA!J17="","",ELISA!J17)</f>
        <v>2501069</v>
      </c>
      <c r="D60" s="60" t="str">
        <f>IF('450 nm - 600 nm'!C40="","",IF(ABS(1-('450 nm - 600 nm'!C40/'450 nm - 600 nm'!F40))&lt;($C$2/100),"OK","NOK"))</f>
        <v>NOK</v>
      </c>
    </row>
    <row r="61" spans="2:4" ht="15.75" thickBot="1">
      <c r="B61" s="43" t="s">
        <v>89</v>
      </c>
      <c r="C61" s="44">
        <f>IF(ELISA!J18="","",ELISA!J18)</f>
        <v>2500620</v>
      </c>
      <c r="D61" s="60" t="str">
        <f>IF('450 nm - 600 nm'!C41="","",IF(ABS(1-('450 nm - 600 nm'!C41/'450 nm - 600 nm'!F41))&lt;($C$2/100),"OK","NOK"))</f>
        <v>OK</v>
      </c>
    </row>
    <row r="62" spans="2:4" ht="15.75" thickBot="1">
      <c r="B62" s="43" t="s">
        <v>93</v>
      </c>
      <c r="C62" s="44">
        <f>IF(ELISA!J19="","",ELISA!J19)</f>
        <v>2500615</v>
      </c>
      <c r="D62" s="60" t="str">
        <f>IF('450 nm - 600 nm'!C42="","",IF(ABS(1-('450 nm - 600 nm'!C42/'450 nm - 600 nm'!F42))&lt;($C$2/100),"OK","NOK"))</f>
        <v>OK</v>
      </c>
    </row>
    <row r="63" spans="2:4" ht="15.75" thickBot="1">
      <c r="B63" s="43" t="s">
        <v>97</v>
      </c>
      <c r="C63" s="44">
        <f>IF(ELISA!J20="","",ELISA!J20)</f>
        <v>2500601</v>
      </c>
      <c r="D63" s="60" t="str">
        <f>IF('450 nm - 600 nm'!C43="","",IF(ABS(1-('450 nm - 600 nm'!C43/'450 nm - 600 nm'!F43))&lt;($C$2/100),"OK","NOK"))</f>
        <v>OK</v>
      </c>
    </row>
    <row r="64" spans="2:4" ht="15.75" thickBot="1">
      <c r="B64" s="43" t="s">
        <v>101</v>
      </c>
      <c r="C64" s="44">
        <f>IF(ELISA!J21="","",ELISA!J21)</f>
        <v>2500619</v>
      </c>
      <c r="D64" s="60" t="str">
        <f>IF('450 nm - 600 nm'!C44="","",IF(ABS(1-('450 nm - 600 nm'!C44/'450 nm - 600 nm'!F44))&lt;($C$2/100),"OK","NOK"))</f>
        <v>OK</v>
      </c>
    </row>
    <row r="65" spans="2:4" ht="15.75" thickBot="1">
      <c r="B65" s="43" t="s">
        <v>105</v>
      </c>
      <c r="C65" s="44">
        <f>IF(ELISA!J22="","",ELISA!J22)</f>
        <v>2501210</v>
      </c>
      <c r="D65" s="60" t="str">
        <f>IF('450 nm - 600 nm'!C45="","",IF(ABS(1-('450 nm - 600 nm'!C45/'450 nm - 600 nm'!F45))&lt;($C$2/100),"OK","NOK"))</f>
        <v>OK</v>
      </c>
    </row>
    <row r="66" spans="2:4" ht="15.75" thickBot="1">
      <c r="B66" s="43" t="s">
        <v>109</v>
      </c>
      <c r="C66" s="44">
        <f>IF(ELISA!J23="","",ELISA!J23)</f>
        <v>2501259</v>
      </c>
      <c r="D66" s="60" t="str">
        <f>IF('450 nm - 600 nm'!D38="","",IF(ABS(1-('450 nm - 600 nm'!D38/'450 nm - 600 nm'!G38))&lt;($C$2/100),"OK","NOK"))</f>
        <v>OK</v>
      </c>
    </row>
    <row r="67" spans="2:4" ht="15.75" thickBot="1">
      <c r="B67" s="43" t="s">
        <v>113</v>
      </c>
      <c r="C67" s="44">
        <f>IF(ELISA!J24="","",ELISA!J24)</f>
        <v>2501204</v>
      </c>
      <c r="D67" s="60" t="str">
        <f>IF('450 nm - 600 nm'!D39="","",IF(ABS(1-('450 nm - 600 nm'!D39/'450 nm - 600 nm'!G39))&lt;($C$2/100),"OK","NOK"))</f>
        <v>OK</v>
      </c>
    </row>
    <row r="68" spans="2:4" ht="15.75" thickBot="1">
      <c r="B68" s="43" t="s">
        <v>117</v>
      </c>
      <c r="C68" s="44">
        <f>IF(ELISA!J25="","",ELISA!J25)</f>
        <v>2501249</v>
      </c>
      <c r="D68" s="60" t="str">
        <f>IF('450 nm - 600 nm'!D40="","",IF(ABS(1-('450 nm - 600 nm'!D40/'450 nm - 600 nm'!G40))&lt;($C$2/100),"OK","NOK"))</f>
        <v>OK</v>
      </c>
    </row>
    <row r="69" spans="2:4" ht="15.75" thickBot="1">
      <c r="B69" s="43" t="s">
        <v>121</v>
      </c>
      <c r="C69" s="44">
        <f>IF(ELISA!J26="","",ELISA!J26)</f>
        <v>2500107</v>
      </c>
      <c r="D69" s="60" t="str">
        <f>IF('450 nm - 600 nm'!D41="","",IF(ABS(1-('450 nm - 600 nm'!D41/'450 nm - 600 nm'!G41))&lt;($C$2/100),"OK","NOK"))</f>
        <v>OK</v>
      </c>
    </row>
    <row r="70" spans="2:4" ht="15.75" thickBot="1">
      <c r="B70" s="43" t="s">
        <v>125</v>
      </c>
      <c r="C70" s="44">
        <f>IF(ELISA!J27="","",ELISA!J27)</f>
        <v>2500015</v>
      </c>
      <c r="D70" s="60" t="str">
        <f>IF('450 nm - 600 nm'!D42="","",IF(ABS(1-('450 nm - 600 nm'!D42/'450 nm - 600 nm'!G42))&lt;($C$2/100),"OK","NOK"))</f>
        <v>OK</v>
      </c>
    </row>
    <row r="71" spans="2:4" ht="15.75" thickBot="1">
      <c r="B71" s="43" t="s">
        <v>32</v>
      </c>
      <c r="C71" s="63" t="str">
        <f>IF(ELISA!J29="","",ELISA!J29)</f>
        <v>CP</v>
      </c>
      <c r="D71" s="60" t="str">
        <f>IF('450 nm - 600 nm'!D44="","",IF(ABS(1-('450 nm - 600 nm'!D44/'450 nm - 600 nm'!G44))&lt;($C$2/100),"OK","NOK"))</f>
        <v>OK</v>
      </c>
    </row>
    <row r="72" spans="2:4" ht="15.75" thickBot="1">
      <c r="B72" s="43" t="s">
        <v>46</v>
      </c>
      <c r="C72" s="44">
        <f>IF(ELISA!N7="","",ELISA!N7)</f>
        <v>2500592</v>
      </c>
      <c r="D72" s="60" t="str">
        <f>IF('450 nm - 600 nm'!B50="","",IF(ABS(1-('450 nm - 600 nm'!B50/'450 nm - 600 nm'!E50))&lt;($C$2/100),"OK","NOK"))</f>
        <v>OK</v>
      </c>
    </row>
    <row r="73" spans="2:4" ht="15.75" thickBot="1">
      <c r="B73" s="43" t="s">
        <v>50</v>
      </c>
      <c r="C73" s="44">
        <f>IF(ELISA!N8="","",ELISA!N8)</f>
        <v>2500737</v>
      </c>
      <c r="D73" s="60" t="str">
        <f>IF('450 nm - 600 nm'!B51="","",IF(ABS(1-('450 nm - 600 nm'!B51/'450 nm - 600 nm'!E51))&lt;($C$2/100),"OK","NOK"))</f>
        <v>OK</v>
      </c>
    </row>
    <row r="74" spans="2:4" ht="15.75" thickBot="1">
      <c r="B74" s="43" t="s">
        <v>54</v>
      </c>
      <c r="C74" s="44">
        <f>IF(ELISA!N9="","",ELISA!N9)</f>
        <v>2500735</v>
      </c>
      <c r="D74" s="60" t="str">
        <f>IF('450 nm - 600 nm'!B52="","",IF(ABS(1-('450 nm - 600 nm'!B52/'450 nm - 600 nm'!E52))&lt;($C$2/100),"OK","NOK"))</f>
        <v>OK</v>
      </c>
    </row>
    <row r="75" spans="2:4" ht="15.75" thickBot="1">
      <c r="B75" s="43" t="s">
        <v>58</v>
      </c>
      <c r="C75" s="44">
        <f>IF(ELISA!N10="","",ELISA!N10)</f>
        <v>2500739</v>
      </c>
      <c r="D75" s="60" t="str">
        <f>IF('450 nm - 600 nm'!B53="","",IF(ABS(1-('450 nm - 600 nm'!B53/'450 nm - 600 nm'!E53))&lt;($C$2/100),"OK","NOK"))</f>
        <v>OK</v>
      </c>
    </row>
    <row r="76" spans="2:4" ht="15.75" thickBot="1">
      <c r="B76" s="43" t="s">
        <v>62</v>
      </c>
      <c r="C76" s="44">
        <f>IF(ELISA!N11="","",ELISA!N11)</f>
        <v>2500155</v>
      </c>
      <c r="D76" s="60" t="str">
        <f>IF('450 nm - 600 nm'!B54="","",IF(ABS(1-('450 nm - 600 nm'!B54/'450 nm - 600 nm'!E54))&lt;($C$2/100),"OK","NOK"))</f>
        <v>OK</v>
      </c>
    </row>
    <row r="77" spans="2:4" ht="15.75" thickBot="1">
      <c r="B77" s="43" t="s">
        <v>66</v>
      </c>
      <c r="C77" s="44">
        <f>IF(ELISA!N12="","",ELISA!N12)</f>
        <v>2500899</v>
      </c>
      <c r="D77" s="60" t="str">
        <f>IF('450 nm - 600 nm'!B55="","",IF(ABS(1-('450 nm - 600 nm'!B55/'450 nm - 600 nm'!E55))&lt;($C$2/100),"OK","NOK"))</f>
        <v>OK</v>
      </c>
    </row>
    <row r="78" spans="2:4" ht="15.75" thickBot="1">
      <c r="B78" s="43" t="s">
        <v>70</v>
      </c>
      <c r="C78" s="44">
        <f>IF(ELISA!N13="","",ELISA!N13)</f>
        <v>2500835</v>
      </c>
      <c r="D78" s="60" t="str">
        <f>IF('450 nm - 600 nm'!B56="","",IF(ABS(1-('450 nm - 600 nm'!B56/'450 nm - 600 nm'!E56))&lt;($C$2/100),"OK","NOK"))</f>
        <v>OK</v>
      </c>
    </row>
    <row r="79" spans="2:4" ht="15.75" thickBot="1">
      <c r="B79" s="43" t="s">
        <v>74</v>
      </c>
      <c r="C79" s="44">
        <f>IF(ELISA!N14="","",ELISA!N14)</f>
        <v>2500830</v>
      </c>
      <c r="D79" s="60" t="str">
        <f>IF('450 nm - 600 nm'!B57="","",IF(ABS(1-('450 nm - 600 nm'!B57/'450 nm - 600 nm'!E57))&lt;($C$2/100),"OK","NOK"))</f>
        <v>OK</v>
      </c>
    </row>
    <row r="80" spans="2:4" ht="15.75" thickBot="1">
      <c r="B80" s="43" t="s">
        <v>78</v>
      </c>
      <c r="C80" s="44">
        <f>IF(ELISA!N15="","",ELISA!N15)</f>
        <v>2500808</v>
      </c>
      <c r="D80" s="60" t="str">
        <f>IF('450 nm - 600 nm'!C50="","",IF(ABS(1-('450 nm - 600 nm'!C50/'450 nm - 600 nm'!F50))&lt;($C$2/100),"OK","NOK"))</f>
        <v>OK</v>
      </c>
    </row>
    <row r="81" spans="2:4" ht="15.75" thickBot="1">
      <c r="B81" s="43" t="s">
        <v>82</v>
      </c>
      <c r="C81" s="44">
        <f>IF(ELISA!N16="","",ELISA!N16)</f>
        <v>2500996</v>
      </c>
      <c r="D81" s="60" t="str">
        <f>IF('450 nm - 600 nm'!C51="","",IF(ABS(1-('450 nm - 600 nm'!C51/'450 nm - 600 nm'!F51))&lt;($C$2/100),"OK","NOK"))</f>
        <v>OK</v>
      </c>
    </row>
    <row r="82" spans="2:4" ht="15.75" thickBot="1">
      <c r="B82" s="43" t="s">
        <v>86</v>
      </c>
      <c r="C82" s="44">
        <f>IF(ELISA!N17="","",ELISA!N17)</f>
        <v>2500804</v>
      </c>
      <c r="D82" s="60" t="str">
        <f>IF('450 nm - 600 nm'!C52="","",IF(ABS(1-('450 nm - 600 nm'!C52/'450 nm - 600 nm'!F52))&lt;($C$2/100),"OK","NOK"))</f>
        <v>OK</v>
      </c>
    </row>
    <row r="83" spans="2:4" ht="15.75" thickBot="1">
      <c r="B83" s="43" t="s">
        <v>90</v>
      </c>
      <c r="C83" s="44">
        <f>IF(ELISA!N18="","",ELISA!N18)</f>
        <v>2500923</v>
      </c>
      <c r="D83" s="60" t="str">
        <f>IF('450 nm - 600 nm'!C53="","",IF(ABS(1-('450 nm - 600 nm'!C53/'450 nm - 600 nm'!F53))&lt;($C$2/100),"OK","NOK"))</f>
        <v>OK</v>
      </c>
    </row>
    <row r="84" spans="2:4" ht="15.75" thickBot="1">
      <c r="B84" s="43" t="s">
        <v>94</v>
      </c>
      <c r="C84" s="44">
        <f>IF(ELISA!N19="","",ELISA!N19)</f>
        <v>2402981</v>
      </c>
      <c r="D84" s="60" t="str">
        <f>IF('450 nm - 600 nm'!C54="","",IF(ABS(1-('450 nm - 600 nm'!C54/'450 nm - 600 nm'!F54))&lt;($C$2/100),"OK","NOK"))</f>
        <v>OK</v>
      </c>
    </row>
    <row r="85" spans="2:4" ht="15.75" thickBot="1">
      <c r="B85" s="43" t="s">
        <v>98</v>
      </c>
      <c r="C85" s="44">
        <f>IF(ELISA!N20="","",ELISA!N20)</f>
        <v>2501995</v>
      </c>
      <c r="D85" s="60" t="str">
        <f>IF('450 nm - 600 nm'!C55="","",IF(ABS(1-('450 nm - 600 nm'!C55/'450 nm - 600 nm'!F55))&lt;($C$2/100),"OK","NOK"))</f>
        <v>OK</v>
      </c>
    </row>
    <row r="86" spans="2:4" ht="15.75" thickBot="1">
      <c r="B86" s="43" t="s">
        <v>102</v>
      </c>
      <c r="C86" s="44">
        <f>IF(ELISA!N21="","",ELISA!N21)</f>
        <v>2501914</v>
      </c>
      <c r="D86" s="60" t="str">
        <f>IF('450 nm - 600 nm'!C56="","",IF(ABS(1-('450 nm - 600 nm'!C56/'450 nm - 600 nm'!F56))&lt;($C$2/100),"OK","NOK"))</f>
        <v>OK</v>
      </c>
    </row>
    <row r="87" spans="2:4" ht="15.75" thickBot="1">
      <c r="B87" s="43" t="s">
        <v>106</v>
      </c>
      <c r="C87" s="44">
        <f>IF(ELISA!N22="","",ELISA!N22)</f>
        <v>2501223</v>
      </c>
      <c r="D87" s="60" t="str">
        <f>IF('450 nm - 600 nm'!C57="","",IF(ABS(1-('450 nm - 600 nm'!C57/'450 nm - 600 nm'!F57))&lt;($C$2/100),"OK","NOK"))</f>
        <v>OK</v>
      </c>
    </row>
    <row r="88" spans="2:4" ht="15.75" thickBot="1">
      <c r="B88" s="43" t="s">
        <v>110</v>
      </c>
      <c r="C88" s="44">
        <f>IF(ELISA!N23="","",ELISA!N23)</f>
        <v>2500145</v>
      </c>
      <c r="D88" s="60" t="str">
        <f>IF('450 nm - 600 nm'!D50="","",IF(ABS(1-('450 nm - 600 nm'!D50/'450 nm - 600 nm'!G50))&lt;($C$2/100),"OK","NOK"))</f>
        <v>OK</v>
      </c>
    </row>
    <row r="89" spans="2:4" ht="15.75" thickBot="1">
      <c r="B89" s="43" t="s">
        <v>114</v>
      </c>
      <c r="C89" s="44">
        <f>IF(ELISA!N24="","",ELISA!N24)</f>
        <v>2500074</v>
      </c>
      <c r="D89" s="60" t="str">
        <f>IF('450 nm - 600 nm'!D51="","",IF(ABS(1-('450 nm - 600 nm'!D51/'450 nm - 600 nm'!G51))&lt;($C$2/100),"OK","NOK"))</f>
        <v>OK</v>
      </c>
    </row>
    <row r="90" spans="2:4" ht="15.75" thickBot="1">
      <c r="B90" s="43" t="s">
        <v>118</v>
      </c>
      <c r="C90" s="44">
        <f>IF(ELISA!N25="","",ELISA!N25)</f>
        <v>2501219</v>
      </c>
      <c r="D90" s="60" t="str">
        <f>IF('450 nm - 600 nm'!D52="","",IF(ABS(1-('450 nm - 600 nm'!D52/'450 nm - 600 nm'!G52))&lt;($C$2/100),"OK","NOK"))</f>
        <v>OK</v>
      </c>
    </row>
    <row r="91" spans="2:4" ht="15.75" thickBot="1">
      <c r="B91" s="43" t="s">
        <v>122</v>
      </c>
      <c r="C91" s="44">
        <f>IF(ELISA!N26="","",ELISA!N26)</f>
        <v>2501217</v>
      </c>
      <c r="D91" s="60" t="str">
        <f>IF('450 nm - 600 nm'!D53="","",IF(ABS(1-('450 nm - 600 nm'!D53/'450 nm - 600 nm'!G53))&lt;($C$2/100),"OK","NOK"))</f>
        <v>OK</v>
      </c>
    </row>
    <row r="92" spans="2:4" ht="15.75" thickBot="1">
      <c r="B92" s="43" t="s">
        <v>126</v>
      </c>
      <c r="C92" s="44">
        <f>IF(ELISA!N27="","",ELISA!N27)</f>
        <v>2501218</v>
      </c>
      <c r="D92" s="60" t="str">
        <f>IF('450 nm - 600 nm'!D54="","",IF(ABS(1-('450 nm - 600 nm'!D54/'450 nm - 600 nm'!G54))&lt;($C$2/100),"OK","NOK"))</f>
        <v>OK</v>
      </c>
    </row>
    <row r="93" spans="2:4" ht="15.75" thickBot="1">
      <c r="B93" s="43" t="s">
        <v>32</v>
      </c>
      <c r="C93" s="63" t="str">
        <f>IF(ELISA!N29="","",ELISA!N29)</f>
        <v>CP</v>
      </c>
      <c r="D93" s="60" t="str">
        <f>IF('450 nm - 600 nm'!D56="","",IF(ABS(1-('450 nm - 600 nm'!D56/'450 nm - 600 nm'!G56))&lt;($C$2/100),"OK","NOK"))</f>
        <v>OK</v>
      </c>
    </row>
  </sheetData>
  <sheetProtection algorithmName="SHA-512" hashValue="u7FkaaWVg0HegZGHYUI1v0BMszkUaXlEIieRmB5c0wesFQc7je0ZASr/YcyVYX9MJO4J3D+TLq9YLd1IIucJcQ==" saltValue="2mLRLNXPl6jLN2KBBj9ioQ==" spinCount="100000" sheet="1" objects="1" scenarios="1"/>
  <mergeCells count="2">
    <mergeCell ref="B4:B5"/>
    <mergeCell ref="C4:C5"/>
  </mergeCells>
  <conditionalFormatting sqref="D1:D1048576">
    <cfRule type="cellIs" dxfId="1" priority="7" operator="equal">
      <formula>"OK"</formula>
    </cfRule>
    <cfRule type="cellIs" dxfId="0" priority="8" operator="equal">
      <formula>"NOK"</formula>
    </cfRule>
  </conditionalFormatting>
  <pageMargins left="0.70866141732283472" right="0.70866141732283472" top="0.74803149606299213" bottom="0.74803149606299213" header="0.31496062992125984" footer="0.31496062992125984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74e1998-2087-4290-81d3-cf83f1cc5cbf">
      <Terms xmlns="http://schemas.microsoft.com/office/infopath/2007/PartnerControls"/>
    </lcf76f155ced4ddcb4097134ff3c332f>
    <Uploaded xmlns="974e1998-2087-4290-81d3-cf83f1cc5cbf">2025-12-01T21:57:17Z</Uploaded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F56A3FBA1F9FF429D4C886089ACEF10" ma:contentTypeVersion="10" ma:contentTypeDescription="Een nieuw document maken." ma:contentTypeScope="" ma:versionID="3049ec1e9b6cbcb15db231c112dd9bea">
  <xsd:schema xmlns:xsd="http://www.w3.org/2001/XMLSchema" xmlns:xs="http://www.w3.org/2001/XMLSchema" xmlns:p="http://schemas.microsoft.com/office/2006/metadata/properties" xmlns:ns2="974e1998-2087-4290-81d3-cf83f1cc5cbf" targetNamespace="http://schemas.microsoft.com/office/2006/metadata/properties" ma:root="true" ma:fieldsID="3c4c0c7e6a1fa28b3fe57b5dfb92add9" ns2:_="">
    <xsd:import namespace="974e1998-2087-4290-81d3-cf83f1cc5cb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Uploaded" minOccurs="0"/>
                <xsd:element ref="ns2:MediaServiceDateTaken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74e1998-2087-4290-81d3-cf83f1cc5cb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Uploaded" ma:index="11" nillable="true" ma:displayName="Uploaded" ma:default="[today]" ma:format="DateOnly" ma:internalName="Uploaded">
      <xsd:simpleType>
        <xsd:restriction base="dms:DateTim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Afbeeldingtags" ma:readOnly="false" ma:fieldId="{5cf76f15-5ced-4ddc-b409-7134ff3c332f}" ma:taxonomyMulti="true" ma:sspId="ac598109-59a2-4592-852e-db50c3cd26e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464FFFC-AF77-4E8D-9623-96E4D8A8E8AF}"/>
</file>

<file path=customXml/itemProps2.xml><?xml version="1.0" encoding="utf-8"?>
<ds:datastoreItem xmlns:ds="http://schemas.openxmlformats.org/officeDocument/2006/customXml" ds:itemID="{659BBFB0-3340-4E8A-B7A9-D0BA333C0EA3}"/>
</file>

<file path=customXml/itemProps3.xml><?xml version="1.0" encoding="utf-8"?>
<ds:datastoreItem xmlns:ds="http://schemas.openxmlformats.org/officeDocument/2006/customXml" ds:itemID="{1634AA66-1CDF-4412-8323-1215783ACDC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SWEET</dc:creator>
  <cp:keywords/>
  <dc:description/>
  <cp:lastModifiedBy>Stijn Roge</cp:lastModifiedBy>
  <cp:revision/>
  <dcterms:created xsi:type="dcterms:W3CDTF">2022-02-18T11:32:23Z</dcterms:created>
  <dcterms:modified xsi:type="dcterms:W3CDTF">2025-12-02T12:46:08Z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0x0101005F56A3FBA1F9FF429D4C886089ACEF10</vt:lpwstr>
  </property>
  <property fmtid="{D5CDD505-2E9C-101B-9397-08002B2CF9AE}" pid="3" name="MediaServiceImageTags">
    <vt:lpwstr/>
  </property>
</Properties>
</file>