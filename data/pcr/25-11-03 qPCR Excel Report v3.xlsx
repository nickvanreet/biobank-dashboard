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729B5408-4144-4CEF-B781-B9EBAFF863E6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10" yWindow="-110" windowWidth="19420" windowHeight="1150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<sst xmlns="http://schemas.openxmlformats.org/spreadsheetml/2006/main" count="430" uniqueCount="76">
  <si>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</si>
  <si>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</si>
  <si>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</si>
  <si>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</si>
  <si>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</si>
  <si>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</si>
  <si>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</si>
  <si>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</si>
  <si>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</si>
  <si>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</si>
  <si>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</si>
  <si>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</si>
  <si>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</si>
  <si>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</si>
  <si>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</si>
  <si>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</si>
  <si>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</si>
  <si>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</si>
  <si>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</si>
  <si>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</si>
  <si>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</si>
  <si>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</si>
  <si>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</si>
  <si>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</si>
  <si>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</si>
  <si>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</si>
  <si>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</si>
  <si>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</si>
  <si>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</si>
  <si>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</si>
  <si>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</si>
  <si>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</si>
  <si>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</si>
  <si>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</si>
  <si>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</si>
  <si>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</si>
  <si>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</si>
  <si>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</si>
  <si>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</si>
  <si>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</si>
  <si>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</si>
  <si>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</si>
  <si>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</si>
  <si>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DIEUDO</t>
  </si>
  <si>
    <t>Qrun file name</t>
  </si>
  <si>
    <t>2025-11-03 10.33.00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</si>
  <si>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</si>
  <si>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</si>
  <si>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</si>
  <si>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</si>
  <si>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</si>
  <si>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</si>
  <si>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</si>
  <si>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</si>
  <si>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</si>
  <si>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</si>
  <si>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V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</si>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</sst>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</cellXfs>
  <cellStyles count="1">
    <cellStyle name="Standaard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353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353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353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353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354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354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354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354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355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355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355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355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356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356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356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356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357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357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357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357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358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358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358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358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359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359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359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359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360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360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360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360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361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361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361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361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362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362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362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362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26.0887789364225</v>
      </c>
      <c r="D42" s="8">
        <v>0.82123498357417102</v>
      </c>
      <c r="E42" s="8">
        <v>0.99926999999999999</v>
      </c>
      <c r="F42" s="8"/>
    </row>
    <row r="43" spans="1:6">
      <c r="A43" s="8">
        <v>42</v>
      </c>
      <c r="B43" s="8" t="s">
        <v>7</v>
      </c>
      <c r="C43" s="8">
        <v>29.0130762621408</v>
      </c>
      <c r="D43" s="8">
        <v>0.78984593229793998</v>
      </c>
      <c r="E43" s="8">
        <v>0.99863999999999997</v>
      </c>
      <c r="F43" s="8"/>
    </row>
    <row r="44" spans="1:6">
      <c r="A44" s="8">
        <v>43</v>
      </c>
      <c r="B44" s="8" t="s">
        <v>7</v>
      </c>
      <c r="C44" s="8">
        <v>25.52395497885</v>
      </c>
      <c r="D44" s="8">
        <v>0.77086874211186796</v>
      </c>
      <c r="E44" s="8">
        <v>0.99966999999999995</v>
      </c>
      <c r="F44" s="8"/>
    </row>
    <row r="45" spans="1:6">
      <c r="A45" s="8">
        <v>44</v>
      </c>
      <c r="B45" s="8" t="s">
        <v>7</v>
      </c>
      <c r="C45" s="8">
        <v>24.934786069789102</v>
      </c>
      <c r="D45" s="8">
        <v>0.83657992365339895</v>
      </c>
      <c r="E45" s="8">
        <v>0.99948999999999999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353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353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353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353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354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354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354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354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355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355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355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355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356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356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356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356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357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357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357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357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358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358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358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358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359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359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359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359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360</v>
      </c>
      <c r="C30" s="9">
        <v>37.520533938525297</v>
      </c>
      <c r="D30" s="9">
        <v>0.53495748956976197</v>
      </c>
      <c r="E30" s="9">
        <v>0.99887000000000004</v>
      </c>
      <c r="F30" s="9"/>
    </row>
    <row r="31" spans="1:6">
      <c r="A31" s="9">
        <v>30</v>
      </c>
      <c r="B31" s="9">
        <v>360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360</v>
      </c>
      <c r="C32" s="9">
        <v>37.411276549005002</v>
      </c>
      <c r="D32" s="9">
        <v>0.45566574656709102</v>
      </c>
      <c r="E32" s="9">
        <v>0.99766999999999995</v>
      </c>
      <c r="F32" s="9"/>
    </row>
    <row r="33" spans="1:6">
      <c r="A33" s="9">
        <v>32</v>
      </c>
      <c r="B33" s="9">
        <v>360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361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361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361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361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362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362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362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362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20.472144716966401</v>
      </c>
      <c r="D42" s="9">
        <v>0.99440679052669001</v>
      </c>
      <c r="E42" s="9">
        <v>0.99872000000000005</v>
      </c>
      <c r="F42" s="9"/>
    </row>
    <row r="43" spans="1:6">
      <c r="A43" s="9">
        <v>42</v>
      </c>
      <c r="B43" s="9" t="s">
        <v>7</v>
      </c>
      <c r="C43" s="9">
        <v>22.224806269337499</v>
      </c>
      <c r="D43" s="9">
        <v>0.96546716787827302</v>
      </c>
      <c r="E43" s="9">
        <v>0.99853000000000003</v>
      </c>
      <c r="F43" s="9"/>
    </row>
    <row r="44" spans="1:6">
      <c r="A44" s="9">
        <v>43</v>
      </c>
      <c r="B44" s="9" t="s">
        <v>7</v>
      </c>
      <c r="C44" s="9">
        <v>20.167986742518298</v>
      </c>
      <c r="D44" s="9">
        <v>0.95559434397121001</v>
      </c>
      <c r="E44" s="9">
        <v>0.99858000000000002</v>
      </c>
      <c r="F44" s="9"/>
    </row>
    <row r="45" spans="1:6">
      <c r="A45" s="9">
        <v>44</v>
      </c>
      <c r="B45" s="9" t="s">
        <v>7</v>
      </c>
      <c r="C45" s="9">
        <v>20.140667237708399</v>
      </c>
      <c r="D45" s="9">
        <v>0.95410682902671295</v>
      </c>
      <c r="E45" s="9">
        <v>0.99856999999999996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4.4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353</v>
      </c>
      <c r="C2" s="10">
        <v>20.516143128793502</v>
      </c>
      <c r="D2" s="10">
        <v>0.97371175595070902</v>
      </c>
      <c r="E2" s="10">
        <v>0.99950000000000006</v>
      </c>
      <c r="F2" s="10"/>
    </row>
    <row r="3" spans="1:6">
      <c r="A3" s="10">
        <v>2</v>
      </c>
      <c r="B3" s="10">
        <v>353</v>
      </c>
      <c r="C3" s="10">
        <v>20.4456448544924</v>
      </c>
      <c r="D3" s="10">
        <v>0.92153861476559695</v>
      </c>
      <c r="E3" s="10">
        <v>0.99965000000000004</v>
      </c>
      <c r="F3" s="10"/>
    </row>
    <row r="4" spans="1:6">
      <c r="A4" s="10">
        <v>3</v>
      </c>
      <c r="B4" s="10">
        <v>353</v>
      </c>
      <c r="C4" s="10">
        <v>20.467410602006002</v>
      </c>
      <c r="D4" s="10">
        <v>0.96529150713244705</v>
      </c>
      <c r="E4" s="10">
        <v>0.99950000000000006</v>
      </c>
      <c r="F4" s="10"/>
    </row>
    <row r="5" spans="1:6">
      <c r="A5" s="10">
        <v>4</v>
      </c>
      <c r="B5" s="10">
        <v>353</v>
      </c>
      <c r="C5" s="10">
        <v>20.583822356151501</v>
      </c>
      <c r="D5" s="10">
        <v>0.97132875235886995</v>
      </c>
      <c r="E5" s="10">
        <v>0.99948000000000004</v>
      </c>
      <c r="F5" s="10"/>
    </row>
    <row r="6" spans="1:6">
      <c r="A6" s="10">
        <v>5</v>
      </c>
      <c r="B6" s="10">
        <v>354</v>
      </c>
      <c r="C6" s="10">
        <v>23.474796854051</v>
      </c>
      <c r="D6" s="10">
        <v>0.94181073304322205</v>
      </c>
      <c r="E6" s="10">
        <v>0.99970999999999999</v>
      </c>
      <c r="F6" s="10"/>
    </row>
    <row r="7" spans="1:6">
      <c r="A7" s="10">
        <v>6</v>
      </c>
      <c r="B7" s="10">
        <v>354</v>
      </c>
      <c r="C7" s="10">
        <v>23.374789879938799</v>
      </c>
      <c r="D7" s="10">
        <v>0.90917754377666804</v>
      </c>
      <c r="E7" s="10">
        <v>0.99978999999999996</v>
      </c>
      <c r="F7" s="10"/>
    </row>
    <row r="8" spans="1:6">
      <c r="A8" s="10">
        <v>7</v>
      </c>
      <c r="B8" s="10">
        <v>354</v>
      </c>
      <c r="C8" s="10">
        <v>23.395431895740401</v>
      </c>
      <c r="D8" s="10">
        <v>0.92126974413510998</v>
      </c>
      <c r="E8" s="10">
        <v>0.99972000000000005</v>
      </c>
      <c r="F8" s="10"/>
    </row>
    <row r="9" spans="1:6">
      <c r="A9" s="10">
        <v>8</v>
      </c>
      <c r="B9" s="10">
        <v>354</v>
      </c>
      <c r="C9" s="10">
        <v>23.3474643190597</v>
      </c>
      <c r="D9" s="10">
        <v>0.89698033135900501</v>
      </c>
      <c r="E9" s="10">
        <v>0.99978999999999996</v>
      </c>
      <c r="F9" s="10"/>
    </row>
    <row r="10" spans="1:6">
      <c r="A10" s="10">
        <v>9</v>
      </c>
      <c r="B10" s="10">
        <v>355</v>
      </c>
      <c r="C10" s="10">
        <v>21.1275158700704</v>
      </c>
      <c r="D10" s="10">
        <v>1.0304641758635</v>
      </c>
      <c r="E10" s="10">
        <v>0.99851000000000001</v>
      </c>
      <c r="F10" s="10"/>
    </row>
    <row r="11" spans="1:6">
      <c r="A11" s="10">
        <v>10</v>
      </c>
      <c r="B11" s="10">
        <v>355</v>
      </c>
      <c r="C11" s="10">
        <v>20.7143755337251</v>
      </c>
      <c r="D11" s="10">
        <v>0.94010484733855404</v>
      </c>
      <c r="E11" s="10">
        <v>0.99936999999999998</v>
      </c>
      <c r="F11" s="10"/>
    </row>
    <row r="12" spans="1:6">
      <c r="A12" s="10">
        <v>11</v>
      </c>
      <c r="B12" s="10">
        <v>355</v>
      </c>
      <c r="C12" s="10">
        <v>20.787010847009</v>
      </c>
      <c r="D12" s="10">
        <v>0.92666640412887902</v>
      </c>
      <c r="E12" s="10">
        <v>0.99944</v>
      </c>
      <c r="F12" s="10"/>
    </row>
    <row r="13" spans="1:6">
      <c r="A13" s="10">
        <v>12</v>
      </c>
      <c r="B13" s="10">
        <v>355</v>
      </c>
      <c r="C13" s="10">
        <v>20.7366570178385</v>
      </c>
      <c r="D13" s="10">
        <v>0.928380278385597</v>
      </c>
      <c r="E13" s="10">
        <v>0.99941999999999998</v>
      </c>
      <c r="F13" s="10"/>
    </row>
    <row r="14" spans="1:6">
      <c r="A14" s="10">
        <v>13</v>
      </c>
      <c r="B14" s="10">
        <v>356</v>
      </c>
      <c r="C14" s="10">
        <v>22.526817867163398</v>
      </c>
      <c r="D14" s="10">
        <v>0.93230517498287302</v>
      </c>
      <c r="E14" s="10">
        <v>0.99970000000000003</v>
      </c>
      <c r="F14" s="10"/>
    </row>
    <row r="15" spans="1:6">
      <c r="A15" s="10">
        <v>14</v>
      </c>
      <c r="B15" s="10">
        <v>356</v>
      </c>
      <c r="C15" s="10">
        <v>22.350311538537099</v>
      </c>
      <c r="D15" s="10">
        <v>0.89709400787730198</v>
      </c>
      <c r="E15" s="10">
        <v>0.99980000000000002</v>
      </c>
      <c r="F15" s="10"/>
    </row>
    <row r="16" spans="1:6">
      <c r="A16" s="10">
        <v>15</v>
      </c>
      <c r="B16" s="10">
        <v>356</v>
      </c>
      <c r="C16" s="10">
        <v>22.397061457065</v>
      </c>
      <c r="D16" s="10">
        <v>0.97029260582010801</v>
      </c>
      <c r="E16" s="10">
        <v>0.99953000000000003</v>
      </c>
      <c r="F16" s="10"/>
    </row>
    <row r="17" spans="1:6">
      <c r="A17" s="10">
        <v>16</v>
      </c>
      <c r="B17" s="10">
        <v>356</v>
      </c>
      <c r="C17" s="10">
        <v>22.397796177164</v>
      </c>
      <c r="D17" s="10">
        <v>0.94748283275701095</v>
      </c>
      <c r="E17" s="10">
        <v>0.99956999999999996</v>
      </c>
      <c r="F17" s="10"/>
    </row>
    <row r="18" spans="1:6">
      <c r="A18" s="10">
        <v>17</v>
      </c>
      <c r="B18" s="10">
        <v>357</v>
      </c>
      <c r="C18" s="10">
        <v>22.086654894871799</v>
      </c>
      <c r="D18" s="10">
        <v>0.97519748242612903</v>
      </c>
      <c r="E18" s="10">
        <v>0.99919000000000002</v>
      </c>
      <c r="F18" s="10"/>
    </row>
    <row r="19" spans="1:6">
      <c r="A19" s="10">
        <v>18</v>
      </c>
      <c r="B19" s="10">
        <v>357</v>
      </c>
      <c r="C19" s="10">
        <v>22.078300680061599</v>
      </c>
      <c r="D19" s="10">
        <v>0.95801181121105905</v>
      </c>
      <c r="E19" s="10">
        <v>0.99921000000000004</v>
      </c>
      <c r="F19" s="10"/>
    </row>
    <row r="20" spans="1:6">
      <c r="A20" s="10">
        <v>19</v>
      </c>
      <c r="B20" s="10">
        <v>357</v>
      </c>
      <c r="C20" s="10">
        <v>22.1505985076878</v>
      </c>
      <c r="D20" s="10">
        <v>0.98754561493343496</v>
      </c>
      <c r="E20" s="10">
        <v>0.99897000000000002</v>
      </c>
      <c r="F20" s="10"/>
    </row>
    <row r="21" spans="1:6">
      <c r="A21" s="10">
        <v>20</v>
      </c>
      <c r="B21" s="10">
        <v>357</v>
      </c>
      <c r="C21" s="10">
        <v>22.0939770749745</v>
      </c>
      <c r="D21" s="10">
        <v>0.98259953011475498</v>
      </c>
      <c r="E21" s="10">
        <v>0.99907999999999997</v>
      </c>
      <c r="F21" s="10"/>
    </row>
    <row r="22" spans="1:6">
      <c r="A22" s="10">
        <v>21</v>
      </c>
      <c r="B22" s="10">
        <v>358</v>
      </c>
      <c r="C22" s="10">
        <v>19.609183935014102</v>
      </c>
      <c r="D22" s="10">
        <v>0.96090281995247895</v>
      </c>
      <c r="E22" s="10">
        <v>0.99946999999999997</v>
      </c>
      <c r="F22" s="10"/>
    </row>
    <row r="23" spans="1:6">
      <c r="A23" s="10">
        <v>22</v>
      </c>
      <c r="B23" s="10">
        <v>358</v>
      </c>
      <c r="C23" s="10">
        <v>19.475537024142501</v>
      </c>
      <c r="D23" s="10">
        <v>0.95018473784771695</v>
      </c>
      <c r="E23" s="10">
        <v>0.99961</v>
      </c>
      <c r="F23" s="10"/>
    </row>
    <row r="24" spans="1:6">
      <c r="A24" s="10">
        <v>23</v>
      </c>
      <c r="B24" s="10">
        <v>358</v>
      </c>
      <c r="C24" s="10">
        <v>19.489567663083999</v>
      </c>
      <c r="D24" s="10">
        <v>0.96526415977380498</v>
      </c>
      <c r="E24" s="10">
        <v>0.99953999999999998</v>
      </c>
      <c r="F24" s="10"/>
    </row>
    <row r="25" spans="1:6">
      <c r="A25" s="10">
        <v>24</v>
      </c>
      <c r="B25" s="10">
        <v>358</v>
      </c>
      <c r="C25" s="10">
        <v>19.634245991338702</v>
      </c>
      <c r="D25" s="10">
        <v>0.97187636696589197</v>
      </c>
      <c r="E25" s="10">
        <v>0.99927999999999995</v>
      </c>
      <c r="F25" s="10"/>
    </row>
    <row r="26" spans="1:6">
      <c r="A26" s="10">
        <v>25</v>
      </c>
      <c r="B26" s="10">
        <v>359</v>
      </c>
      <c r="C26" s="10">
        <v>21.533466983899</v>
      </c>
      <c r="D26" s="10">
        <v>0.96174574345354502</v>
      </c>
      <c r="E26" s="10">
        <v>0.99944</v>
      </c>
      <c r="F26" s="10"/>
    </row>
    <row r="27" spans="1:6">
      <c r="A27" s="10">
        <v>26</v>
      </c>
      <c r="B27" s="10">
        <v>359</v>
      </c>
      <c r="C27" s="10">
        <v>21.3934193788876</v>
      </c>
      <c r="D27" s="10">
        <v>0.91013962590792996</v>
      </c>
      <c r="E27" s="10">
        <v>0.99973000000000001</v>
      </c>
      <c r="F27" s="10"/>
    </row>
    <row r="28" spans="1:6">
      <c r="A28" s="10">
        <v>27</v>
      </c>
      <c r="B28" s="10">
        <v>359</v>
      </c>
      <c r="C28" s="10">
        <v>21.518601157528899</v>
      </c>
      <c r="D28" s="10">
        <v>0.94479719403963403</v>
      </c>
      <c r="E28" s="10">
        <v>0.99960000000000004</v>
      </c>
      <c r="F28" s="10"/>
    </row>
    <row r="29" spans="1:6">
      <c r="A29" s="10">
        <v>28</v>
      </c>
      <c r="B29" s="10">
        <v>359</v>
      </c>
      <c r="C29" s="10">
        <v>21.483013840088802</v>
      </c>
      <c r="D29" s="10">
        <v>0.94598050046416204</v>
      </c>
      <c r="E29" s="10">
        <v>0.99961999999999995</v>
      </c>
      <c r="F29" s="10"/>
    </row>
    <row r="30" spans="1:6">
      <c r="A30" s="10">
        <v>29</v>
      </c>
      <c r="B30" s="10">
        <v>360</v>
      </c>
      <c r="C30" s="10">
        <v>23.3696388743681</v>
      </c>
      <c r="D30" s="10">
        <v>0.90468660260844902</v>
      </c>
      <c r="E30" s="10">
        <v>0.99983</v>
      </c>
      <c r="F30" s="10"/>
    </row>
    <row r="31" spans="1:6">
      <c r="A31" s="10">
        <v>30</v>
      </c>
      <c r="B31" s="10">
        <v>360</v>
      </c>
      <c r="C31" s="10">
        <v>23.400117977172499</v>
      </c>
      <c r="D31" s="10">
        <v>0.92049228682097495</v>
      </c>
      <c r="E31" s="10">
        <v>0.99975999999999998</v>
      </c>
      <c r="F31" s="10"/>
    </row>
    <row r="32" spans="1:6">
      <c r="A32" s="10">
        <v>31</v>
      </c>
      <c r="B32" s="10">
        <v>360</v>
      </c>
      <c r="C32" s="10">
        <v>23.204017978075701</v>
      </c>
      <c r="D32" s="10">
        <v>0.95503962328907799</v>
      </c>
      <c r="E32" s="10">
        <v>0.99941000000000002</v>
      </c>
      <c r="F32" s="10"/>
    </row>
    <row r="33" spans="1:6">
      <c r="A33" s="10">
        <v>32</v>
      </c>
      <c r="B33" s="10">
        <v>360</v>
      </c>
      <c r="C33" s="10">
        <v>23.454652624835099</v>
      </c>
      <c r="D33" s="10">
        <v>0.91412654795262005</v>
      </c>
      <c r="E33" s="10">
        <v>0.99975999999999998</v>
      </c>
      <c r="F33" s="10"/>
    </row>
    <row r="34" spans="1:6">
      <c r="A34" s="10">
        <v>33</v>
      </c>
      <c r="B34" s="10">
        <v>361</v>
      </c>
      <c r="C34" s="10">
        <v>21.891854208797799</v>
      </c>
      <c r="D34" s="10">
        <v>1.0043150240812699</v>
      </c>
      <c r="E34" s="10">
        <v>0.99885000000000002</v>
      </c>
      <c r="F34" s="10"/>
    </row>
    <row r="35" spans="1:6">
      <c r="A35" s="10">
        <v>34</v>
      </c>
      <c r="B35" s="10">
        <v>361</v>
      </c>
      <c r="C35" s="10">
        <v>21.903235276846299</v>
      </c>
      <c r="D35" s="10">
        <v>0.96199625280856205</v>
      </c>
      <c r="E35" s="10">
        <v>0.99912999999999996</v>
      </c>
      <c r="F35" s="10"/>
    </row>
    <row r="36" spans="1:6">
      <c r="A36" s="10">
        <v>35</v>
      </c>
      <c r="B36" s="10">
        <v>361</v>
      </c>
      <c r="C36" s="10">
        <v>21.883914151179599</v>
      </c>
      <c r="D36" s="10">
        <v>0.98002815845634395</v>
      </c>
      <c r="E36" s="10">
        <v>0.99902999999999997</v>
      </c>
      <c r="F36" s="10"/>
    </row>
    <row r="37" spans="1:6">
      <c r="A37" s="10">
        <v>36</v>
      </c>
      <c r="B37" s="10">
        <v>361</v>
      </c>
      <c r="C37" s="10">
        <v>21.773777639097201</v>
      </c>
      <c r="D37" s="10">
        <v>0.90994509275091695</v>
      </c>
      <c r="E37" s="10">
        <v>0.99961</v>
      </c>
      <c r="F37" s="10"/>
    </row>
    <row r="38" spans="1:6">
      <c r="A38" s="10">
        <v>37</v>
      </c>
      <c r="B38" s="10">
        <v>362</v>
      </c>
      <c r="C38" s="10">
        <v>20.965562368622599</v>
      </c>
      <c r="D38" s="10">
        <v>0.99989474246336096</v>
      </c>
      <c r="E38" s="10">
        <v>0.99865999999999999</v>
      </c>
      <c r="F38" s="10"/>
    </row>
    <row r="39" spans="1:6">
      <c r="A39" s="10">
        <v>38</v>
      </c>
      <c r="B39" s="10">
        <v>362</v>
      </c>
      <c r="C39" s="10">
        <v>20.987118629941001</v>
      </c>
      <c r="D39" s="10">
        <v>0.96949255949039204</v>
      </c>
      <c r="E39" s="10">
        <v>0.99895</v>
      </c>
      <c r="F39" s="10"/>
    </row>
    <row r="40" spans="1:6">
      <c r="A40" s="10">
        <v>39</v>
      </c>
      <c r="B40" s="10">
        <v>362</v>
      </c>
      <c r="C40" s="10">
        <v>20.744222949020301</v>
      </c>
      <c r="D40" s="10">
        <v>0.87673549089104297</v>
      </c>
      <c r="E40" s="10">
        <v>0.99975999999999998</v>
      </c>
      <c r="F40" s="10"/>
    </row>
    <row r="41" spans="1:6">
      <c r="A41" s="10">
        <v>40</v>
      </c>
      <c r="B41" s="10">
        <v>362</v>
      </c>
      <c r="C41" s="10">
        <v>20.765620231843801</v>
      </c>
      <c r="D41" s="10">
        <v>0.91225340839157198</v>
      </c>
      <c r="E41" s="10">
        <v>0.99958000000000002</v>
      </c>
      <c r="F41" s="10"/>
    </row>
    <row r="42" spans="1:6">
      <c r="A42" s="10">
        <v>41</v>
      </c>
      <c r="B42" s="10" t="s">
        <v>7</v>
      </c>
      <c r="C42" s="10">
        <v>34.742686056467598</v>
      </c>
      <c r="D42" s="10">
        <v>0.67342244497479897</v>
      </c>
      <c r="E42" s="10">
        <v>0.99980000000000002</v>
      </c>
      <c r="F42" s="10"/>
    </row>
    <row r="43" spans="1:6">
      <c r="A43" s="10">
        <v>42</v>
      </c>
      <c r="B43" s="10" t="s">
        <v>7</v>
      </c>
      <c r="C43" s="10">
        <v>37.779392175099602</v>
      </c>
      <c r="D43" s="10">
        <v>0.57111628125484903</v>
      </c>
      <c r="E43" s="10">
        <v>0.99699000000000004</v>
      </c>
      <c r="F43" s="10"/>
    </row>
    <row r="44" spans="1:6">
      <c r="A44" s="10">
        <v>43</v>
      </c>
      <c r="B44" s="10" t="s">
        <v>7</v>
      </c>
      <c r="C44" s="10">
        <v>36.149098102389701</v>
      </c>
      <c r="D44" s="10">
        <v>0.63959429798096201</v>
      </c>
      <c r="E44" s="10">
        <v>0.99933000000000005</v>
      </c>
      <c r="F44" s="10"/>
    </row>
    <row r="45" spans="1:6">
      <c r="A45" s="10">
        <v>44</v>
      </c>
      <c r="B45" s="10" t="s">
        <v>7</v>
      </c>
      <c r="C45" s="10">
        <v>36.203423399453797</v>
      </c>
      <c r="D45" s="10">
        <v>0.63371381148073203</v>
      </c>
      <c r="E45" s="10">
        <v>0.99931999999999999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38.552937221343797</v>
      </c>
      <c r="D47" s="10">
        <v>0.66091896482349799</v>
      </c>
      <c r="E47" s="10">
        <v>0.97365999999999997</v>
      </c>
      <c r="F47" s="10"/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-1</v>
      </c>
      <c r="D49" s="10">
        <v>-1</v>
      </c>
      <c r="E49" s="10"/>
      <c r="F49" s="10" t="s">
        <v>6</v>
      </c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4.4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353</v>
      </c>
      <c r="B2">
        <f>IF('177T'!C2="", "", '177T'!C2)</f>
        <v>-1</v>
      </c>
      <c r="C2">
        <f>IF('18S2'!C2="", "", '18S2'!C2)</f>
        <v>-1</v>
      </c>
      <c r="D2">
        <f>IF(RNAseP!C2="", "", RNAseP!C2)</f>
        <v>20.516143128793502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353</v>
      </c>
      <c r="B3">
        <f>IF('177T'!C3="", "", '177T'!C3)</f>
        <v>-1</v>
      </c>
      <c r="C3">
        <f>IF('18S2'!C3="", "", '18S2'!C3)</f>
        <v>-1</v>
      </c>
      <c r="D3">
        <f>IF(RNAseP!C3="", "", RNAseP!C3)</f>
        <v>20.4456448544924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353</v>
      </c>
      <c r="B4">
        <f>IF('177T'!C4="", "", '177T'!C4)</f>
        <v>-1</v>
      </c>
      <c r="C4">
        <f>IF('18S2'!C4="", "", '18S2'!C4)</f>
        <v>-1</v>
      </c>
      <c r="D4">
        <f>IF(RNAseP!C4="", "", RNAseP!C4)</f>
        <v>20.467410602006002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353</v>
      </c>
      <c r="B5">
        <f>IF('177T'!C5="", "", '177T'!C5)</f>
        <v>-1</v>
      </c>
      <c r="C5">
        <f>IF('18S2'!C5="", "", '18S2'!C5)</f>
        <v>-1</v>
      </c>
      <c r="D5">
        <f>IF(RNAseP!C5="", "", RNAseP!C5)</f>
        <v>20.583822356151501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354</v>
      </c>
      <c r="B6">
        <f>IF('177T'!C6="", "", '177T'!C6)</f>
        <v>-1</v>
      </c>
      <c r="C6">
        <f>IF('18S2'!C6="", "", '18S2'!C6)</f>
        <v>-1</v>
      </c>
      <c r="D6">
        <f>IF(RNAseP!C6="", "", RNAseP!C6)</f>
        <v>23.474796854051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354</v>
      </c>
      <c r="B7">
        <f>IF('177T'!C7="", "", '177T'!C7)</f>
        <v>-1</v>
      </c>
      <c r="C7">
        <f>IF('18S2'!C7="", "", '18S2'!C7)</f>
        <v>-1</v>
      </c>
      <c r="D7">
        <f>IF(RNAseP!C7="", "", RNAseP!C7)</f>
        <v>23.374789879938799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354</v>
      </c>
      <c r="B8">
        <f>IF('177T'!C8="", "", '177T'!C8)</f>
        <v>-1</v>
      </c>
      <c r="C8">
        <f>IF('18S2'!C8="", "", '18S2'!C8)</f>
        <v>-1</v>
      </c>
      <c r="D8">
        <f>IF(RNAseP!C8="", "", RNAseP!C8)</f>
        <v>23.395431895740401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354</v>
      </c>
      <c r="B9">
        <f>IF('177T'!C9="", "", '177T'!C9)</f>
        <v>-1</v>
      </c>
      <c r="C9">
        <f>IF('18S2'!C9="", "", '18S2'!C9)</f>
        <v>-1</v>
      </c>
      <c r="D9">
        <f>IF(RNAseP!C9="", "", RNAseP!C9)</f>
        <v>23.3474643190597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355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21.1275158700704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355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20.7143755337251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355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20.787010847009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355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20.7366570178385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356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22.526817867163398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356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22.350311538537099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356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22.397061457065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356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22.397796177164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357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22.086654894871799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357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22.078300680061599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357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22.1505985076878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357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22.0939770749745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358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19.609183935014102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358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19.475537024142501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358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19.489567663083999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358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19.634245991338702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359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21.533466983899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359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21.3934193788876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359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21.518601157528899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359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21.483013840088802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360</v>
      </c>
      <c r="B30">
        <f>IF('177T'!C30="", "", '177T'!C30)</f>
        <v>-1</v>
      </c>
      <c r="C30">
        <f>IF('18S2'!C30="", "", '18S2'!C30)</f>
        <v>37.520533938525297</v>
      </c>
      <c r="D30">
        <f>IF(RNAseP!C30="", "", RNAseP!C30)</f>
        <v>23.3696388743681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0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S</v>
      </c>
      <c r="I30" t="str" cm="1">
        <f t="array" ref="I30">INDEX(Decision!$E$1:$E$28, MATCH(E30&amp;F30&amp;G30, Decision!$A$1:$A$28&amp;Decision!$B$1:$B$28&amp;Decision!$C$1:$C$28, 0))</f>
        <v>RNA suspect</v>
      </c>
    </row>
    <row r="31" spans="1:9">
      <c r="A31">
        <f>IF(AND('177T'!B31 = '18S2'!B31, '177T'!B31 = RNAseP!B31, '177T'!B31 &lt;&gt; ""), '177T'!B31, IF('177T'!B31 = "", "", "Mismatch"))</f>
        <v>360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23.400117977172499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360</v>
      </c>
      <c r="B32">
        <f>IF('177T'!C32="", "", '177T'!C32)</f>
        <v>-1</v>
      </c>
      <c r="C32">
        <f>IF('18S2'!C32="", "", '18S2'!C32)</f>
        <v>37.411276549005002</v>
      </c>
      <c r="D32">
        <f>IF(RNAseP!C32="", "", RNAseP!C32)</f>
        <v>23.204017978075701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0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S</v>
      </c>
      <c r="I32" t="str" cm="1">
        <f t="array" ref="I32">INDEX(Decision!$E$1:$E$28, MATCH(E32&amp;F32&amp;G32, Decision!$A$1:$A$28&amp;Decision!$B$1:$B$28&amp;Decision!$C$1:$C$28, 0))</f>
        <v>RNA suspect</v>
      </c>
    </row>
    <row r="33" spans="1:9">
      <c r="A33">
        <f>IF(AND('177T'!B33 = '18S2'!B33, '177T'!B33 = RNAseP!B33, '177T'!B33 &lt;&gt; ""), '177T'!B33, IF('177T'!B33 = "", "", "Mismatch"))</f>
        <v>360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23.454652624835099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361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21.891854208797799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361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21.903235276846299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361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21.883914151179599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361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21.773777639097201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362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20.965562368622599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362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20.987118629941001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362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20.744222949020301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362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20.765620231843801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26.0887789364225</v>
      </c>
      <c r="C42">
        <f>IF('18S2'!C42="", "", '18S2'!C42)</f>
        <v>20.472144716966401</v>
      </c>
      <c r="D42">
        <f>IF(RNAseP!C42="", "", RNAseP!C42)</f>
        <v>34.742686056467598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29.0130762621408</v>
      </c>
      <c r="C43">
        <f>IF('18S2'!C43="", "", '18S2'!C43)</f>
        <v>22.224806269337499</v>
      </c>
      <c r="D43">
        <f>IF(RNAseP!C43="", "", RNAseP!C43)</f>
        <v>37.779392175099602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25.52395497885</v>
      </c>
      <c r="C44">
        <f>IF('18S2'!C44="", "", '18S2'!C44)</f>
        <v>20.167986742518298</v>
      </c>
      <c r="D44">
        <f>IF(RNAseP!C44="", "", RNAseP!C44)</f>
        <v>36.149098102389701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24.934786069789102</v>
      </c>
      <c r="C45">
        <f>IF('18S2'!C45="", "", '18S2'!C45)</f>
        <v>20.140667237708399</v>
      </c>
      <c r="D45">
        <f>IF(RNAseP!C45="", "", RNAseP!C45)</f>
        <v>36.203423399453797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38.552937221343797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0</v>
      </c>
      <c r="H47" s="3" t="str" cm="1">
        <f t="array" ref="H47">INDEX(DecisionC!$E$1:$E$56, MATCH(A47&amp;E47&amp;F47&amp;G47, DecisionC!$A$1:$A$56&amp;DecisionC!$B$1:$B$56&amp;DecisionC!$C$1:$C$56&amp;DecisionC!$D$1:$D$56, 0))</f>
        <v>F</v>
      </c>
      <c r="I47" s="3" t="str" cm="1">
        <f t="array" ref="I47">INDEX(DecisionC!$F$1:$F$56, MATCH(A47&amp;E47&amp;F47&amp;G47, DecisionC!$A$1:$A$56&amp;DecisionC!$B$1:$B$56&amp;DecisionC!$C$1:$C$56&amp;DecisionC!$D$1:$D$56, 0))</f>
        <v>RNAseP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-1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-1</v>
      </c>
      <c r="H49" s="3" t="str" cm="1">
        <f t="array" ref="H49">INDEX(DecisionC!$E$1:$E$56, MATCH(A49&amp;E49&amp;F49&amp;G49, DecisionC!$A$1:$A$56&amp;DecisionC!$B$1:$B$56&amp;DecisionC!$C$1:$C$56&amp;DecisionC!$D$1:$D$56, 0))</f>
        <v>OK</v>
      </c>
      <c r="I49" s="3" t="str" cm="1">
        <f t="array" ref="I49">INDEX(DecisionC!$F$1:$F$56, MATCH(A49&amp;E49&amp;F49&amp;G49, DecisionC!$A$1:$A$56&amp;DecisionC!$B$1:$B$56&amp;DecisionC!$C$1:$C$56&amp;DecisionC!$D$1:$D$56, 0))</f>
        <v>clean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4.4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4.4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4.4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topLeftCell="A12" workbookViewId="0">
      <selection activeCell="G27" sqref="G27"/>
    </sheetView>
  </sheetViews>
  <sheetFormatPr defaultColWidth="9.140625" defaultRowHeight="14.4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600000000000001">
      <c r="A1" s="28" t="s">
        <v>40</v>
      </c>
      <c r="B1" s="28"/>
    </row>
    <row r="3" spans="1:8">
      <c r="A3" s="24" t="s">
        <v>41</v>
      </c>
      <c r="B3" s="25"/>
      <c r="C3" s="26">
        <v>45964</v>
      </c>
      <c r="D3" s="26"/>
      <c r="E3" s="26"/>
      <c r="F3" s="26"/>
      <c r="G3" s="26"/>
    </row>
    <row r="4" spans="1:8">
      <c r="A4" s="24" t="s">
        <v>42</v>
      </c>
      <c r="B4" s="29"/>
      <c r="C4" s="27" t="s">
        <v>43</v>
      </c>
      <c r="D4" s="27"/>
      <c r="E4" s="27"/>
      <c r="F4" s="27"/>
      <c r="G4" s="27"/>
    </row>
    <row r="5" spans="1:8">
      <c r="A5" s="24" t="s">
        <v>44</v>
      </c>
      <c r="B5" s="25"/>
      <c r="C5" s="27" t="s">
        <v>45</v>
      </c>
      <c r="D5" s="27"/>
      <c r="E5" s="27"/>
      <c r="F5" s="27"/>
      <c r="G5" s="27"/>
    </row>
    <row r="6" spans="1:8">
      <c r="A6" s="24" t="s">
        <v>46</v>
      </c>
      <c r="B6" s="25"/>
      <c r="C6" s="27">
        <v>301</v>
      </c>
      <c r="D6" s="27"/>
      <c r="E6" s="27"/>
      <c r="F6" s="27"/>
      <c r="G6" s="27"/>
    </row>
    <row r="7" spans="1:8">
      <c r="A7" s="24" t="s">
        <v>47</v>
      </c>
      <c r="B7" s="25"/>
      <c r="C7" s="26">
        <v>45771</v>
      </c>
      <c r="D7" s="27"/>
      <c r="E7" s="27"/>
      <c r="F7" s="27"/>
      <c r="G7" s="27"/>
    </row>
    <row r="8" spans="1:8">
      <c r="A8" s="24" t="s">
        <v>48</v>
      </c>
      <c r="B8" s="25"/>
      <c r="C8" s="26">
        <v>45771</v>
      </c>
      <c r="D8" s="26"/>
      <c r="E8" s="26"/>
      <c r="F8" s="26"/>
      <c r="G8" s="26"/>
    </row>
    <row r="9" spans="1:8">
      <c r="A9" s="24" t="s">
        <v>49</v>
      </c>
      <c r="B9" s="25"/>
      <c r="C9" s="26">
        <v>45771</v>
      </c>
      <c r="D9" s="26"/>
      <c r="E9" s="26"/>
      <c r="F9" s="26"/>
      <c r="G9" s="26"/>
    </row>
    <row r="10" spans="1:8">
      <c r="A10" s="24" t="s">
        <v>50</v>
      </c>
      <c r="B10" s="25"/>
      <c r="C10" s="26">
        <v>45771</v>
      </c>
      <c r="D10" s="26"/>
      <c r="E10" s="26"/>
      <c r="F10" s="26"/>
      <c r="G10" s="26"/>
    </row>
    <row r="11" spans="1:8">
      <c r="A11" s="24" t="s">
        <v>51</v>
      </c>
      <c r="B11" s="25"/>
      <c r="C11" s="26">
        <v>45771</v>
      </c>
      <c r="D11" s="27"/>
      <c r="E11" s="27"/>
      <c r="F11" s="27"/>
      <c r="G11" s="27"/>
    </row>
    <row r="12" spans="1:8">
      <c r="A12" s="24" t="s">
        <v>52</v>
      </c>
      <c r="B12" s="25"/>
      <c r="C12" s="26">
        <v>45674</v>
      </c>
      <c r="D12" s="27"/>
      <c r="E12" s="27"/>
      <c r="F12" s="27"/>
      <c r="G12" s="27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353</v>
      </c>
      <c r="B16" s="11">
        <v>2501136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20,5 +/- 0,1</v>
      </c>
      <c r="G16" s="18" t="s">
        <v>56</v>
      </c>
    </row>
    <row r="17" spans="1:12">
      <c r="A17" s="21" cm="1">
        <f t="array" ref="A17">IF(INDEX(Analysis!A:A,MATCH(0,COUNTIF($A$14:A16,Analysis!A:A),0))="","",INDEX(Analysis!A:A,MATCH(0,COUNTIF($A$14:A16,Analysis!A:A),0)))</f>
        <v>354</v>
      </c>
      <c r="B17" s="11">
        <v>2500753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23,4 +/- 0,1</v>
      </c>
      <c r="G17" s="18" t="s">
        <v>56</v>
      </c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355</v>
      </c>
      <c r="B18" s="11">
        <v>2500702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20,8 +/- 0,2</v>
      </c>
      <c r="G18" s="18" t="s">
        <v>56</v>
      </c>
    </row>
    <row r="19" spans="1:12">
      <c r="A19" s="21" cm="1">
        <f t="array" ref="A19">IF(INDEX(Analysis!A:A,MATCH(0,COUNTIF($A$14:A18,Analysis!A:A),0))="","",INDEX(Analysis!A:A,MATCH(0,COUNTIF($A$14:A18,Analysis!A:A),0)))</f>
        <v>356</v>
      </c>
      <c r="B19" s="11">
        <v>2500762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22,4 +/- 0,1</v>
      </c>
      <c r="G19" s="18" t="s">
        <v>56</v>
      </c>
    </row>
    <row r="20" spans="1:12">
      <c r="A20" s="21" cm="1">
        <f t="array" ref="A20">IF(INDEX(Analysis!A:A,MATCH(0,COUNTIF($A$14:A19,Analysis!A:A),0))="","",INDEX(Analysis!A:A,MATCH(0,COUNTIF($A$14:A19,Analysis!A:A),0)))</f>
        <v>357</v>
      </c>
      <c r="B20" s="11">
        <v>2500760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22,1 +/- 0</v>
      </c>
      <c r="G20" s="18" t="s">
        <v>56</v>
      </c>
    </row>
    <row r="21" spans="1:12">
      <c r="A21" s="21" cm="1">
        <f t="array" ref="A21">IF(INDEX(Analysis!A:A,MATCH(0,COUNTIF($A$14:A20,Analysis!A:A),0))="","",INDEX(Analysis!A:A,MATCH(0,COUNTIF($A$14:A20,Analysis!A:A),0)))</f>
        <v>358</v>
      </c>
      <c r="B21" s="11">
        <v>2501061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19,6 +/- 0,1</v>
      </c>
      <c r="G21" s="18" t="s">
        <v>56</v>
      </c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359</v>
      </c>
      <c r="B22" s="11">
        <v>2500724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21,5 +/- 0,1</v>
      </c>
      <c r="G22" s="18" t="s">
        <v>56</v>
      </c>
    </row>
    <row r="23" spans="1:12">
      <c r="A23" s="21" cm="1">
        <f t="array" ref="A23">IF(INDEX(Analysis!A:A,MATCH(0,COUNTIF($A$14:A22,Analysis!A:A),0))="","",INDEX(Analysis!A:A,MATCH(0,COUNTIF($A$14:A22,Analysis!A:A),0)))</f>
        <v>360</v>
      </c>
      <c r="B23" s="11">
        <v>2500721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R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37,5 +/- 0,1</v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23,4 +/- 0,1</v>
      </c>
      <c r="G23" s="18" t="s">
        <v>56</v>
      </c>
    </row>
    <row r="24" spans="1:12">
      <c r="A24" s="21" cm="1">
        <f t="array" ref="A24">IF(INDEX(Analysis!A:A,MATCH(0,COUNTIF($A$14:A23,Analysis!A:A),0))="","",INDEX(Analysis!A:A,MATCH(0,COUNTIF($A$14:A23,Analysis!A:A),0)))</f>
        <v>361</v>
      </c>
      <c r="B24" s="11">
        <v>2500714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21,9 +/- 0,1</v>
      </c>
      <c r="G24" s="18" t="s">
        <v>56</v>
      </c>
    </row>
    <row r="25" spans="1:12">
      <c r="A25" s="21" cm="1">
        <f t="array" ref="A25">IF(INDEX(Analysis!A:A,MATCH(0,COUNTIF($A$14:A24,Analysis!A:A),0))="","",INDEX(Analysis!A:A,MATCH(0,COUNTIF($A$14:A24,Analysis!A:A),0)))</f>
        <v>362</v>
      </c>
      <c r="B25" s="11">
        <v>2500723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20,9 +/- 0,1</v>
      </c>
      <c r="G25" s="18" t="s">
        <v>56</v>
      </c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26,4 +/- 1,8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20,8 +/- 1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36,2 +/- 1,2</v>
      </c>
      <c r="G26" s="18" t="s">
        <v>56</v>
      </c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38,6</v>
      </c>
      <c r="G27" s="18" t="s">
        <v>56</v>
      </c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57</v>
      </c>
      <c r="B29" s="13" t="s">
        <v>58</v>
      </c>
      <c r="C29" s="31" t="s">
        <v>59</v>
      </c>
      <c r="D29" s="31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60</v>
      </c>
      <c r="B30" s="18" t="s">
        <v>61</v>
      </c>
      <c r="C30" s="30" t="s">
        <v>62</v>
      </c>
      <c r="D30" s="30"/>
      <c r="E30" s="20"/>
    </row>
    <row r="31" spans="1:12">
      <c r="A31" s="18" t="s">
        <v>20</v>
      </c>
      <c r="B31" s="18" t="s">
        <v>21</v>
      </c>
      <c r="C31" s="30" t="s">
        <v>63</v>
      </c>
      <c r="D31" s="30"/>
      <c r="E31" s="20"/>
    </row>
    <row r="32" spans="1:12">
      <c r="A32" s="18" t="s">
        <v>22</v>
      </c>
      <c r="B32" s="18" t="s">
        <v>64</v>
      </c>
      <c r="C32" s="30" t="s">
        <v>65</v>
      </c>
      <c r="D32" s="30"/>
      <c r="E32" s="20"/>
    </row>
    <row r="33" spans="1:5">
      <c r="A33" s="18" t="s">
        <v>66</v>
      </c>
      <c r="B33" s="18" t="s">
        <v>67</v>
      </c>
      <c r="C33" s="30" t="s">
        <v>68</v>
      </c>
      <c r="D33" s="30"/>
      <c r="E33" s="20"/>
    </row>
    <row r="34" spans="1:5">
      <c r="A34" s="18" t="s">
        <v>17</v>
      </c>
      <c r="B34" s="18" t="s">
        <v>69</v>
      </c>
      <c r="C34" s="30" t="s">
        <v>70</v>
      </c>
      <c r="D34" s="30"/>
      <c r="E34" s="20"/>
    </row>
    <row r="35" spans="1:5">
      <c r="A35" s="18" t="s">
        <v>71</v>
      </c>
      <c r="B35" s="18" t="s">
        <v>72</v>
      </c>
      <c r="C35" s="30" t="s">
        <v>73</v>
      </c>
      <c r="D35" s="30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C35:D35"/>
    <mergeCell ref="C29:D29"/>
    <mergeCell ref="C30:D30"/>
    <mergeCell ref="C31:D31"/>
    <mergeCell ref="C32:D32"/>
    <mergeCell ref="C33:D33"/>
    <mergeCell ref="C34:D34"/>
    <mergeCell ref="A1:B1"/>
    <mergeCell ref="A6:B6"/>
    <mergeCell ref="A10:B10"/>
    <mergeCell ref="A11:B11"/>
    <mergeCell ref="A5:B5"/>
    <mergeCell ref="A4:B4"/>
    <mergeCell ref="A3:B3"/>
    <mergeCell ref="C3:G3"/>
    <mergeCell ref="C4:G4"/>
    <mergeCell ref="C5:G5"/>
    <mergeCell ref="C6:G6"/>
    <mergeCell ref="C7:G7"/>
    <mergeCell ref="A12:B12"/>
    <mergeCell ref="A7:B7"/>
    <mergeCell ref="A8:B8"/>
    <mergeCell ref="A9:B9"/>
    <mergeCell ref="C8:G8"/>
    <mergeCell ref="C9:G9"/>
    <mergeCell ref="C10:G10"/>
    <mergeCell ref="C11:G11"/>
    <mergeCell ref="C12:G12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4.4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74</v>
      </c>
      <c r="C1" s="2" t="s">
        <v>75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353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20,5 +/- 0,1</v>
      </c>
    </row>
    <row r="3" spans="1:11">
      <c r="A3" s="3">
        <f>Report!A17</f>
        <v>354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23,4 +/- 0,1</v>
      </c>
    </row>
    <row r="4" spans="1:11">
      <c r="A4" s="3">
        <f>Report!A18</f>
        <v>355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20,8 +/- 0,2</v>
      </c>
    </row>
    <row r="5" spans="1:11">
      <c r="A5" s="3">
        <f>Report!A19</f>
        <v>356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22,4 +/- 0,1</v>
      </c>
    </row>
    <row r="6" spans="1:11">
      <c r="A6" s="3">
        <f>Report!A20</f>
        <v>357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22,1 +/- 0</v>
      </c>
    </row>
    <row r="7" spans="1:11">
      <c r="A7" s="3">
        <f>Report!A21</f>
        <v>358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19,6 +/- 0,1</v>
      </c>
      <c r="K7" s="4"/>
    </row>
    <row r="8" spans="1:11">
      <c r="A8" s="3">
        <f>Report!A22</f>
        <v>359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21,5 +/- 0,1</v>
      </c>
    </row>
    <row r="9" spans="1:11">
      <c r="A9" s="3">
        <f>Report!A23</f>
        <v>360</v>
      </c>
      <c r="B9" s="3" t="str" cm="1">
        <f t="array" ref="B9">_xlfn.TEXTJOIN(", ", TRUE, IF(Analysis!$A$2:$A$82=A9, Analysis!$H$2:$H$82, ""))</f>
        <v>S, N, S, N</v>
      </c>
      <c r="C9" s="3" t="str" cm="1">
        <f t="array" ref="C9">_xlfn.TEXTJOIN(", ", TRUE, IF(Analysis!$A$2:$A$82=A9, Analysis!$I$2:$I$82, ""))</f>
        <v>RNA suspect, negative, RNA suspect,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Retest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>37,5 +/- 0,1</v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23,4 +/- 0,1</v>
      </c>
    </row>
    <row r="10" spans="1:11">
      <c r="A10" s="3">
        <f>Report!A24</f>
        <v>361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21,9 +/- 0,1</v>
      </c>
    </row>
    <row r="11" spans="1:11">
      <c r="A11" s="3">
        <f>Report!A25</f>
        <v>362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20,9 +/- 0,1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26,4 +/- 1,8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20,8 +/- 1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36,2 +/- 1,2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F, OK, OK</v>
      </c>
      <c r="C13" s="3" t="str" cm="1">
        <f t="array" ref="C13">_xlfn.TEXTJOIN(", ", TRUE, IF(Analysis!$A$2:$A$82=A13, Analysis!$I$2:$I$82, ""))</f>
        <v>clean, RNAseP, clean, clean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38,6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2025-11-06T14:28:50+00:00</Uploaded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93e6b79bffcb710984822118ae45b29f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c971e98cb6cdb6e05177eaad282d8065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87E2D4-D081-411A-AE37-AB2E1A2B3742}"/>
</file>

<file path=customXml/itemProps2.xml><?xml version="1.0" encoding="utf-8"?>
<ds:datastoreItem xmlns:ds="http://schemas.openxmlformats.org/officeDocument/2006/customXml" ds:itemID="{3AEB2BAC-4ED6-421E-AE3A-91762BD551CF}"/>
</file>

<file path=customXml/itemProps3.xml><?xml version="1.0" encoding="utf-8"?>
<ds:datastoreItem xmlns:ds="http://schemas.openxmlformats.org/officeDocument/2006/customXml" ds:itemID="{724B4FAF-F09E-4F96-B334-BE96CE5B1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Nick Van Reet</cp:lastModifiedBy>
  <cp:revision/>
  <dcterms:created xsi:type="dcterms:W3CDTF">2024-04-13T12:12:20Z</dcterms:created>
  <dcterms:modified xsi:type="dcterms:W3CDTF">2025-11-07T10:34:16Z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  <property fmtid="{D5CDD505-2E9C-101B-9397-08002B2CF9AE}" pid="3" name="MediaServiceImageTags">
    <vt:lpwstr/>
  </property>
</Properties>
</file>