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CE9C3FD3-81CA-48C6-80F4-31F94F425733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4295" yWindow="0" windowWidth="14610" windowHeight="1558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<sst xmlns="http://schemas.openxmlformats.org/spreadsheetml/2006/main" count="419" uniqueCount="75">
  <si>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</si>
  <si>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</si>
  <si>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</si>
  <si>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</si>
  <si>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</si>
  <si>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</si>
  <si>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</si>
  <si>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</si>
  <si>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</si>
  <si>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</si>
  <si>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</si>
  <si>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</si>
  <si>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</si>
  <si>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</si>
  <si>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</si>
  <si>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</si>
  <si>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</si>
  <si>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</si>
  <si>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</si>
  <si>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</si>
  <si>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</si>
  <si>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</si>
  <si>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</si>
  <si>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</si>
  <si>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</si>
  <si>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</si>
  <si>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</si>
  <si>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</si>
  <si>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</si>
  <si>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</si>
  <si>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</si>
  <si>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</si>
  <si>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</si>
  <si>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</si>
  <si>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</si>
  <si>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</si>
  <si>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</si>
  <si>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</si>
  <si>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</si>
  <si>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</si>
  <si>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</si>
  <si>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</si>
  <si>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</si>
  <si>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LOUIS</t>
  </si>
  <si>
    <t>Qrun file name</t>
  </si>
  <si>
    <t>2025-10-08 14.18.35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</si>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</sst>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226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226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226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226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227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227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227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227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228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228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228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228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229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229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229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229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230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230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230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230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231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231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231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231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232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232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232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232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233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233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233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233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234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234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234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234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235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235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235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235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23.593633189277401</v>
      </c>
      <c r="D42" s="8">
        <v>0.81918651582758595</v>
      </c>
      <c r="E42" s="8">
        <v>0.99963000000000002</v>
      </c>
      <c r="F42" s="8"/>
    </row>
    <row r="43" spans="1:6">
      <c r="A43" s="8">
        <v>42</v>
      </c>
      <c r="B43" s="8" t="s">
        <v>7</v>
      </c>
      <c r="C43" s="8">
        <v>23.592799679015201</v>
      </c>
      <c r="D43" s="8">
        <v>0.85416873674444105</v>
      </c>
      <c r="E43" s="8">
        <v>0.99936000000000003</v>
      </c>
      <c r="F43" s="8"/>
    </row>
    <row r="44" spans="1:6">
      <c r="A44" s="8">
        <v>43</v>
      </c>
      <c r="B44" s="8" t="s">
        <v>7</v>
      </c>
      <c r="C44" s="8">
        <v>23.040338169048098</v>
      </c>
      <c r="D44" s="8">
        <v>0.82315134089052999</v>
      </c>
      <c r="E44" s="8">
        <v>0.99985999999999997</v>
      </c>
      <c r="F44" s="8"/>
    </row>
    <row r="45" spans="1:6">
      <c r="A45" s="8">
        <v>44</v>
      </c>
      <c r="B45" s="8" t="s">
        <v>7</v>
      </c>
      <c r="C45" s="8">
        <v>23.080233269717699</v>
      </c>
      <c r="D45" s="8">
        <v>0.75725300287002695</v>
      </c>
      <c r="E45" s="8">
        <v>0.99997000000000003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226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226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226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226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227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227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227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227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228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228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228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228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229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229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229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229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230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230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230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230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231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231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231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231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232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232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232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232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233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233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233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233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234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234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234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234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235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235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235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235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20.245592329854301</v>
      </c>
      <c r="D42" s="9">
        <v>0.82683100617330196</v>
      </c>
      <c r="E42" s="9">
        <v>0.99883</v>
      </c>
      <c r="F42" s="9"/>
    </row>
    <row r="43" spans="1:6">
      <c r="A43" s="9">
        <v>42</v>
      </c>
      <c r="B43" s="9" t="s">
        <v>7</v>
      </c>
      <c r="C43" s="9">
        <v>20.3236191701202</v>
      </c>
      <c r="D43" s="9">
        <v>0.82854799168878901</v>
      </c>
      <c r="E43" s="9">
        <v>0.99875000000000003</v>
      </c>
      <c r="F43" s="9"/>
    </row>
    <row r="44" spans="1:6">
      <c r="A44" s="9">
        <v>43</v>
      </c>
      <c r="B44" s="9" t="s">
        <v>7</v>
      </c>
      <c r="C44" s="9">
        <v>20.215291783848102</v>
      </c>
      <c r="D44" s="9">
        <v>0.83900264400721603</v>
      </c>
      <c r="E44" s="9">
        <v>0.99839</v>
      </c>
      <c r="F44" s="9"/>
    </row>
    <row r="45" spans="1:6">
      <c r="A45" s="9">
        <v>44</v>
      </c>
      <c r="B45" s="9" t="s">
        <v>7</v>
      </c>
      <c r="C45" s="9">
        <v>20.195796901197699</v>
      </c>
      <c r="D45" s="9">
        <v>0.83379970058027297</v>
      </c>
      <c r="E45" s="9">
        <v>0.99841999999999997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226</v>
      </c>
      <c r="C2" s="10">
        <v>22.375122480481899</v>
      </c>
      <c r="D2" s="10">
        <v>0.91609762081872403</v>
      </c>
      <c r="E2" s="10">
        <v>0.99929999999999997</v>
      </c>
      <c r="F2" s="10"/>
    </row>
    <row r="3" spans="1:6">
      <c r="A3" s="10">
        <v>2</v>
      </c>
      <c r="B3" s="10">
        <v>226</v>
      </c>
      <c r="C3" s="10">
        <v>22.302917262641099</v>
      </c>
      <c r="D3" s="10">
        <v>1.0005069253910801</v>
      </c>
      <c r="E3" s="10">
        <v>0.99882000000000004</v>
      </c>
      <c r="F3" s="10"/>
    </row>
    <row r="4" spans="1:6">
      <c r="A4" s="10">
        <v>3</v>
      </c>
      <c r="B4" s="10">
        <v>226</v>
      </c>
      <c r="C4" s="10">
        <v>22.2748362624076</v>
      </c>
      <c r="D4" s="10">
        <v>1.00598211898552</v>
      </c>
      <c r="E4" s="10">
        <v>0.99877000000000005</v>
      </c>
      <c r="F4" s="10"/>
    </row>
    <row r="5" spans="1:6">
      <c r="A5" s="10">
        <v>4</v>
      </c>
      <c r="B5" s="10">
        <v>226</v>
      </c>
      <c r="C5" s="10">
        <v>22.3081510999756</v>
      </c>
      <c r="D5" s="10">
        <v>1.0015205721948599</v>
      </c>
      <c r="E5" s="10">
        <v>0.99880000000000002</v>
      </c>
      <c r="F5" s="10"/>
    </row>
    <row r="6" spans="1:6">
      <c r="A6" s="10">
        <v>5</v>
      </c>
      <c r="B6" s="10">
        <v>227</v>
      </c>
      <c r="C6" s="10">
        <v>24.833739952895598</v>
      </c>
      <c r="D6" s="10">
        <v>0.91242446371642505</v>
      </c>
      <c r="E6" s="10">
        <v>0.99953999999999998</v>
      </c>
      <c r="F6" s="10"/>
    </row>
    <row r="7" spans="1:6">
      <c r="A7" s="10">
        <v>6</v>
      </c>
      <c r="B7" s="10">
        <v>227</v>
      </c>
      <c r="C7" s="10">
        <v>25.144197104993399</v>
      </c>
      <c r="D7" s="10">
        <v>0.91710448548136703</v>
      </c>
      <c r="E7" s="10">
        <v>0.99924000000000002</v>
      </c>
      <c r="F7" s="10"/>
    </row>
    <row r="8" spans="1:6">
      <c r="A8" s="10">
        <v>7</v>
      </c>
      <c r="B8" s="10">
        <v>227</v>
      </c>
      <c r="C8" s="10">
        <v>25.025931121778001</v>
      </c>
      <c r="D8" s="10">
        <v>0.92101007259970802</v>
      </c>
      <c r="E8" s="10">
        <v>0.99926000000000004</v>
      </c>
      <c r="F8" s="10"/>
    </row>
    <row r="9" spans="1:6">
      <c r="A9" s="10">
        <v>8</v>
      </c>
      <c r="B9" s="10">
        <v>227</v>
      </c>
      <c r="C9" s="10">
        <v>25.077105958524399</v>
      </c>
      <c r="D9" s="10">
        <v>0.93924964351837903</v>
      </c>
      <c r="E9" s="10">
        <v>0.99912000000000001</v>
      </c>
      <c r="F9" s="10"/>
    </row>
    <row r="10" spans="1:6">
      <c r="A10" s="10">
        <v>9</v>
      </c>
      <c r="B10" s="10">
        <v>228</v>
      </c>
      <c r="C10" s="10">
        <v>23.600575358029001</v>
      </c>
      <c r="D10" s="10">
        <v>0.96360793652269505</v>
      </c>
      <c r="E10" s="10">
        <v>0.999</v>
      </c>
      <c r="F10" s="10"/>
    </row>
    <row r="11" spans="1:6">
      <c r="A11" s="10">
        <v>10</v>
      </c>
      <c r="B11" s="10">
        <v>228</v>
      </c>
      <c r="C11" s="10">
        <v>23.622690768590701</v>
      </c>
      <c r="D11" s="10">
        <v>0.95292082667523403</v>
      </c>
      <c r="E11" s="10">
        <v>0.99904000000000004</v>
      </c>
      <c r="F11" s="10"/>
    </row>
    <row r="12" spans="1:6">
      <c r="A12" s="10">
        <v>11</v>
      </c>
      <c r="B12" s="10">
        <v>228</v>
      </c>
      <c r="C12" s="10">
        <v>36.461505369491398</v>
      </c>
      <c r="D12" s="10">
        <v>0.67969706324302004</v>
      </c>
      <c r="E12" s="10">
        <v>0.99438000000000004</v>
      </c>
      <c r="F12" s="10"/>
    </row>
    <row r="13" spans="1:6">
      <c r="A13" s="10">
        <v>12</v>
      </c>
      <c r="B13" s="10">
        <v>228</v>
      </c>
      <c r="C13" s="10">
        <v>23.053777205342701</v>
      </c>
      <c r="D13" s="10">
        <v>0.82661544680572396</v>
      </c>
      <c r="E13" s="10">
        <v>0.99985999999999997</v>
      </c>
      <c r="F13" s="10"/>
    </row>
    <row r="14" spans="1:6">
      <c r="A14" s="10">
        <v>13</v>
      </c>
      <c r="B14" s="10">
        <v>229</v>
      </c>
      <c r="C14" s="10">
        <v>24.1011501929326</v>
      </c>
      <c r="D14" s="10">
        <v>0.920164461179938</v>
      </c>
      <c r="E14" s="10">
        <v>0.99933000000000005</v>
      </c>
      <c r="F14" s="10"/>
    </row>
    <row r="15" spans="1:6">
      <c r="A15" s="10">
        <v>14</v>
      </c>
      <c r="B15" s="10">
        <v>229</v>
      </c>
      <c r="C15" s="10">
        <v>24.0532850179499</v>
      </c>
      <c r="D15" s="10">
        <v>0.91370323218737903</v>
      </c>
      <c r="E15" s="10">
        <v>0.99936999999999998</v>
      </c>
      <c r="F15" s="10"/>
    </row>
    <row r="16" spans="1:6">
      <c r="A16" s="10">
        <v>15</v>
      </c>
      <c r="B16" s="10">
        <v>229</v>
      </c>
      <c r="C16" s="10">
        <v>24.1011314128151</v>
      </c>
      <c r="D16" s="10">
        <v>0.92531507331205198</v>
      </c>
      <c r="E16" s="10">
        <v>0.99919999999999998</v>
      </c>
      <c r="F16" s="10"/>
    </row>
    <row r="17" spans="1:6">
      <c r="A17" s="10">
        <v>16</v>
      </c>
      <c r="B17" s="10">
        <v>229</v>
      </c>
      <c r="C17" s="10">
        <v>24.117477407173698</v>
      </c>
      <c r="D17" s="10">
        <v>0.91799637359730202</v>
      </c>
      <c r="E17" s="10">
        <v>0.99929999999999997</v>
      </c>
      <c r="F17" s="10"/>
    </row>
    <row r="18" spans="1:6">
      <c r="A18" s="10">
        <v>17</v>
      </c>
      <c r="B18" s="10">
        <v>230</v>
      </c>
      <c r="C18" s="10">
        <v>21.269294782505099</v>
      </c>
      <c r="D18" s="10">
        <v>1.0088086674485801</v>
      </c>
      <c r="E18" s="10">
        <v>0.99888999999999994</v>
      </c>
      <c r="F18" s="10"/>
    </row>
    <row r="19" spans="1:6">
      <c r="A19" s="10">
        <v>18</v>
      </c>
      <c r="B19" s="10">
        <v>230</v>
      </c>
      <c r="C19" s="10">
        <v>21.254399747711901</v>
      </c>
      <c r="D19" s="10">
        <v>1.0005609319823301</v>
      </c>
      <c r="E19" s="10">
        <v>0.99888999999999994</v>
      </c>
      <c r="F19" s="10"/>
    </row>
    <row r="20" spans="1:6">
      <c r="A20" s="10">
        <v>19</v>
      </c>
      <c r="B20" s="10">
        <v>230</v>
      </c>
      <c r="C20" s="10">
        <v>21.305023863660601</v>
      </c>
      <c r="D20" s="10">
        <v>1.0031511844054199</v>
      </c>
      <c r="E20" s="10">
        <v>0.99890999999999996</v>
      </c>
      <c r="F20" s="10"/>
    </row>
    <row r="21" spans="1:6">
      <c r="A21" s="10">
        <v>20</v>
      </c>
      <c r="B21" s="10">
        <v>230</v>
      </c>
      <c r="C21" s="10">
        <v>21.326869975415999</v>
      </c>
      <c r="D21" s="10">
        <v>0.98550570203200505</v>
      </c>
      <c r="E21" s="10">
        <v>0.99919000000000002</v>
      </c>
      <c r="F21" s="10"/>
    </row>
    <row r="22" spans="1:6">
      <c r="A22" s="10">
        <v>21</v>
      </c>
      <c r="B22" s="10">
        <v>231</v>
      </c>
      <c r="C22" s="10">
        <v>22.216722586582499</v>
      </c>
      <c r="D22" s="10">
        <v>0.94249946117144201</v>
      </c>
      <c r="E22" s="10">
        <v>0.99914999999999998</v>
      </c>
      <c r="F22" s="10"/>
    </row>
    <row r="23" spans="1:6">
      <c r="A23" s="10">
        <v>22</v>
      </c>
      <c r="B23" s="10">
        <v>231</v>
      </c>
      <c r="C23" s="10">
        <v>22.2031917969842</v>
      </c>
      <c r="D23" s="10">
        <v>0.93820491996857003</v>
      </c>
      <c r="E23" s="10">
        <v>0.99907999999999997</v>
      </c>
      <c r="F23" s="10"/>
    </row>
    <row r="24" spans="1:6">
      <c r="A24" s="10">
        <v>23</v>
      </c>
      <c r="B24" s="10">
        <v>231</v>
      </c>
      <c r="C24" s="10">
        <v>22.348985586329199</v>
      </c>
      <c r="D24" s="10">
        <v>0.99691296850982103</v>
      </c>
      <c r="E24" s="10">
        <v>0.99914000000000003</v>
      </c>
      <c r="F24" s="10"/>
    </row>
    <row r="25" spans="1:6">
      <c r="A25" s="10">
        <v>24</v>
      </c>
      <c r="B25" s="10">
        <v>231</v>
      </c>
      <c r="C25" s="10">
        <v>22.135308915496299</v>
      </c>
      <c r="D25" s="10">
        <v>0.93287625015781905</v>
      </c>
      <c r="E25" s="10">
        <v>0.99916000000000005</v>
      </c>
      <c r="F25" s="10"/>
    </row>
    <row r="26" spans="1:6">
      <c r="A26" s="10">
        <v>25</v>
      </c>
      <c r="B26" s="10">
        <v>232</v>
      </c>
      <c r="C26" s="10">
        <v>21.505883386494499</v>
      </c>
      <c r="D26" s="10">
        <v>0.98660704016303202</v>
      </c>
      <c r="E26" s="10">
        <v>0.99921000000000004</v>
      </c>
      <c r="F26" s="10"/>
    </row>
    <row r="27" spans="1:6">
      <c r="A27" s="10">
        <v>26</v>
      </c>
      <c r="B27" s="10">
        <v>232</v>
      </c>
      <c r="C27" s="10">
        <v>21.386953618729599</v>
      </c>
      <c r="D27" s="10">
        <v>0.97696503557829995</v>
      </c>
      <c r="E27" s="10">
        <v>0.99934000000000001</v>
      </c>
      <c r="F27" s="10"/>
    </row>
    <row r="28" spans="1:6">
      <c r="A28" s="10">
        <v>27</v>
      </c>
      <c r="B28" s="10">
        <v>232</v>
      </c>
      <c r="C28" s="10">
        <v>21.5492153231766</v>
      </c>
      <c r="D28" s="10">
        <v>0.97258815610387295</v>
      </c>
      <c r="E28" s="10">
        <v>0.99931000000000003</v>
      </c>
      <c r="F28" s="10"/>
    </row>
    <row r="29" spans="1:6">
      <c r="A29" s="10">
        <v>28</v>
      </c>
      <c r="B29" s="10">
        <v>232</v>
      </c>
      <c r="C29" s="10">
        <v>21.540287316810101</v>
      </c>
      <c r="D29" s="10">
        <v>0.96821768085902604</v>
      </c>
      <c r="E29" s="10">
        <v>0.99931000000000003</v>
      </c>
      <c r="F29" s="10"/>
    </row>
    <row r="30" spans="1:6">
      <c r="A30" s="10">
        <v>29</v>
      </c>
      <c r="B30" s="10">
        <v>233</v>
      </c>
      <c r="C30" s="10">
        <v>26.271594592057099</v>
      </c>
      <c r="D30" s="10">
        <v>0.97574681758723003</v>
      </c>
      <c r="E30" s="10">
        <v>0.99904999999999999</v>
      </c>
      <c r="F30" s="10"/>
    </row>
    <row r="31" spans="1:6">
      <c r="A31" s="10">
        <v>30</v>
      </c>
      <c r="B31" s="10">
        <v>233</v>
      </c>
      <c r="C31" s="10">
        <v>26.604699473933401</v>
      </c>
      <c r="D31" s="10">
        <v>0.90402028096988896</v>
      </c>
      <c r="E31" s="10">
        <v>0.99965000000000004</v>
      </c>
      <c r="F31" s="10"/>
    </row>
    <row r="32" spans="1:6">
      <c r="A32" s="10">
        <v>31</v>
      </c>
      <c r="B32" s="10">
        <v>233</v>
      </c>
      <c r="C32" s="10">
        <v>26.486470569010599</v>
      </c>
      <c r="D32" s="10">
        <v>0.93243430824553997</v>
      </c>
      <c r="E32" s="10">
        <v>0.99948999999999999</v>
      </c>
      <c r="F32" s="10"/>
    </row>
    <row r="33" spans="1:6">
      <c r="A33" s="10">
        <v>32</v>
      </c>
      <c r="B33" s="10">
        <v>233</v>
      </c>
      <c r="C33" s="10">
        <v>26.3377819436548</v>
      </c>
      <c r="D33" s="10">
        <v>0.94632963912467005</v>
      </c>
      <c r="E33" s="10">
        <v>0.99944</v>
      </c>
      <c r="F33" s="10"/>
    </row>
    <row r="34" spans="1:6">
      <c r="A34" s="10">
        <v>33</v>
      </c>
      <c r="B34" s="10">
        <v>234</v>
      </c>
      <c r="C34" s="10">
        <v>22.054313963872399</v>
      </c>
      <c r="D34" s="10">
        <v>0.91998679215688395</v>
      </c>
      <c r="E34" s="10">
        <v>0.99938000000000005</v>
      </c>
      <c r="F34" s="10"/>
    </row>
    <row r="35" spans="1:6">
      <c r="A35" s="10">
        <v>34</v>
      </c>
      <c r="B35" s="10">
        <v>234</v>
      </c>
      <c r="C35" s="10">
        <v>22.106684856631201</v>
      </c>
      <c r="D35" s="10">
        <v>0.93752223945366797</v>
      </c>
      <c r="E35" s="10">
        <v>0.99919000000000002</v>
      </c>
      <c r="F35" s="10"/>
    </row>
    <row r="36" spans="1:6">
      <c r="A36" s="10">
        <v>35</v>
      </c>
      <c r="B36" s="10">
        <v>234</v>
      </c>
      <c r="C36" s="10">
        <v>22.072766696525701</v>
      </c>
      <c r="D36" s="10">
        <v>0.92719119815669604</v>
      </c>
      <c r="E36" s="10">
        <v>0.99926999999999999</v>
      </c>
      <c r="F36" s="10"/>
    </row>
    <row r="37" spans="1:6">
      <c r="A37" s="10">
        <v>36</v>
      </c>
      <c r="B37" s="10">
        <v>234</v>
      </c>
      <c r="C37" s="10">
        <v>22.035615902910301</v>
      </c>
      <c r="D37" s="10">
        <v>0.92342160685588903</v>
      </c>
      <c r="E37" s="10">
        <v>0.99934000000000001</v>
      </c>
      <c r="F37" s="10"/>
    </row>
    <row r="38" spans="1:6">
      <c r="A38" s="10">
        <v>37</v>
      </c>
      <c r="B38" s="10">
        <v>235</v>
      </c>
      <c r="C38" s="10">
        <v>24.546140437922499</v>
      </c>
      <c r="D38" s="10">
        <v>0.96190634794111995</v>
      </c>
      <c r="E38" s="10">
        <v>0.99939</v>
      </c>
      <c r="F38" s="10"/>
    </row>
    <row r="39" spans="1:6">
      <c r="A39" s="10">
        <v>38</v>
      </c>
      <c r="B39" s="10">
        <v>235</v>
      </c>
      <c r="C39" s="10">
        <v>24.705830298882301</v>
      </c>
      <c r="D39" s="10">
        <v>0.90689268860941796</v>
      </c>
      <c r="E39" s="10">
        <v>0.99963000000000002</v>
      </c>
      <c r="F39" s="10"/>
    </row>
    <row r="40" spans="1:6">
      <c r="A40" s="10">
        <v>39</v>
      </c>
      <c r="B40" s="10">
        <v>235</v>
      </c>
      <c r="C40" s="10">
        <v>24.4814744582294</v>
      </c>
      <c r="D40" s="10">
        <v>0.969056065360551</v>
      </c>
      <c r="E40" s="10">
        <v>0.99936999999999998</v>
      </c>
      <c r="F40" s="10"/>
    </row>
    <row r="41" spans="1:6">
      <c r="A41" s="10">
        <v>40</v>
      </c>
      <c r="B41" s="10">
        <v>235</v>
      </c>
      <c r="C41" s="10">
        <v>24.4907236113342</v>
      </c>
      <c r="D41" s="10">
        <v>0.95096461601984095</v>
      </c>
      <c r="E41" s="10">
        <v>0.99944</v>
      </c>
      <c r="F41" s="10"/>
    </row>
    <row r="42" spans="1:6">
      <c r="A42" s="10">
        <v>41</v>
      </c>
      <c r="B42" s="10" t="s">
        <v>7</v>
      </c>
      <c r="C42" s="10">
        <v>34.499066705948003</v>
      </c>
      <c r="D42" s="10">
        <v>0.61778837039152901</v>
      </c>
      <c r="E42" s="10">
        <v>0.99895999999999996</v>
      </c>
      <c r="F42" s="10"/>
    </row>
    <row r="43" spans="1:6">
      <c r="A43" s="10">
        <v>42</v>
      </c>
      <c r="B43" s="10" t="s">
        <v>7</v>
      </c>
      <c r="C43" s="10">
        <v>33.905743518818802</v>
      </c>
      <c r="D43" s="10">
        <v>0.68021861905333703</v>
      </c>
      <c r="E43" s="10">
        <v>0.99909000000000003</v>
      </c>
      <c r="F43" s="10"/>
    </row>
    <row r="44" spans="1:6">
      <c r="A44" s="10">
        <v>43</v>
      </c>
      <c r="B44" s="10" t="s">
        <v>7</v>
      </c>
      <c r="C44" s="10">
        <v>35.514508890727697</v>
      </c>
      <c r="D44" s="10">
        <v>0.57216035871741899</v>
      </c>
      <c r="E44" s="10">
        <v>0.99836000000000003</v>
      </c>
      <c r="F44" s="10"/>
    </row>
    <row r="45" spans="1:6">
      <c r="A45" s="10">
        <v>44</v>
      </c>
      <c r="B45" s="10" t="s">
        <v>7</v>
      </c>
      <c r="C45" s="10">
        <v>33.804883363972699</v>
      </c>
      <c r="D45" s="10">
        <v>0.66560030606142195</v>
      </c>
      <c r="E45" s="10">
        <v>0.99922</v>
      </c>
      <c r="F45" s="10"/>
    </row>
    <row r="46" spans="1:6">
      <c r="A46" s="10">
        <v>45</v>
      </c>
      <c r="B46" s="10" t="s">
        <v>8</v>
      </c>
      <c r="C46" s="10">
        <v>37.768721046202401</v>
      </c>
      <c r="D46" s="10">
        <v>0.43762464868180601</v>
      </c>
      <c r="E46" s="10">
        <v>0.95928999999999998</v>
      </c>
      <c r="F46" s="10"/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36.849340386322602</v>
      </c>
      <c r="D48" s="10">
        <v>0.483459504770342</v>
      </c>
      <c r="E48" s="10">
        <v>0.96947000000000005</v>
      </c>
      <c r="F48" s="10"/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226</v>
      </c>
      <c r="B2">
        <f>IF('177T'!C2="", "", '177T'!C2)</f>
        <v>-1</v>
      </c>
      <c r="C2">
        <f>IF('18S2'!C2="", "", '18S2'!C2)</f>
        <v>-1</v>
      </c>
      <c r="D2">
        <f>IF(RNAseP!C2="", "", RNAseP!C2)</f>
        <v>22.375122480481899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226</v>
      </c>
      <c r="B3">
        <f>IF('177T'!C3="", "", '177T'!C3)</f>
        <v>-1</v>
      </c>
      <c r="C3">
        <f>IF('18S2'!C3="", "", '18S2'!C3)</f>
        <v>-1</v>
      </c>
      <c r="D3">
        <f>IF(RNAseP!C3="", "", RNAseP!C3)</f>
        <v>22.302917262641099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226</v>
      </c>
      <c r="B4">
        <f>IF('177T'!C4="", "", '177T'!C4)</f>
        <v>-1</v>
      </c>
      <c r="C4">
        <f>IF('18S2'!C4="", "", '18S2'!C4)</f>
        <v>-1</v>
      </c>
      <c r="D4">
        <f>IF(RNAseP!C4="", "", RNAseP!C4)</f>
        <v>22.2748362624076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226</v>
      </c>
      <c r="B5">
        <f>IF('177T'!C5="", "", '177T'!C5)</f>
        <v>-1</v>
      </c>
      <c r="C5">
        <f>IF('18S2'!C5="", "", '18S2'!C5)</f>
        <v>-1</v>
      </c>
      <c r="D5">
        <f>IF(RNAseP!C5="", "", RNAseP!C5)</f>
        <v>22.3081510999756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227</v>
      </c>
      <c r="B6">
        <f>IF('177T'!C6="", "", '177T'!C6)</f>
        <v>-1</v>
      </c>
      <c r="C6">
        <f>IF('18S2'!C6="", "", '18S2'!C6)</f>
        <v>-1</v>
      </c>
      <c r="D6">
        <f>IF(RNAseP!C6="", "", RNAseP!C6)</f>
        <v>24.833739952895598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227</v>
      </c>
      <c r="B7">
        <f>IF('177T'!C7="", "", '177T'!C7)</f>
        <v>-1</v>
      </c>
      <c r="C7">
        <f>IF('18S2'!C7="", "", '18S2'!C7)</f>
        <v>-1</v>
      </c>
      <c r="D7">
        <f>IF(RNAseP!C7="", "", RNAseP!C7)</f>
        <v>25.144197104993399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227</v>
      </c>
      <c r="B8">
        <f>IF('177T'!C8="", "", '177T'!C8)</f>
        <v>-1</v>
      </c>
      <c r="C8">
        <f>IF('18S2'!C8="", "", '18S2'!C8)</f>
        <v>-1</v>
      </c>
      <c r="D8">
        <f>IF(RNAseP!C8="", "", RNAseP!C8)</f>
        <v>25.025931121778001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227</v>
      </c>
      <c r="B9">
        <f>IF('177T'!C9="", "", '177T'!C9)</f>
        <v>-1</v>
      </c>
      <c r="C9">
        <f>IF('18S2'!C9="", "", '18S2'!C9)</f>
        <v>-1</v>
      </c>
      <c r="D9">
        <f>IF(RNAseP!C9="", "", RNAseP!C9)</f>
        <v>25.077105958524399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228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23.600575358029001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228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23.622690768590701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228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36.461505369491398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0</v>
      </c>
      <c r="H12" s="3" t="str" cm="1">
        <f t="array" ref="H12">INDEX(Decision!$D$1:$D$28, MATCH(E12&amp;F12&amp;G12, Decision!$A$1:$A$28&amp;Decision!$B$1:$B$28&amp;Decision!$C$1:$C$28, 0))</f>
        <v>F</v>
      </c>
      <c r="I12" t="str" cm="1">
        <f t="array" ref="I12">INDEX(Decision!$E$1:$E$28, MATCH(E12&amp;F12&amp;G12, Decision!$A$1:$A$28&amp;Decision!$B$1:$B$28&amp;Decision!$C$1:$C$28, 0))</f>
        <v>low human DNA</v>
      </c>
    </row>
    <row r="13" spans="1:9">
      <c r="A13">
        <f>IF(AND('177T'!B13 = '18S2'!B13, '177T'!B13 = RNAseP!B13, '177T'!B13 &lt;&gt; ""), '177T'!B13, IF('177T'!B13 = "", "", "Mismatch"))</f>
        <v>228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23.053777205342701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229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24.1011501929326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229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24.0532850179499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229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24.1011314128151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229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24.117477407173698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230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21.269294782505099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230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21.254399747711901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230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21.305023863660601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230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21.326869975415999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231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22.216722586582499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231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22.2031917969842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231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22.348985586329199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231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22.135308915496299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232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21.505883386494499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232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21.386953618729599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232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21.5492153231766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232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21.540287316810101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233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26.271594592057099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233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26.604699473933401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233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26.486470569010599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233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26.3377819436548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234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22.054313963872399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234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22.106684856631201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234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22.072766696525701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234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22.035615902910301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235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24.546140437922499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235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24.705830298882301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235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24.4814744582294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235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24.4907236113342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23.593633189277401</v>
      </c>
      <c r="C42">
        <f>IF('18S2'!C42="", "", '18S2'!C42)</f>
        <v>20.245592329854301</v>
      </c>
      <c r="D42">
        <f>IF(RNAseP!C42="", "", RNAseP!C42)</f>
        <v>34.499066705948003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23.592799679015201</v>
      </c>
      <c r="C43">
        <f>IF('18S2'!C43="", "", '18S2'!C43)</f>
        <v>20.3236191701202</v>
      </c>
      <c r="D43">
        <f>IF(RNAseP!C43="", "", RNAseP!C43)</f>
        <v>33.905743518818802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23.040338169048098</v>
      </c>
      <c r="C44">
        <f>IF('18S2'!C44="", "", '18S2'!C44)</f>
        <v>20.215291783848102</v>
      </c>
      <c r="D44">
        <f>IF(RNAseP!C44="", "", RNAseP!C44)</f>
        <v>35.514508890727697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23.080233269717699</v>
      </c>
      <c r="C45">
        <f>IF('18S2'!C45="", "", '18S2'!C45)</f>
        <v>20.195796901197699</v>
      </c>
      <c r="D45">
        <f>IF(RNAseP!C45="", "", RNAseP!C45)</f>
        <v>33.804883363972699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37.768721046202401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0</v>
      </c>
      <c r="H46" s="3" t="str" cm="1">
        <f t="array" ref="H46">INDEX(DecisionC!$E$1:$E$56, MATCH(A46&amp;E46&amp;F46&amp;G46, DecisionC!$A$1:$A$56&amp;DecisionC!$B$1:$B$56&amp;DecisionC!$C$1:$C$56&amp;DecisionC!$D$1:$D$56, 0))</f>
        <v>F</v>
      </c>
      <c r="I46" s="3" t="str" cm="1">
        <f t="array" ref="I46">INDEX(DecisionC!$F$1:$F$56, MATCH(A46&amp;E46&amp;F46&amp;G46, DecisionC!$A$1:$A$56&amp;DecisionC!$B$1:$B$56&amp;DecisionC!$C$1:$C$56&amp;DecisionC!$D$1:$D$56, 0))</f>
        <v>RNAseP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36.849340386322602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0</v>
      </c>
      <c r="H48" s="3" t="str" cm="1">
        <f t="array" ref="H48">INDEX(DecisionC!$E$1:$E$56, MATCH(A48&amp;E48&amp;F48&amp;G48, DecisionC!$A$1:$A$56&amp;DecisionC!$B$1:$B$56&amp;DecisionC!$C$1:$C$56&amp;DecisionC!$D$1:$D$56, 0))</f>
        <v>F</v>
      </c>
      <c r="I48" s="3" t="str" cm="1">
        <f t="array" ref="I48">INDEX(DecisionC!$F$1:$F$56, MATCH(A48&amp;E48&amp;F48&amp;G48, DecisionC!$A$1:$A$56&amp;DecisionC!$B$1:$B$56&amp;DecisionC!$C$1:$C$56&amp;DecisionC!$D$1:$D$56, 0))</f>
        <v>RNAseP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C5" sqref="C5:G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45938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1">
        <v>66262118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50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51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52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226</v>
      </c>
      <c r="B16" s="11">
        <v>2500016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22,3 +/- 0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227</v>
      </c>
      <c r="B17" s="11">
        <v>2500011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25 +/- 0,1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228</v>
      </c>
      <c r="B18" s="11">
        <v>2501992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26,7 +/- 6,5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229</v>
      </c>
      <c r="B19" s="11">
        <v>2501980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24,1 +/- 0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230</v>
      </c>
      <c r="B20" s="11">
        <v>2501143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21,3 +/- 0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231</v>
      </c>
      <c r="B21" s="11">
        <v>2501356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22,2 +/- 0,1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232</v>
      </c>
      <c r="B22" s="11">
        <v>2501350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21,5 +/- 0,1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233</v>
      </c>
      <c r="B23" s="11">
        <v>2501909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26,4 +/- 0,1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234</v>
      </c>
      <c r="B24" s="11">
        <v>2400945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22,1 +/- 0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235</v>
      </c>
      <c r="B25" s="11">
        <v>2500066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24,6 +/- 0,1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23,3 +/- 0,3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20,2 +/- 0,1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34,4 +/- 0,8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I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37,3 +/- 0,7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25" t="s">
        <v>58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24" t="s">
        <v>61</v>
      </c>
      <c r="D30" s="24"/>
      <c r="E30" s="20"/>
    </row>
    <row r="31" spans="1:12">
      <c r="A31" s="18" t="s">
        <v>20</v>
      </c>
      <c r="B31" s="18" t="s">
        <v>21</v>
      </c>
      <c r="C31" s="24" t="s">
        <v>62</v>
      </c>
      <c r="D31" s="24"/>
      <c r="E31" s="20"/>
    </row>
    <row r="32" spans="1:12">
      <c r="A32" s="18" t="s">
        <v>22</v>
      </c>
      <c r="B32" s="18" t="s">
        <v>63</v>
      </c>
      <c r="C32" s="24" t="s">
        <v>64</v>
      </c>
      <c r="D32" s="24"/>
      <c r="E32" s="20"/>
    </row>
    <row r="33" spans="1:5">
      <c r="A33" s="18" t="s">
        <v>65</v>
      </c>
      <c r="B33" s="18" t="s">
        <v>66</v>
      </c>
      <c r="C33" s="24" t="s">
        <v>67</v>
      </c>
      <c r="D33" s="24"/>
      <c r="E33" s="20"/>
    </row>
    <row r="34" spans="1:5">
      <c r="A34" s="18" t="s">
        <v>17</v>
      </c>
      <c r="B34" s="18" t="s">
        <v>68</v>
      </c>
      <c r="C34" s="24" t="s">
        <v>69</v>
      </c>
      <c r="D34" s="24"/>
      <c r="E34" s="20"/>
    </row>
    <row r="35" spans="1:5">
      <c r="A35" s="18" t="s">
        <v>70</v>
      </c>
      <c r="B35" s="18" t="s">
        <v>71</v>
      </c>
      <c r="C35" s="24" t="s">
        <v>72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226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22,3 +/- 0</v>
      </c>
    </row>
    <row r="3" spans="1:11">
      <c r="A3" s="3">
        <f>Report!A17</f>
        <v>227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25 +/- 0,1</v>
      </c>
    </row>
    <row r="4" spans="1:11">
      <c r="A4" s="3">
        <f>Report!A18</f>
        <v>228</v>
      </c>
      <c r="B4" s="3" t="str" cm="1">
        <f t="array" ref="B4">_xlfn.TEXTJOIN(", ", TRUE, IF(Analysis!$A$2:$A$82=A4, Analysis!$H$2:$H$82, ""))</f>
        <v>N, N, F, N</v>
      </c>
      <c r="C4" s="3" t="str" cm="1">
        <f t="array" ref="C4">_xlfn.TEXTJOIN(", ", TRUE, IF(Analysis!$A$2:$A$82=A4, Analysis!$I$2:$I$82, ""))</f>
        <v>negative, negative, low human DNA,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26,7 +/- 6,5</v>
      </c>
    </row>
    <row r="5" spans="1:11">
      <c r="A5" s="3">
        <f>Report!A19</f>
        <v>229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24,1 +/- 0</v>
      </c>
    </row>
    <row r="6" spans="1:11">
      <c r="A6" s="3">
        <f>Report!A20</f>
        <v>230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21,3 +/- 0</v>
      </c>
    </row>
    <row r="7" spans="1:11">
      <c r="A7" s="3">
        <f>Report!A21</f>
        <v>231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22,2 +/- 0,1</v>
      </c>
      <c r="K7" s="4"/>
    </row>
    <row r="8" spans="1:11">
      <c r="A8" s="3">
        <f>Report!A22</f>
        <v>232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21,5 +/- 0,1</v>
      </c>
    </row>
    <row r="9" spans="1:11">
      <c r="A9" s="3">
        <f>Report!A23</f>
        <v>233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26,4 +/- 0,1</v>
      </c>
    </row>
    <row r="10" spans="1:11">
      <c r="A10" s="3">
        <f>Report!A24</f>
        <v>234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22,1 +/- 0</v>
      </c>
    </row>
    <row r="11" spans="1:11">
      <c r="A11" s="3">
        <f>Report!A25</f>
        <v>235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24,6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23,3 +/- 0,3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20,2 +/- 0,1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34,4 +/- 0,8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F, OK, F, OK</v>
      </c>
      <c r="C13" s="3" t="str" cm="1">
        <f t="array" ref="C13">_xlfn.TEXTJOIN(", ", TRUE, IF(Analysis!$A$2:$A$82=A13, Analysis!$I$2:$I$82, ""))</f>
        <v>RNAseP, clean, RNAseP,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Tie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37,3 +/- 0,7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2025-10-10T09:39:47+00:00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55CDB5-E153-4009-9DAB-F865663F9DD4}"/>
</file>

<file path=customXml/itemProps2.xml><?xml version="1.0" encoding="utf-8"?>
<ds:datastoreItem xmlns:ds="http://schemas.openxmlformats.org/officeDocument/2006/customXml" ds:itemID="{32A1B21D-37DF-46C0-A33B-8343C0F1FBE9}"/>
</file>

<file path=customXml/itemProps3.xml><?xml version="1.0" encoding="utf-8"?>
<ds:datastoreItem xmlns:ds="http://schemas.openxmlformats.org/officeDocument/2006/customXml" ds:itemID="{FDF2752A-9AF9-47BA-8304-2BA951E1A1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2025-10-10T10:23:40Z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