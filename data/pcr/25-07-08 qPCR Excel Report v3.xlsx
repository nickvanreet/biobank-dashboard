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4D9F8730-5F14-463E-929A-56C729B5F030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84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<sst xmlns="http://schemas.openxmlformats.org/spreadsheetml/2006/main" count="418" uniqueCount="75">
  <si>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</si>
  <si>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</si>
  <si>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</si>
  <si>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</si>
  <si>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</si>
  <si>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</si>
  <si>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</si>
  <si>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</si>
  <si>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</si>
  <si>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</si>
  <si>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</si>
  <si>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</si>
  <si>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</si>
  <si>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</si>
  <si>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</si>
  <si>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</si>
  <si>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</si>
  <si>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</si>
  <si>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</si>
  <si>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</si>
  <si>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</si>
  <si>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</si>
  <si>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</si>
  <si>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</si>
  <si>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</si>
  <si>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</si>
  <si>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</si>
  <si>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</si>
  <si>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</si>
  <si>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</si>
  <si>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</si>
  <si>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</si>
  <si>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</si>
  <si>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</si>
  <si>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</si>
  <si>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</si>
  <si>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</si>
  <si>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</si>
  <si>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</si>
  <si>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</si>
  <si>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</si>
  <si>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</si>
  <si>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</si>
  <si>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</si>
  <si>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</si>
  <si>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2025-07-08 12.30.21 Run.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</si>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</sst>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81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81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81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81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82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82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82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82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83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83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83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83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84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84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84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84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85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85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85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85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86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86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86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86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87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87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87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87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88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88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88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88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89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89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89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89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90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90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90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90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24.183245274872402</v>
      </c>
      <c r="D42" s="8">
        <v>0.96735157993162801</v>
      </c>
      <c r="E42" s="8">
        <v>0.99858999999999998</v>
      </c>
      <c r="F42" s="8"/>
    </row>
    <row r="43" spans="1:6">
      <c r="A43" s="8">
        <v>42</v>
      </c>
      <c r="B43" s="8" t="s">
        <v>7</v>
      </c>
      <c r="C43" s="8">
        <v>24.2455216972049</v>
      </c>
      <c r="D43" s="8">
        <v>0.88797386752766505</v>
      </c>
      <c r="E43" s="8">
        <v>0.99982000000000004</v>
      </c>
      <c r="F43" s="8"/>
    </row>
    <row r="44" spans="1:6">
      <c r="A44" s="8">
        <v>43</v>
      </c>
      <c r="B44" s="8" t="s">
        <v>7</v>
      </c>
      <c r="C44" s="8">
        <v>24.043892166751199</v>
      </c>
      <c r="D44" s="8">
        <v>0.85184689977317496</v>
      </c>
      <c r="E44" s="8">
        <v>0.99997000000000003</v>
      </c>
      <c r="F44" s="8"/>
    </row>
    <row r="45" spans="1:6">
      <c r="A45" s="8">
        <v>44</v>
      </c>
      <c r="B45" s="8" t="s">
        <v>7</v>
      </c>
      <c r="C45" s="8">
        <v>24.469359300311599</v>
      </c>
      <c r="D45" s="8">
        <v>0.83240112335398897</v>
      </c>
      <c r="E45" s="8">
        <v>0.99985999999999997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topLeftCell="A13"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81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81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81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81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82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82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82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82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83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83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83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83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84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84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84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84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85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85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85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85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86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86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86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86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87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87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87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87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88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88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88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88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89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89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89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89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90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90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90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90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21.620580071415901</v>
      </c>
      <c r="D42" s="9">
        <v>0.84648907039073296</v>
      </c>
      <c r="E42" s="9">
        <v>0.99836999999999998</v>
      </c>
      <c r="F42" s="9"/>
    </row>
    <row r="43" spans="1:6">
      <c r="A43" s="9">
        <v>42</v>
      </c>
      <c r="B43" s="9" t="s">
        <v>7</v>
      </c>
      <c r="C43" s="9">
        <v>22.090021114077299</v>
      </c>
      <c r="D43" s="9">
        <v>0.82453611031672802</v>
      </c>
      <c r="E43" s="9">
        <v>0.99804000000000004</v>
      </c>
      <c r="F43" s="9"/>
    </row>
    <row r="44" spans="1:6">
      <c r="A44" s="9">
        <v>43</v>
      </c>
      <c r="B44" s="9" t="s">
        <v>7</v>
      </c>
      <c r="C44" s="9">
        <v>21.771697952397599</v>
      </c>
      <c r="D44" s="9">
        <v>0.83914359309895004</v>
      </c>
      <c r="E44" s="9">
        <v>0.99848999999999999</v>
      </c>
      <c r="F44" s="9"/>
    </row>
    <row r="45" spans="1:6">
      <c r="A45" s="9">
        <v>44</v>
      </c>
      <c r="B45" s="9" t="s">
        <v>7</v>
      </c>
      <c r="C45" s="9">
        <v>21.602121942040402</v>
      </c>
      <c r="D45" s="9">
        <v>0.84330380894844004</v>
      </c>
      <c r="E45" s="9">
        <v>0.99846999999999997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81</v>
      </c>
      <c r="C2" s="10">
        <v>21.551227719463402</v>
      </c>
      <c r="D2" s="10">
        <v>0.96673390085547095</v>
      </c>
      <c r="E2" s="10">
        <v>0.99968000000000001</v>
      </c>
      <c r="F2" s="10"/>
    </row>
    <row r="3" spans="1:6">
      <c r="A3" s="10">
        <v>2</v>
      </c>
      <c r="B3" s="10">
        <v>81</v>
      </c>
      <c r="C3" s="10">
        <v>21.5998334509542</v>
      </c>
      <c r="D3" s="10">
        <v>0.96166434040817605</v>
      </c>
      <c r="E3" s="10">
        <v>0.99963000000000002</v>
      </c>
      <c r="F3" s="10"/>
    </row>
    <row r="4" spans="1:6">
      <c r="A4" s="10">
        <v>3</v>
      </c>
      <c r="B4" s="10">
        <v>81</v>
      </c>
      <c r="C4" s="10">
        <v>21.656013197128999</v>
      </c>
      <c r="D4" s="10">
        <v>0.97615012990375905</v>
      </c>
      <c r="E4" s="10">
        <v>0.99939</v>
      </c>
      <c r="F4" s="10"/>
    </row>
    <row r="5" spans="1:6">
      <c r="A5" s="10">
        <v>4</v>
      </c>
      <c r="B5" s="10">
        <v>81</v>
      </c>
      <c r="C5" s="10">
        <v>21.6429873901753</v>
      </c>
      <c r="D5" s="10">
        <v>0.99771456741644504</v>
      </c>
      <c r="E5" s="10">
        <v>0.99924999999999997</v>
      </c>
      <c r="F5" s="10"/>
    </row>
    <row r="6" spans="1:6">
      <c r="A6" s="10">
        <v>5</v>
      </c>
      <c r="B6" s="10">
        <v>82</v>
      </c>
      <c r="C6" s="10">
        <v>19.6585385740674</v>
      </c>
      <c r="D6" s="10">
        <v>1.0418885436947101</v>
      </c>
      <c r="E6" s="10">
        <v>0.99892000000000003</v>
      </c>
      <c r="F6" s="10"/>
    </row>
    <row r="7" spans="1:6">
      <c r="A7" s="10">
        <v>6</v>
      </c>
      <c r="B7" s="10">
        <v>82</v>
      </c>
      <c r="C7" s="10">
        <v>19.397016136299701</v>
      </c>
      <c r="D7" s="10">
        <v>1.0139642515853799</v>
      </c>
      <c r="E7" s="10">
        <v>0.99950000000000006</v>
      </c>
      <c r="F7" s="10"/>
    </row>
    <row r="8" spans="1:6">
      <c r="A8" s="10">
        <v>7</v>
      </c>
      <c r="B8" s="10">
        <v>82</v>
      </c>
      <c r="C8" s="10">
        <v>19.383016712119499</v>
      </c>
      <c r="D8" s="10">
        <v>0.98168444438960401</v>
      </c>
      <c r="E8" s="10">
        <v>0.99955000000000005</v>
      </c>
      <c r="F8" s="10"/>
    </row>
    <row r="9" spans="1:6">
      <c r="A9" s="10">
        <v>8</v>
      </c>
      <c r="B9" s="10">
        <v>82</v>
      </c>
      <c r="C9" s="10">
        <v>19.358213015580201</v>
      </c>
      <c r="D9" s="10">
        <v>1.0242702142024001</v>
      </c>
      <c r="E9" s="10">
        <v>0.99946000000000002</v>
      </c>
      <c r="F9" s="10"/>
    </row>
    <row r="10" spans="1:6">
      <c r="A10" s="10">
        <v>9</v>
      </c>
      <c r="B10" s="10">
        <v>83</v>
      </c>
      <c r="C10" s="10">
        <v>21.265206031053498</v>
      </c>
      <c r="D10" s="10">
        <v>1.02210599904231</v>
      </c>
      <c r="E10" s="10">
        <v>0.99917</v>
      </c>
      <c r="F10" s="10"/>
    </row>
    <row r="11" spans="1:6">
      <c r="A11" s="10">
        <v>10</v>
      </c>
      <c r="B11" s="10">
        <v>83</v>
      </c>
      <c r="C11" s="10">
        <v>21.290803217385601</v>
      </c>
      <c r="D11" s="10">
        <v>0.99223884775608595</v>
      </c>
      <c r="E11" s="10">
        <v>0.99938000000000005</v>
      </c>
      <c r="F11" s="10"/>
    </row>
    <row r="12" spans="1:6">
      <c r="A12" s="10">
        <v>11</v>
      </c>
      <c r="B12" s="10">
        <v>83</v>
      </c>
      <c r="C12" s="10">
        <v>21.303652774643499</v>
      </c>
      <c r="D12" s="10">
        <v>1.0051791984811</v>
      </c>
      <c r="E12" s="10">
        <v>0.99929000000000001</v>
      </c>
      <c r="F12" s="10"/>
    </row>
    <row r="13" spans="1:6">
      <c r="A13" s="10">
        <v>12</v>
      </c>
      <c r="B13" s="10">
        <v>83</v>
      </c>
      <c r="C13" s="10">
        <v>21.200590555621201</v>
      </c>
      <c r="D13" s="10">
        <v>1.0104187169494501</v>
      </c>
      <c r="E13" s="10">
        <v>0.99921000000000004</v>
      </c>
      <c r="F13" s="10"/>
    </row>
    <row r="14" spans="1:6">
      <c r="A14" s="10">
        <v>13</v>
      </c>
      <c r="B14" s="10">
        <v>84</v>
      </c>
      <c r="C14" s="10">
        <v>20.804270261129801</v>
      </c>
      <c r="D14" s="10">
        <v>1.0788798265067201</v>
      </c>
      <c r="E14" s="10">
        <v>0.99843999999999999</v>
      </c>
      <c r="F14" s="10"/>
    </row>
    <row r="15" spans="1:6">
      <c r="A15" s="10">
        <v>14</v>
      </c>
      <c r="B15" s="10">
        <v>84</v>
      </c>
      <c r="C15" s="10">
        <v>21.103989986552801</v>
      </c>
      <c r="D15" s="10">
        <v>1.0550659657142401</v>
      </c>
      <c r="E15" s="10">
        <v>0.99858999999999998</v>
      </c>
      <c r="F15" s="10"/>
    </row>
    <row r="16" spans="1:6">
      <c r="A16" s="10">
        <v>15</v>
      </c>
      <c r="B16" s="10">
        <v>84</v>
      </c>
      <c r="C16" s="10">
        <v>20.738839418283298</v>
      </c>
      <c r="D16" s="10">
        <v>1.0708977516351099</v>
      </c>
      <c r="E16" s="10">
        <v>0.99843999999999999</v>
      </c>
      <c r="F16" s="10"/>
    </row>
    <row r="17" spans="1:6">
      <c r="A17" s="10">
        <v>16</v>
      </c>
      <c r="B17" s="10">
        <v>84</v>
      </c>
      <c r="C17" s="10">
        <v>20.656319633622601</v>
      </c>
      <c r="D17" s="10">
        <v>0.96266062835519794</v>
      </c>
      <c r="E17" s="10">
        <v>0.99956999999999996</v>
      </c>
      <c r="F17" s="10"/>
    </row>
    <row r="18" spans="1:6">
      <c r="A18" s="10">
        <v>17</v>
      </c>
      <c r="B18" s="10">
        <v>85</v>
      </c>
      <c r="C18" s="10">
        <v>23.303373614524499</v>
      </c>
      <c r="D18" s="10">
        <v>0.97231175646271395</v>
      </c>
      <c r="E18" s="10">
        <v>0.99955000000000005</v>
      </c>
      <c r="F18" s="10"/>
    </row>
    <row r="19" spans="1:6">
      <c r="A19" s="10">
        <v>18</v>
      </c>
      <c r="B19" s="10">
        <v>85</v>
      </c>
      <c r="C19" s="10">
        <v>23.717927743708401</v>
      </c>
      <c r="D19" s="10">
        <v>0.98772084340044497</v>
      </c>
      <c r="E19" s="10">
        <v>0.99929000000000001</v>
      </c>
      <c r="F19" s="10"/>
    </row>
    <row r="20" spans="1:6">
      <c r="A20" s="10">
        <v>19</v>
      </c>
      <c r="B20" s="10">
        <v>85</v>
      </c>
      <c r="C20" s="10">
        <v>23.515243077795699</v>
      </c>
      <c r="D20" s="10">
        <v>0.96129382024516397</v>
      </c>
      <c r="E20" s="10">
        <v>0.99970000000000003</v>
      </c>
      <c r="F20" s="10"/>
    </row>
    <row r="21" spans="1:6">
      <c r="A21" s="10">
        <v>20</v>
      </c>
      <c r="B21" s="10">
        <v>85</v>
      </c>
      <c r="C21" s="10">
        <v>23.5237429264422</v>
      </c>
      <c r="D21" s="10">
        <v>0.94924089309838899</v>
      </c>
      <c r="E21" s="10">
        <v>0.99970999999999999</v>
      </c>
      <c r="F21" s="10"/>
    </row>
    <row r="22" spans="1:6">
      <c r="A22" s="10">
        <v>21</v>
      </c>
      <c r="B22" s="10">
        <v>86</v>
      </c>
      <c r="C22" s="10">
        <v>24.123888298137299</v>
      </c>
      <c r="D22" s="10">
        <v>0.97116848685092005</v>
      </c>
      <c r="E22" s="10">
        <v>0.99919000000000002</v>
      </c>
      <c r="F22" s="10"/>
    </row>
    <row r="23" spans="1:6">
      <c r="A23" s="10">
        <v>22</v>
      </c>
      <c r="B23" s="10">
        <v>86</v>
      </c>
      <c r="C23" s="10">
        <v>24.073710089352399</v>
      </c>
      <c r="D23" s="10">
        <v>0.97945905025646995</v>
      </c>
      <c r="E23" s="10">
        <v>0.99907000000000001</v>
      </c>
      <c r="F23" s="10"/>
    </row>
    <row r="24" spans="1:6">
      <c r="A24" s="10">
        <v>23</v>
      </c>
      <c r="B24" s="10">
        <v>86</v>
      </c>
      <c r="C24" s="10">
        <v>23.969458657159201</v>
      </c>
      <c r="D24" s="10">
        <v>0.97398111165092205</v>
      </c>
      <c r="E24" s="10">
        <v>0.99912000000000001</v>
      </c>
      <c r="F24" s="10"/>
    </row>
    <row r="25" spans="1:6">
      <c r="A25" s="10">
        <v>24</v>
      </c>
      <c r="B25" s="10">
        <v>86</v>
      </c>
      <c r="C25" s="10">
        <v>23.941172306837299</v>
      </c>
      <c r="D25" s="10">
        <v>0.98740300576378504</v>
      </c>
      <c r="E25" s="10">
        <v>0.99900999999999995</v>
      </c>
      <c r="F25" s="10"/>
    </row>
    <row r="26" spans="1:6">
      <c r="A26" s="10">
        <v>25</v>
      </c>
      <c r="B26" s="10">
        <v>87</v>
      </c>
      <c r="C26" s="10">
        <v>22.2350440963687</v>
      </c>
      <c r="D26" s="10">
        <v>1.0239590492176101</v>
      </c>
      <c r="E26" s="10">
        <v>0.99885999999999997</v>
      </c>
      <c r="F26" s="10"/>
    </row>
    <row r="27" spans="1:6">
      <c r="A27" s="10">
        <v>26</v>
      </c>
      <c r="B27" s="10">
        <v>87</v>
      </c>
      <c r="C27" s="10">
        <v>22.266301367148799</v>
      </c>
      <c r="D27" s="10">
        <v>0.99035378644199201</v>
      </c>
      <c r="E27" s="10">
        <v>0.99909999999999999</v>
      </c>
      <c r="F27" s="10"/>
    </row>
    <row r="28" spans="1:6">
      <c r="A28" s="10">
        <v>27</v>
      </c>
      <c r="B28" s="10">
        <v>87</v>
      </c>
      <c r="C28" s="10">
        <v>22.1973219446411</v>
      </c>
      <c r="D28" s="10">
        <v>1.0104102907524299</v>
      </c>
      <c r="E28" s="10">
        <v>0.99909999999999999</v>
      </c>
      <c r="F28" s="10"/>
    </row>
    <row r="29" spans="1:6">
      <c r="A29" s="10">
        <v>28</v>
      </c>
      <c r="B29" s="10">
        <v>87</v>
      </c>
      <c r="C29" s="10">
        <v>22.200763289302699</v>
      </c>
      <c r="D29" s="10">
        <v>0.99631934243485398</v>
      </c>
      <c r="E29" s="10">
        <v>0.99916000000000005</v>
      </c>
      <c r="F29" s="10"/>
    </row>
    <row r="30" spans="1:6">
      <c r="A30" s="10">
        <v>29</v>
      </c>
      <c r="B30" s="10">
        <v>88</v>
      </c>
      <c r="C30" s="10">
        <v>22.548128098562</v>
      </c>
      <c r="D30" s="10">
        <v>1.1137277774173699</v>
      </c>
      <c r="E30" s="10">
        <v>0.99851000000000001</v>
      </c>
      <c r="F30" s="10"/>
    </row>
    <row r="31" spans="1:6">
      <c r="A31" s="10">
        <v>30</v>
      </c>
      <c r="B31" s="10">
        <v>88</v>
      </c>
      <c r="C31" s="10">
        <v>21.899328505873001</v>
      </c>
      <c r="D31" s="10">
        <v>1.03504295874543</v>
      </c>
      <c r="E31" s="10">
        <v>0.99866999999999995</v>
      </c>
      <c r="F31" s="10"/>
    </row>
    <row r="32" spans="1:6">
      <c r="A32" s="10">
        <v>31</v>
      </c>
      <c r="B32" s="10">
        <v>88</v>
      </c>
      <c r="C32" s="10">
        <v>21.8218866840554</v>
      </c>
      <c r="D32" s="10">
        <v>1.0321148768889901</v>
      </c>
      <c r="E32" s="10">
        <v>0.99868000000000001</v>
      </c>
      <c r="F32" s="10"/>
    </row>
    <row r="33" spans="1:6">
      <c r="A33" s="10">
        <v>32</v>
      </c>
      <c r="B33" s="10">
        <v>88</v>
      </c>
      <c r="C33" s="10">
        <v>21.689272561957399</v>
      </c>
      <c r="D33" s="10">
        <v>1.03388082587483</v>
      </c>
      <c r="E33" s="10">
        <v>0.99895</v>
      </c>
      <c r="F33" s="10"/>
    </row>
    <row r="34" spans="1:6">
      <c r="A34" s="10">
        <v>33</v>
      </c>
      <c r="B34" s="10">
        <v>89</v>
      </c>
      <c r="C34" s="10">
        <v>22.0527414413041</v>
      </c>
      <c r="D34" s="10">
        <v>1.0252487589500501</v>
      </c>
      <c r="E34" s="10">
        <v>0.99877000000000005</v>
      </c>
      <c r="F34" s="10"/>
    </row>
    <row r="35" spans="1:6">
      <c r="A35" s="10">
        <v>34</v>
      </c>
      <c r="B35" s="10">
        <v>89</v>
      </c>
      <c r="C35" s="10">
        <v>22.0338508802913</v>
      </c>
      <c r="D35" s="10">
        <v>1.01212701784686</v>
      </c>
      <c r="E35" s="10">
        <v>0.99887999999999999</v>
      </c>
      <c r="F35" s="10"/>
    </row>
    <row r="36" spans="1:6">
      <c r="A36" s="10">
        <v>35</v>
      </c>
      <c r="B36" s="10">
        <v>89</v>
      </c>
      <c r="C36" s="10">
        <v>22.038439121667601</v>
      </c>
      <c r="D36" s="10">
        <v>0.98683251294320695</v>
      </c>
      <c r="E36" s="10">
        <v>0.99916000000000005</v>
      </c>
      <c r="F36" s="10"/>
    </row>
    <row r="37" spans="1:6">
      <c r="A37" s="10">
        <v>36</v>
      </c>
      <c r="B37" s="10">
        <v>89</v>
      </c>
      <c r="C37" s="10">
        <v>21.845915019946499</v>
      </c>
      <c r="D37" s="10">
        <v>1.0140391779236699</v>
      </c>
      <c r="E37" s="10">
        <v>0.99907999999999997</v>
      </c>
      <c r="F37" s="10"/>
    </row>
    <row r="38" spans="1:6">
      <c r="A38" s="10">
        <v>37</v>
      </c>
      <c r="B38" s="10">
        <v>90</v>
      </c>
      <c r="C38" s="10">
        <v>22.063735231884198</v>
      </c>
      <c r="D38" s="10">
        <v>1.0634347427998601</v>
      </c>
      <c r="E38" s="10">
        <v>0.99841999999999997</v>
      </c>
      <c r="F38" s="10"/>
    </row>
    <row r="39" spans="1:6">
      <c r="A39" s="10">
        <v>38</v>
      </c>
      <c r="B39" s="10">
        <v>90</v>
      </c>
      <c r="C39" s="10">
        <v>22.091931567150599</v>
      </c>
      <c r="D39" s="10">
        <v>1.0079667287026299</v>
      </c>
      <c r="E39" s="10">
        <v>0.99897999999999998</v>
      </c>
      <c r="F39" s="10"/>
    </row>
    <row r="40" spans="1:6">
      <c r="A40" s="10">
        <v>39</v>
      </c>
      <c r="B40" s="10">
        <v>90</v>
      </c>
      <c r="C40" s="10">
        <v>22.051078360319501</v>
      </c>
      <c r="D40" s="10">
        <v>0.99601409072366698</v>
      </c>
      <c r="E40" s="10">
        <v>0.99904999999999999</v>
      </c>
      <c r="F40" s="10"/>
    </row>
    <row r="41" spans="1:6">
      <c r="A41" s="10">
        <v>40</v>
      </c>
      <c r="B41" s="10">
        <v>90</v>
      </c>
      <c r="C41" s="10">
        <v>22.032001382311101</v>
      </c>
      <c r="D41" s="10">
        <v>1.0119141224844399</v>
      </c>
      <c r="E41" s="10">
        <v>0.99902000000000002</v>
      </c>
      <c r="F41" s="10"/>
    </row>
    <row r="42" spans="1:6">
      <c r="A42" s="10">
        <v>41</v>
      </c>
      <c r="B42" s="10" t="s">
        <v>7</v>
      </c>
      <c r="C42" s="10">
        <v>33.962961906886697</v>
      </c>
      <c r="D42" s="10">
        <v>0.684399533319763</v>
      </c>
      <c r="E42" s="10">
        <v>0.99865999999999999</v>
      </c>
      <c r="F42" s="10"/>
    </row>
    <row r="43" spans="1:6">
      <c r="A43" s="10">
        <v>42</v>
      </c>
      <c r="B43" s="10" t="s">
        <v>7</v>
      </c>
      <c r="C43" s="10">
        <v>35.151176738584802</v>
      </c>
      <c r="D43" s="10">
        <v>0.58112149338974795</v>
      </c>
      <c r="E43" s="10">
        <v>0.99848000000000003</v>
      </c>
      <c r="F43" s="10"/>
    </row>
    <row r="44" spans="1:6">
      <c r="A44" s="10">
        <v>43</v>
      </c>
      <c r="B44" s="10" t="s">
        <v>7</v>
      </c>
      <c r="C44" s="10">
        <v>34.254072369755299</v>
      </c>
      <c r="D44" s="10">
        <v>0.62779339077249796</v>
      </c>
      <c r="E44" s="10">
        <v>0.99904000000000004</v>
      </c>
      <c r="F44" s="10"/>
    </row>
    <row r="45" spans="1:6">
      <c r="A45" s="10">
        <v>44</v>
      </c>
      <c r="B45" s="10" t="s">
        <v>7</v>
      </c>
      <c r="C45" s="10">
        <v>34.326521806628698</v>
      </c>
      <c r="D45" s="10">
        <v>0.63590542903166603</v>
      </c>
      <c r="E45" s="10">
        <v>0.99878999999999996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37.209745391778299</v>
      </c>
      <c r="D47" s="10">
        <v>0.39868487968215</v>
      </c>
      <c r="E47" s="10">
        <v>0.95850000000000002</v>
      </c>
      <c r="F47" s="10"/>
    </row>
    <row r="48" spans="1:6">
      <c r="A48" s="10">
        <v>47</v>
      </c>
      <c r="B48" s="10" t="s">
        <v>8</v>
      </c>
      <c r="C48" s="10">
        <v>37.056375908926</v>
      </c>
      <c r="D48" s="10">
        <v>0.48874668719085501</v>
      </c>
      <c r="E48" s="10">
        <v>0.97419</v>
      </c>
      <c r="F48" s="10"/>
    </row>
    <row r="49" spans="1:6">
      <c r="A49" s="10">
        <v>48</v>
      </c>
      <c r="B49" s="10" t="s">
        <v>8</v>
      </c>
      <c r="C49" s="10">
        <v>36.6978470647203</v>
      </c>
      <c r="D49" s="10">
        <v>0.41797347632371301</v>
      </c>
      <c r="E49" s="10">
        <v>0.95803000000000005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81</v>
      </c>
      <c r="B2">
        <f>IF('177T'!C2="", "", '177T'!C2)</f>
        <v>-1</v>
      </c>
      <c r="C2">
        <f>IF('18S2'!C2="", "", '18S2'!C2)</f>
        <v>-1</v>
      </c>
      <c r="D2">
        <f>IF(RNAseP!C2="", "", RNAseP!C2)</f>
        <v>21.551227719463402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81</v>
      </c>
      <c r="B3">
        <f>IF('177T'!C3="", "", '177T'!C3)</f>
        <v>-1</v>
      </c>
      <c r="C3">
        <f>IF('18S2'!C3="", "", '18S2'!C3)</f>
        <v>-1</v>
      </c>
      <c r="D3">
        <f>IF(RNAseP!C3="", "", RNAseP!C3)</f>
        <v>21.5998334509542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81</v>
      </c>
      <c r="B4">
        <f>IF('177T'!C4="", "", '177T'!C4)</f>
        <v>-1</v>
      </c>
      <c r="C4">
        <f>IF('18S2'!C4="", "", '18S2'!C4)</f>
        <v>-1</v>
      </c>
      <c r="D4">
        <f>IF(RNAseP!C4="", "", RNAseP!C4)</f>
        <v>21.656013197128999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81</v>
      </c>
      <c r="B5">
        <f>IF('177T'!C5="", "", '177T'!C5)</f>
        <v>-1</v>
      </c>
      <c r="C5">
        <f>IF('18S2'!C5="", "", '18S2'!C5)</f>
        <v>-1</v>
      </c>
      <c r="D5">
        <f>IF(RNAseP!C5="", "", RNAseP!C5)</f>
        <v>21.6429873901753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82</v>
      </c>
      <c r="B6">
        <f>IF('177T'!C6="", "", '177T'!C6)</f>
        <v>-1</v>
      </c>
      <c r="C6">
        <f>IF('18S2'!C6="", "", '18S2'!C6)</f>
        <v>-1</v>
      </c>
      <c r="D6">
        <f>IF(RNAseP!C6="", "", RNAseP!C6)</f>
        <v>19.6585385740674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82</v>
      </c>
      <c r="B7">
        <f>IF('177T'!C7="", "", '177T'!C7)</f>
        <v>-1</v>
      </c>
      <c r="C7">
        <f>IF('18S2'!C7="", "", '18S2'!C7)</f>
        <v>-1</v>
      </c>
      <c r="D7">
        <f>IF(RNAseP!C7="", "", RNAseP!C7)</f>
        <v>19.397016136299701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82</v>
      </c>
      <c r="B8">
        <f>IF('177T'!C8="", "", '177T'!C8)</f>
        <v>-1</v>
      </c>
      <c r="C8">
        <f>IF('18S2'!C8="", "", '18S2'!C8)</f>
        <v>-1</v>
      </c>
      <c r="D8">
        <f>IF(RNAseP!C8="", "", RNAseP!C8)</f>
        <v>19.383016712119499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82</v>
      </c>
      <c r="B9">
        <f>IF('177T'!C9="", "", '177T'!C9)</f>
        <v>-1</v>
      </c>
      <c r="C9">
        <f>IF('18S2'!C9="", "", '18S2'!C9)</f>
        <v>-1</v>
      </c>
      <c r="D9">
        <f>IF(RNAseP!C9="", "", RNAseP!C9)</f>
        <v>19.358213015580201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83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21.265206031053498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83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21.290803217385601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83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21.303652774643499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83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21.200590555621201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84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20.804270261129801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84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21.103989986552801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84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20.738839418283298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84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20.656319633622601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85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23.303373614524499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85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23.717927743708401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85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23.515243077795699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85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23.5237429264422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86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24.123888298137299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86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24.073710089352399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86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23.969458657159201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86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23.941172306837299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87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22.2350440963687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87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22.266301367148799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87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22.1973219446411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87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22.200763289302699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88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22.548128098562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88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21.899328505873001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88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21.8218866840554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88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21.689272561957399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89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22.0527414413041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89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22.0338508802913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89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22.038439121667601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89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21.845915019946499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90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22.063735231884198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90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22.091931567150599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90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22.051078360319501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90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22.032001382311101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24.183245274872402</v>
      </c>
      <c r="C42">
        <f>IF('18S2'!C42="", "", '18S2'!C42)</f>
        <v>21.620580071415901</v>
      </c>
      <c r="D42">
        <f>IF(RNAseP!C42="", "", RNAseP!C42)</f>
        <v>33.962961906886697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24.2455216972049</v>
      </c>
      <c r="C43">
        <f>IF('18S2'!C43="", "", '18S2'!C43)</f>
        <v>22.090021114077299</v>
      </c>
      <c r="D43">
        <f>IF(RNAseP!C43="", "", RNAseP!C43)</f>
        <v>35.151176738584802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24.043892166751199</v>
      </c>
      <c r="C44">
        <f>IF('18S2'!C44="", "", '18S2'!C44)</f>
        <v>21.771697952397599</v>
      </c>
      <c r="D44">
        <f>IF(RNAseP!C44="", "", RNAseP!C44)</f>
        <v>34.254072369755299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24.469359300311599</v>
      </c>
      <c r="C45">
        <f>IF('18S2'!C45="", "", '18S2'!C45)</f>
        <v>21.602121942040402</v>
      </c>
      <c r="D45">
        <f>IF(RNAseP!C45="", "", RNAseP!C45)</f>
        <v>34.326521806628698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37.209745391778299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37.056375908926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36.6978470647203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B25" sqref="B2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45846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81</v>
      </c>
      <c r="B16" s="11">
        <v>2500143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21,6 +/- 0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82</v>
      </c>
      <c r="B17" s="11">
        <v>2500147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19,4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83</v>
      </c>
      <c r="B18" s="11">
        <v>2500114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21,3 +/- 0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84</v>
      </c>
      <c r="B19" s="11">
        <v>2400706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20,8 +/- 0,2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85</v>
      </c>
      <c r="B20" s="11">
        <v>2400833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23,5 +/- 0,2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86</v>
      </c>
      <c r="B21" s="11">
        <v>2400830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87</v>
      </c>
      <c r="B22" s="11">
        <v>2400899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22,2 +/- 0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88</v>
      </c>
      <c r="B23" s="11">
        <v>2402768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 +/- 0,4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89</v>
      </c>
      <c r="B24" s="11">
        <v>2402775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 +/- 0,1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90</v>
      </c>
      <c r="B25" s="11">
        <v>2402766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24,2 +/- 0,2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21,8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34,4 +/- 0,5</v>
      </c>
      <c r="G26" s="18">
        <v>8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F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 +/- 0,3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81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21,6 +/- 0</v>
      </c>
    </row>
    <row r="3" spans="1:11">
      <c r="A3" s="3">
        <f>Report!A17</f>
        <v>82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19,4 +/- 0,1</v>
      </c>
    </row>
    <row r="4" spans="1:11">
      <c r="A4" s="3">
        <f>Report!A18</f>
        <v>83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21,3 +/- 0</v>
      </c>
    </row>
    <row r="5" spans="1:11">
      <c r="A5" s="3">
        <f>Report!A19</f>
        <v>84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20,8 +/- 0,2</v>
      </c>
    </row>
    <row r="6" spans="1:11">
      <c r="A6" s="3">
        <f>Report!A20</f>
        <v>85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23,5 +/- 0,2</v>
      </c>
    </row>
    <row r="7" spans="1:11">
      <c r="A7" s="3">
        <f>Report!A21</f>
        <v>86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 +/- 0,1</v>
      </c>
      <c r="K7" s="4"/>
    </row>
    <row r="8" spans="1:11">
      <c r="A8" s="3">
        <f>Report!A22</f>
        <v>87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22,2 +/- 0</v>
      </c>
    </row>
    <row r="9" spans="1:11">
      <c r="A9" s="3">
        <f>Report!A23</f>
        <v>88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 +/- 0,4</v>
      </c>
    </row>
    <row r="10" spans="1:11">
      <c r="A10" s="3">
        <f>Report!A24</f>
        <v>89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 +/- 0,1</v>
      </c>
    </row>
    <row r="11" spans="1:11">
      <c r="A11" s="3">
        <f>Report!A25</f>
        <v>90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24,2 +/- 0,2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21,8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34,4 +/- 0,5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F, F, F</v>
      </c>
      <c r="C13" s="3" t="str" cm="1">
        <f t="array" ref="C13">_xlfn.TEXTJOIN(", ", TRUE, IF(Analysis!$A$2:$A$82=A13, Analysis!$I$2:$I$82, ""))</f>
        <v>clean, RNAseP, RNAseP,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F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 +/- 0,3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2025-07-11T10:50:30+00:00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4AC27-C9B1-42DA-8C6E-E9C78A5771DC}"/>
</file>

<file path=customXml/itemProps2.xml><?xml version="1.0" encoding="utf-8"?>
<ds:datastoreItem xmlns:ds="http://schemas.openxmlformats.org/officeDocument/2006/customXml" ds:itemID="{B1C2DAC8-8D8F-4F03-971E-A0565FDD92C9}"/>
</file>

<file path=customXml/itemProps3.xml><?xml version="1.0" encoding="utf-8"?>
<ds:datastoreItem xmlns:ds="http://schemas.openxmlformats.org/officeDocument/2006/customXml" ds:itemID="{A7A2F21F-B256-4321-8364-1829A45EFE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2025-07-14T11:06:28Z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