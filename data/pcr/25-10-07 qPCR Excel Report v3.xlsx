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F67D403-A03D-4637-9AC8-7F238A496F9F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40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<sst xmlns="http://schemas.openxmlformats.org/spreadsheetml/2006/main" count="409" uniqueCount="75">
  <si>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</si>
  <si>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</si>
  <si>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</si>
  <si>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</si>
  <si>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</si>
  <si>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</si>
  <si>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</si>
  <si>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</si>
  <si>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</si>
  <si>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</si>
  <si>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</si>
  <si>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</si>
  <si>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</si>
  <si>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</si>
  <si>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</si>
  <si>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</si>
  <si>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</si>
  <si>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</si>
  <si>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</si>
  <si>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</si>
  <si>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</si>
  <si>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</si>
  <si>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</si>
  <si>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</si>
  <si>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</si>
  <si>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</si>
  <si>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</si>
  <si>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</si>
  <si>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</si>
  <si>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</si>
  <si>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</si>
  <si>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</si>
  <si>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</si>
  <si>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</si>
  <si>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</si>
  <si>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</si>
  <si>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</si>
  <si>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</si>
  <si>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</si>
  <si>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</si>
  <si>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</si>
  <si>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</si>
  <si>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</si>
  <si>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LC,DK,HM</t>
  </si>
  <si>
    <t>Qrun file name</t>
  </si>
  <si>
    <t>2025-10-07 09.50.32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</si>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</sst>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196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196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196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196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197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197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197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197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198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198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198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198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199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199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199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199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200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200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200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200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201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201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201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201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202</v>
      </c>
      <c r="C26" s="8">
        <v>29.274932853566899</v>
      </c>
      <c r="D26" s="8">
        <v>0.79900216601338603</v>
      </c>
      <c r="E26" s="8">
        <v>0.99907000000000001</v>
      </c>
      <c r="F26" s="8"/>
    </row>
    <row r="27" spans="1:6">
      <c r="A27" s="8">
        <v>26</v>
      </c>
      <c r="B27" s="8">
        <v>202</v>
      </c>
      <c r="C27" s="8">
        <v>28.7319406036708</v>
      </c>
      <c r="D27" s="8">
        <v>0.65833207208486</v>
      </c>
      <c r="E27" s="8">
        <v>0.99994000000000005</v>
      </c>
      <c r="F27" s="8"/>
    </row>
    <row r="28" spans="1:6">
      <c r="A28" s="8">
        <v>27</v>
      </c>
      <c r="B28" s="8">
        <v>202</v>
      </c>
      <c r="C28" s="8">
        <v>29.1056755020062</v>
      </c>
      <c r="D28" s="8">
        <v>0.77240159409365905</v>
      </c>
      <c r="E28" s="8">
        <v>0.99960000000000004</v>
      </c>
      <c r="F28" s="8"/>
    </row>
    <row r="29" spans="1:6">
      <c r="A29" s="8">
        <v>28</v>
      </c>
      <c r="B29" s="8">
        <v>202</v>
      </c>
      <c r="C29" s="8">
        <v>28.652333953187298</v>
      </c>
      <c r="D29" s="8">
        <v>0.79294754553299596</v>
      </c>
      <c r="E29" s="8">
        <v>0.99963999999999997</v>
      </c>
      <c r="F29" s="8"/>
    </row>
    <row r="30" spans="1:6">
      <c r="A30" s="8">
        <v>29</v>
      </c>
      <c r="B30" s="8">
        <v>203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203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203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203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204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204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204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204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205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205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205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205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21.874594490611202</v>
      </c>
      <c r="D42" s="8">
        <v>0.80170392566097004</v>
      </c>
      <c r="E42" s="8">
        <v>0.99950000000000006</v>
      </c>
      <c r="F42" s="8"/>
    </row>
    <row r="43" spans="1:6">
      <c r="A43" s="8">
        <v>42</v>
      </c>
      <c r="B43" s="8" t="s">
        <v>7</v>
      </c>
      <c r="C43" s="8">
        <v>22.892842517466601</v>
      </c>
      <c r="D43" s="8">
        <v>0.71804796140326499</v>
      </c>
      <c r="E43" s="8">
        <v>0.99985000000000002</v>
      </c>
      <c r="F43" s="8"/>
    </row>
    <row r="44" spans="1:6">
      <c r="A44" s="8">
        <v>43</v>
      </c>
      <c r="B44" s="8" t="s">
        <v>7</v>
      </c>
      <c r="C44" s="8">
        <v>22.278491213215599</v>
      </c>
      <c r="D44" s="8">
        <v>0.89288134120567997</v>
      </c>
      <c r="E44" s="8">
        <v>1</v>
      </c>
      <c r="F44" s="8"/>
    </row>
    <row r="45" spans="1:6">
      <c r="A45" s="8">
        <v>44</v>
      </c>
      <c r="B45" s="8" t="s">
        <v>7</v>
      </c>
      <c r="C45" s="8">
        <v>21.532639887294099</v>
      </c>
      <c r="D45" s="8">
        <v>0.85130438648402595</v>
      </c>
      <c r="E45" s="8">
        <v>0.99972000000000005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196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196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196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196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197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197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197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197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198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198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198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198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199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199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199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199</v>
      </c>
      <c r="C17" s="9">
        <v>37.966001151331</v>
      </c>
      <c r="D17" s="9">
        <v>0.346068161677342</v>
      </c>
      <c r="E17" s="9">
        <v>0.99687000000000003</v>
      </c>
      <c r="F17" s="9"/>
    </row>
    <row r="18" spans="1:6">
      <c r="A18" s="9">
        <v>17</v>
      </c>
      <c r="B18" s="9">
        <v>200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200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200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200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201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201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201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201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202</v>
      </c>
      <c r="C26" s="9">
        <v>34.331731007151198</v>
      </c>
      <c r="D26" s="9">
        <v>0.62735167856142304</v>
      </c>
      <c r="E26" s="9">
        <v>0.99765000000000004</v>
      </c>
      <c r="F26" s="9"/>
    </row>
    <row r="27" spans="1:6">
      <c r="A27" s="9">
        <v>26</v>
      </c>
      <c r="B27" s="9">
        <v>202</v>
      </c>
      <c r="C27" s="9">
        <v>34.533060955589399</v>
      </c>
      <c r="D27" s="9">
        <v>0.61939292259138801</v>
      </c>
      <c r="E27" s="9">
        <v>0.99829000000000001</v>
      </c>
      <c r="F27" s="9"/>
    </row>
    <row r="28" spans="1:6">
      <c r="A28" s="9">
        <v>27</v>
      </c>
      <c r="B28" s="9">
        <v>202</v>
      </c>
      <c r="C28" s="9">
        <v>35.436837513508998</v>
      </c>
      <c r="D28" s="9">
        <v>0.55809526466550996</v>
      </c>
      <c r="E28" s="9">
        <v>0.99751000000000001</v>
      </c>
      <c r="F28" s="9"/>
    </row>
    <row r="29" spans="1:6">
      <c r="A29" s="9">
        <v>28</v>
      </c>
      <c r="B29" s="9">
        <v>202</v>
      </c>
      <c r="C29" s="9">
        <v>34.389980028305096</v>
      </c>
      <c r="D29" s="9">
        <v>0.62615213995992902</v>
      </c>
      <c r="E29" s="9">
        <v>0.99765999999999999</v>
      </c>
      <c r="F29" s="9"/>
    </row>
    <row r="30" spans="1:6">
      <c r="A30" s="9">
        <v>29</v>
      </c>
      <c r="B30" s="9">
        <v>203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203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203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203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204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204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204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204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205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205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205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205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18.9951287288083</v>
      </c>
      <c r="D42" s="9">
        <v>1.1112368191408699</v>
      </c>
      <c r="E42" s="9">
        <v>0.99729999999999996</v>
      </c>
      <c r="F42" s="9"/>
    </row>
    <row r="43" spans="1:6">
      <c r="A43" s="9">
        <v>42</v>
      </c>
      <c r="B43" s="9" t="s">
        <v>7</v>
      </c>
      <c r="C43" s="9">
        <v>18.9178307901384</v>
      </c>
      <c r="D43" s="9">
        <v>1.0880904291506699</v>
      </c>
      <c r="E43" s="9">
        <v>0.99772000000000005</v>
      </c>
      <c r="F43" s="9"/>
    </row>
    <row r="44" spans="1:6">
      <c r="A44" s="9">
        <v>43</v>
      </c>
      <c r="B44" s="9" t="s">
        <v>7</v>
      </c>
      <c r="C44" s="9">
        <v>18.959411358540599</v>
      </c>
      <c r="D44" s="9">
        <v>1.10752240250425</v>
      </c>
      <c r="E44" s="9">
        <v>0.99726000000000004</v>
      </c>
      <c r="F44" s="9"/>
    </row>
    <row r="45" spans="1:6">
      <c r="A45" s="9">
        <v>44</v>
      </c>
      <c r="B45" s="9" t="s">
        <v>7</v>
      </c>
      <c r="C45" s="9">
        <v>18.7108902883826</v>
      </c>
      <c r="D45" s="9">
        <v>1.00425926481995</v>
      </c>
      <c r="E45" s="9">
        <v>0.99922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196</v>
      </c>
      <c r="C2" s="10">
        <v>23.286936968577699</v>
      </c>
      <c r="D2" s="10">
        <v>0.98718730495598395</v>
      </c>
      <c r="E2" s="10">
        <v>0.99887999999999999</v>
      </c>
      <c r="F2" s="10"/>
    </row>
    <row r="3" spans="1:6">
      <c r="A3" s="10">
        <v>2</v>
      </c>
      <c r="B3" s="10">
        <v>196</v>
      </c>
      <c r="C3" s="10">
        <v>23.3525271462258</v>
      </c>
      <c r="D3" s="10">
        <v>0.97226601484554298</v>
      </c>
      <c r="E3" s="10">
        <v>0.99924000000000002</v>
      </c>
      <c r="F3" s="10"/>
    </row>
    <row r="4" spans="1:6">
      <c r="A4" s="10">
        <v>3</v>
      </c>
      <c r="B4" s="10">
        <v>196</v>
      </c>
      <c r="C4" s="10">
        <v>23.323637592109002</v>
      </c>
      <c r="D4" s="10">
        <v>0.98497235127671601</v>
      </c>
      <c r="E4" s="10">
        <v>0.99912999999999996</v>
      </c>
      <c r="F4" s="10"/>
    </row>
    <row r="5" spans="1:6">
      <c r="A5" s="10">
        <v>4</v>
      </c>
      <c r="B5" s="10">
        <v>196</v>
      </c>
      <c r="C5" s="10">
        <v>23.2123935252534</v>
      </c>
      <c r="D5" s="10">
        <v>0.93477007881659802</v>
      </c>
      <c r="E5" s="10">
        <v>0.99924000000000002</v>
      </c>
      <c r="F5" s="10"/>
    </row>
    <row r="6" spans="1:6">
      <c r="A6" s="10">
        <v>5</v>
      </c>
      <c r="B6" s="10">
        <v>197</v>
      </c>
      <c r="C6" s="10">
        <v>22.4616898578101</v>
      </c>
      <c r="D6" s="10">
        <v>0.96150902084754297</v>
      </c>
      <c r="E6" s="10">
        <v>0.99939999999999996</v>
      </c>
      <c r="F6" s="10"/>
    </row>
    <row r="7" spans="1:6">
      <c r="A7" s="10">
        <v>6</v>
      </c>
      <c r="B7" s="10">
        <v>197</v>
      </c>
      <c r="C7" s="10">
        <v>22.477684338638301</v>
      </c>
      <c r="D7" s="10">
        <v>0.97489817295389203</v>
      </c>
      <c r="E7" s="10">
        <v>0.99926999999999999</v>
      </c>
      <c r="F7" s="10"/>
    </row>
    <row r="8" spans="1:6">
      <c r="A8" s="10">
        <v>7</v>
      </c>
      <c r="B8" s="10">
        <v>197</v>
      </c>
      <c r="C8" s="10">
        <v>22.4312337452401</v>
      </c>
      <c r="D8" s="10">
        <v>0.98413369704472597</v>
      </c>
      <c r="E8" s="10">
        <v>0.99921000000000004</v>
      </c>
      <c r="F8" s="10"/>
    </row>
    <row r="9" spans="1:6">
      <c r="A9" s="10">
        <v>8</v>
      </c>
      <c r="B9" s="10">
        <v>197</v>
      </c>
      <c r="C9" s="10">
        <v>22.408164158484102</v>
      </c>
      <c r="D9" s="10">
        <v>0.99869942016709501</v>
      </c>
      <c r="E9" s="10">
        <v>0.99926999999999999</v>
      </c>
      <c r="F9" s="10"/>
    </row>
    <row r="10" spans="1:6">
      <c r="A10" s="10">
        <v>9</v>
      </c>
      <c r="B10" s="10">
        <v>198</v>
      </c>
      <c r="C10" s="10">
        <v>22.508945442128802</v>
      </c>
      <c r="D10" s="10">
        <v>0.98375505403136299</v>
      </c>
      <c r="E10" s="10">
        <v>0.99931999999999999</v>
      </c>
      <c r="F10" s="10"/>
    </row>
    <row r="11" spans="1:6">
      <c r="A11" s="10">
        <v>10</v>
      </c>
      <c r="B11" s="10">
        <v>198</v>
      </c>
      <c r="C11" s="10">
        <v>22.500879855915301</v>
      </c>
      <c r="D11" s="10">
        <v>0.97966586602155104</v>
      </c>
      <c r="E11" s="10">
        <v>0.99936999999999998</v>
      </c>
      <c r="F11" s="10"/>
    </row>
    <row r="12" spans="1:6">
      <c r="A12" s="10">
        <v>11</v>
      </c>
      <c r="B12" s="10">
        <v>198</v>
      </c>
      <c r="C12" s="10">
        <v>22.639754436660301</v>
      </c>
      <c r="D12" s="10">
        <v>0.98774141531628101</v>
      </c>
      <c r="E12" s="10">
        <v>0.99870000000000003</v>
      </c>
      <c r="F12" s="10"/>
    </row>
    <row r="13" spans="1:6">
      <c r="A13" s="10">
        <v>12</v>
      </c>
      <c r="B13" s="10">
        <v>198</v>
      </c>
      <c r="C13" s="10">
        <v>22.627413036081101</v>
      </c>
      <c r="D13" s="10">
        <v>0.96240688468265601</v>
      </c>
      <c r="E13" s="10">
        <v>0.99907000000000001</v>
      </c>
      <c r="F13" s="10"/>
    </row>
    <row r="14" spans="1:6">
      <c r="A14" s="10">
        <v>13</v>
      </c>
      <c r="B14" s="10">
        <v>199</v>
      </c>
      <c r="C14" s="10">
        <v>21.978286534329499</v>
      </c>
      <c r="D14" s="10">
        <v>0.93472488217698901</v>
      </c>
      <c r="E14" s="10">
        <v>0.99924999999999997</v>
      </c>
      <c r="F14" s="10"/>
    </row>
    <row r="15" spans="1:6">
      <c r="A15" s="10">
        <v>14</v>
      </c>
      <c r="B15" s="10">
        <v>199</v>
      </c>
      <c r="C15" s="10">
        <v>21.9671424934489</v>
      </c>
      <c r="D15" s="10">
        <v>0.93149637736369195</v>
      </c>
      <c r="E15" s="10">
        <v>0.99934000000000001</v>
      </c>
      <c r="F15" s="10"/>
    </row>
    <row r="16" spans="1:6">
      <c r="A16" s="10">
        <v>15</v>
      </c>
      <c r="B16" s="10">
        <v>199</v>
      </c>
      <c r="C16" s="10">
        <v>22.075688241710399</v>
      </c>
      <c r="D16" s="10">
        <v>0.92299059743801304</v>
      </c>
      <c r="E16" s="10">
        <v>0.99929999999999997</v>
      </c>
      <c r="F16" s="10"/>
    </row>
    <row r="17" spans="1:6">
      <c r="A17" s="10">
        <v>16</v>
      </c>
      <c r="B17" s="10">
        <v>199</v>
      </c>
      <c r="C17" s="10">
        <v>21.988227948917402</v>
      </c>
      <c r="D17" s="10">
        <v>0.95677275807107298</v>
      </c>
      <c r="E17" s="10">
        <v>0.99904999999999999</v>
      </c>
      <c r="F17" s="10"/>
    </row>
    <row r="18" spans="1:6">
      <c r="A18" s="10">
        <v>17</v>
      </c>
      <c r="B18" s="10">
        <v>200</v>
      </c>
      <c r="C18" s="10">
        <v>23.9954626173765</v>
      </c>
      <c r="D18" s="10">
        <v>0.92770460318613301</v>
      </c>
      <c r="E18" s="10">
        <v>0.99919999999999998</v>
      </c>
      <c r="F18" s="10"/>
    </row>
    <row r="19" spans="1:6">
      <c r="A19" s="10">
        <v>18</v>
      </c>
      <c r="B19" s="10">
        <v>200</v>
      </c>
      <c r="C19" s="10">
        <v>23.837579390410902</v>
      </c>
      <c r="D19" s="10">
        <v>0.92891760538224299</v>
      </c>
      <c r="E19" s="10">
        <v>0.99929000000000001</v>
      </c>
      <c r="F19" s="10"/>
    </row>
    <row r="20" spans="1:6">
      <c r="A20" s="10">
        <v>19</v>
      </c>
      <c r="B20" s="10">
        <v>200</v>
      </c>
      <c r="C20" s="10">
        <v>23.942312873127399</v>
      </c>
      <c r="D20" s="10">
        <v>0.94490627909755598</v>
      </c>
      <c r="E20" s="10">
        <v>0.99900999999999995</v>
      </c>
      <c r="F20" s="10"/>
    </row>
    <row r="21" spans="1:6">
      <c r="A21" s="10">
        <v>20</v>
      </c>
      <c r="B21" s="10">
        <v>200</v>
      </c>
      <c r="C21" s="10">
        <v>23.905097396926301</v>
      </c>
      <c r="D21" s="10">
        <v>0.94374893396584203</v>
      </c>
      <c r="E21" s="10">
        <v>0.99916000000000005</v>
      </c>
      <c r="F21" s="10"/>
    </row>
    <row r="22" spans="1:6">
      <c r="A22" s="10">
        <v>21</v>
      </c>
      <c r="B22" s="10">
        <v>201</v>
      </c>
      <c r="C22" s="10">
        <v>20.5385839115518</v>
      </c>
      <c r="D22" s="10">
        <v>0.92860760477374404</v>
      </c>
      <c r="E22" s="10">
        <v>0.99960000000000004</v>
      </c>
      <c r="F22" s="10"/>
    </row>
    <row r="23" spans="1:6">
      <c r="A23" s="10">
        <v>22</v>
      </c>
      <c r="B23" s="10">
        <v>201</v>
      </c>
      <c r="C23" s="10">
        <v>20.683951402889299</v>
      </c>
      <c r="D23" s="10">
        <v>0.95994201316769701</v>
      </c>
      <c r="E23" s="10">
        <v>0.99900999999999995</v>
      </c>
      <c r="F23" s="10"/>
    </row>
    <row r="24" spans="1:6">
      <c r="A24" s="10">
        <v>23</v>
      </c>
      <c r="B24" s="10">
        <v>201</v>
      </c>
      <c r="C24" s="10">
        <v>21.053745415543101</v>
      </c>
      <c r="D24" s="10">
        <v>0.937576384353069</v>
      </c>
      <c r="E24" s="10">
        <v>0.99917999999999996</v>
      </c>
      <c r="F24" s="10"/>
    </row>
    <row r="25" spans="1:6">
      <c r="A25" s="10">
        <v>24</v>
      </c>
      <c r="B25" s="10">
        <v>201</v>
      </c>
      <c r="C25" s="10">
        <v>20.589259625088701</v>
      </c>
      <c r="D25" s="10">
        <v>0.95429488305317201</v>
      </c>
      <c r="E25" s="10">
        <v>0.99946000000000002</v>
      </c>
      <c r="F25" s="10"/>
    </row>
    <row r="26" spans="1:6">
      <c r="A26" s="10">
        <v>25</v>
      </c>
      <c r="B26" s="10">
        <v>202</v>
      </c>
      <c r="C26" s="10">
        <v>21.737277957701998</v>
      </c>
      <c r="D26" s="10">
        <v>0.92581675458797197</v>
      </c>
      <c r="E26" s="10">
        <v>0.99927999999999995</v>
      </c>
      <c r="F26" s="10"/>
    </row>
    <row r="27" spans="1:6">
      <c r="A27" s="10">
        <v>26</v>
      </c>
      <c r="B27" s="10">
        <v>202</v>
      </c>
      <c r="C27" s="10">
        <v>21.654905823002</v>
      </c>
      <c r="D27" s="10">
        <v>0.90417617784922399</v>
      </c>
      <c r="E27" s="10">
        <v>0.99956</v>
      </c>
      <c r="F27" s="10"/>
    </row>
    <row r="28" spans="1:6">
      <c r="A28" s="10">
        <v>27</v>
      </c>
      <c r="B28" s="10">
        <v>202</v>
      </c>
      <c r="C28" s="10">
        <v>21.7951660340469</v>
      </c>
      <c r="D28" s="10">
        <v>0.91457497304204605</v>
      </c>
      <c r="E28" s="10">
        <v>0.99939</v>
      </c>
      <c r="F28" s="10"/>
    </row>
    <row r="29" spans="1:6">
      <c r="A29" s="10">
        <v>28</v>
      </c>
      <c r="B29" s="10">
        <v>202</v>
      </c>
      <c r="C29" s="10">
        <v>21.710489578007099</v>
      </c>
      <c r="D29" s="10">
        <v>0.91348062933202101</v>
      </c>
      <c r="E29" s="10">
        <v>0.99961999999999995</v>
      </c>
      <c r="F29" s="10"/>
    </row>
    <row r="30" spans="1:6">
      <c r="A30" s="10">
        <v>29</v>
      </c>
      <c r="B30" s="10">
        <v>203</v>
      </c>
      <c r="C30" s="10">
        <v>18.724040988929499</v>
      </c>
      <c r="D30" s="10">
        <v>0.92955052302888497</v>
      </c>
      <c r="E30" s="10">
        <v>0.99939</v>
      </c>
      <c r="F30" s="10"/>
    </row>
    <row r="31" spans="1:6">
      <c r="A31" s="10">
        <v>30</v>
      </c>
      <c r="B31" s="10">
        <v>203</v>
      </c>
      <c r="C31" s="10">
        <v>18.866529512887301</v>
      </c>
      <c r="D31" s="10">
        <v>0.89794305556212695</v>
      </c>
      <c r="E31" s="10">
        <v>0.99912000000000001</v>
      </c>
      <c r="F31" s="10"/>
    </row>
    <row r="32" spans="1:6">
      <c r="A32" s="10">
        <v>31</v>
      </c>
      <c r="B32" s="10">
        <v>203</v>
      </c>
      <c r="C32" s="10">
        <v>18.830152027931401</v>
      </c>
      <c r="D32" s="10">
        <v>0.92993011421841099</v>
      </c>
      <c r="E32" s="10">
        <v>0.99919000000000002</v>
      </c>
      <c r="F32" s="10"/>
    </row>
    <row r="33" spans="1:6">
      <c r="A33" s="10">
        <v>32</v>
      </c>
      <c r="B33" s="10">
        <v>203</v>
      </c>
      <c r="C33" s="10">
        <v>18.8971751540059</v>
      </c>
      <c r="D33" s="10">
        <v>0.93148537748775395</v>
      </c>
      <c r="E33" s="10">
        <v>0.99912999999999996</v>
      </c>
      <c r="F33" s="10"/>
    </row>
    <row r="34" spans="1:6">
      <c r="A34" s="10">
        <v>33</v>
      </c>
      <c r="B34" s="10">
        <v>204</v>
      </c>
      <c r="C34" s="10">
        <v>21.371974374357499</v>
      </c>
      <c r="D34" s="10">
        <v>0.94070657156238102</v>
      </c>
      <c r="E34" s="10">
        <v>0.99946999999999997</v>
      </c>
      <c r="F34" s="10"/>
    </row>
    <row r="35" spans="1:6">
      <c r="A35" s="10">
        <v>34</v>
      </c>
      <c r="B35" s="10">
        <v>204</v>
      </c>
      <c r="C35" s="10">
        <v>21.351605405679301</v>
      </c>
      <c r="D35" s="10">
        <v>0.96165527439542897</v>
      </c>
      <c r="E35" s="10">
        <v>0.99934999999999996</v>
      </c>
      <c r="F35" s="10"/>
    </row>
    <row r="36" spans="1:6">
      <c r="A36" s="10">
        <v>35</v>
      </c>
      <c r="B36" s="10">
        <v>204</v>
      </c>
      <c r="C36" s="10">
        <v>21.355727279002799</v>
      </c>
      <c r="D36" s="10">
        <v>0.945512908552126</v>
      </c>
      <c r="E36" s="10">
        <v>0.99946000000000002</v>
      </c>
      <c r="F36" s="10"/>
    </row>
    <row r="37" spans="1:6">
      <c r="A37" s="10">
        <v>36</v>
      </c>
      <c r="B37" s="10">
        <v>204</v>
      </c>
      <c r="C37" s="10">
        <v>21.281883802865</v>
      </c>
      <c r="D37" s="10">
        <v>0.97748392456150301</v>
      </c>
      <c r="E37" s="10">
        <v>0.99902000000000002</v>
      </c>
      <c r="F37" s="10"/>
    </row>
    <row r="38" spans="1:6">
      <c r="A38" s="10">
        <v>37</v>
      </c>
      <c r="B38" s="10">
        <v>205</v>
      </c>
      <c r="C38" s="10">
        <v>25.128301109391099</v>
      </c>
      <c r="D38" s="10">
        <v>0.92101782962891998</v>
      </c>
      <c r="E38" s="10">
        <v>0.99934999999999996</v>
      </c>
      <c r="F38" s="10"/>
    </row>
    <row r="39" spans="1:6">
      <c r="A39" s="10">
        <v>38</v>
      </c>
      <c r="B39" s="10">
        <v>205</v>
      </c>
      <c r="C39" s="10">
        <v>25.179019449351301</v>
      </c>
      <c r="D39" s="10">
        <v>0.950490650833972</v>
      </c>
      <c r="E39" s="10">
        <v>0.99914000000000003</v>
      </c>
      <c r="F39" s="10"/>
    </row>
    <row r="40" spans="1:6">
      <c r="A40" s="10">
        <v>39</v>
      </c>
      <c r="B40" s="10">
        <v>205</v>
      </c>
      <c r="C40" s="10">
        <v>25.3418391888492</v>
      </c>
      <c r="D40" s="10">
        <v>0.97493831771652895</v>
      </c>
      <c r="E40" s="10">
        <v>0.99921000000000004</v>
      </c>
      <c r="F40" s="10"/>
    </row>
    <row r="41" spans="1:6">
      <c r="A41" s="10">
        <v>40</v>
      </c>
      <c r="B41" s="10">
        <v>205</v>
      </c>
      <c r="C41" s="10">
        <v>25.0668288533797</v>
      </c>
      <c r="D41" s="10">
        <v>0.91439285454907304</v>
      </c>
      <c r="E41" s="10">
        <v>0.99941999999999998</v>
      </c>
      <c r="F41" s="10"/>
    </row>
    <row r="42" spans="1:6">
      <c r="A42" s="10">
        <v>41</v>
      </c>
      <c r="B42" s="10" t="s">
        <v>7</v>
      </c>
      <c r="C42" s="10">
        <v>34.188191603784901</v>
      </c>
      <c r="D42" s="10">
        <v>0.66544436007817698</v>
      </c>
      <c r="E42" s="10">
        <v>0.99956999999999996</v>
      </c>
      <c r="F42" s="10"/>
    </row>
    <row r="43" spans="1:6">
      <c r="A43" s="10">
        <v>42</v>
      </c>
      <c r="B43" s="10" t="s">
        <v>7</v>
      </c>
      <c r="C43" s="10">
        <v>34.911937580220801</v>
      </c>
      <c r="D43" s="10">
        <v>0.61381027914642405</v>
      </c>
      <c r="E43" s="10">
        <v>0.99927999999999995</v>
      </c>
      <c r="F43" s="10"/>
    </row>
    <row r="44" spans="1:6">
      <c r="A44" s="10">
        <v>43</v>
      </c>
      <c r="B44" s="10" t="s">
        <v>7</v>
      </c>
      <c r="C44" s="10">
        <v>34.152033040671597</v>
      </c>
      <c r="D44" s="10">
        <v>0.66709362025666596</v>
      </c>
      <c r="E44" s="10">
        <v>0.99938000000000005</v>
      </c>
      <c r="F44" s="10"/>
    </row>
    <row r="45" spans="1:6">
      <c r="A45" s="10">
        <v>44</v>
      </c>
      <c r="B45" s="10" t="s">
        <v>7</v>
      </c>
      <c r="C45" s="10">
        <v>34.923275905402399</v>
      </c>
      <c r="D45" s="10">
        <v>0.64380654287313699</v>
      </c>
      <c r="E45" s="10">
        <v>0.99902000000000002</v>
      </c>
      <c r="F45" s="10"/>
    </row>
    <row r="46" spans="1:6">
      <c r="A46" s="10">
        <v>45</v>
      </c>
      <c r="B46" s="10" t="s">
        <v>8</v>
      </c>
      <c r="C46" s="10">
        <v>37.618469139056501</v>
      </c>
      <c r="D46" s="10">
        <v>0.51877866694192198</v>
      </c>
      <c r="E46" s="10">
        <v>0.97385999999999995</v>
      </c>
      <c r="F46" s="10"/>
    </row>
    <row r="47" spans="1:6">
      <c r="A47" s="10">
        <v>46</v>
      </c>
      <c r="B47" s="10" t="s">
        <v>8</v>
      </c>
      <c r="C47" s="10">
        <v>37.490137416814299</v>
      </c>
      <c r="D47" s="10">
        <v>0.58452755696536896</v>
      </c>
      <c r="E47" s="10">
        <v>0.97879000000000005</v>
      </c>
      <c r="F47" s="10"/>
    </row>
    <row r="48" spans="1:6">
      <c r="A48" s="10">
        <v>47</v>
      </c>
      <c r="B48" s="10" t="s">
        <v>8</v>
      </c>
      <c r="C48" s="10">
        <v>37.307856967998099</v>
      </c>
      <c r="D48" s="10">
        <v>0.75358848520449595</v>
      </c>
      <c r="E48" s="10">
        <v>0.99433000000000005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196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23.286936968577699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196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23.3525271462258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196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23.323637592109002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196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23.2123935252534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197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22.4616898578101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197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22.477684338638301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197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22.4312337452401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197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22.408164158484102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198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22.508945442128802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198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22.500879855915301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198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22.639754436660301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198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22.627413036081101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199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21.978286534329499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199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21.9671424934489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199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22.075688241710399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199</v>
      </c>
      <c r="B17">
        <f>IF('177T'!C17="", "", '177T'!C17)</f>
        <v>-1</v>
      </c>
      <c r="C17">
        <f>IF('18S2'!C17="", "", '18S2'!C17)</f>
        <v>37.966001151331</v>
      </c>
      <c r="D17">
        <f>IF(RNAseP!C17="", "", RNAseP!C17)</f>
        <v>21.988227948917402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0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S</v>
      </c>
      <c r="I17" t="str" cm="1">
        <f t="array" ref="I17">INDEX(Decision!$E$1:$E$28, MATCH(E17&amp;F17&amp;G17, Decision!$A$1:$A$28&amp;Decision!$B$1:$B$28&amp;Decision!$C$1:$C$28, 0))</f>
        <v>RNA suspect</v>
      </c>
    </row>
    <row r="18" spans="1:9">
      <c r="A18">
        <f>IF(AND('177T'!B18 = '18S2'!B18, '177T'!B18 = RNAseP!B18, '177T'!B18 &lt;&gt; ""), '177T'!B18, IF('177T'!B18 = "", "", "Mismatch"))</f>
        <v>200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23.9954626173765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200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23.837579390410902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200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23.942312873127399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200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23.905097396926301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201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20.5385839115518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201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20.683951402889299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201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21.053745415543101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201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20.589259625088701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202</v>
      </c>
      <c r="B26">
        <f>IF('177T'!C26="", "", '177T'!C26)</f>
        <v>29.274932853566899</v>
      </c>
      <c r="C26">
        <f>IF('18S2'!C26="", "", '18S2'!C26)</f>
        <v>34.331731007151198</v>
      </c>
      <c r="D26">
        <f>IF(RNAseP!C26="", "", RNAseP!C26)</f>
        <v>21.737277957701998</v>
      </c>
      <c r="E26" s="3" t="str">
        <f>IF(B26=-1, "-1", IF(B26&lt;VLOOKUP("177T", Cutoff!$A$1:$B$4, 2, FALSE), "1", "0"))</f>
        <v>1</v>
      </c>
      <c r="F26" s="3" t="str">
        <f>IF(C26=-1, "-1", IF(C26&lt;VLOOKUP("18S2", Cutoff!$A$1:$B$4, 2, FALSE), "1", "0"))</f>
        <v>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P</v>
      </c>
      <c r="I26" t="str" cm="1">
        <f t="array" ref="I26">INDEX(Decision!$E$1:$E$28, MATCH(E26&amp;F26&amp;G26, Decision!$A$1:$A$28&amp;Decision!$B$1:$B$28&amp;Decision!$C$1:$C$28, 0))</f>
        <v>TNA case</v>
      </c>
    </row>
    <row r="27" spans="1:9">
      <c r="A27">
        <f>IF(AND('177T'!B27 = '18S2'!B27, '177T'!B27 = RNAseP!B27, '177T'!B27 &lt;&gt; ""), '177T'!B27, IF('177T'!B27 = "", "", "Mismatch"))</f>
        <v>202</v>
      </c>
      <c r="B27">
        <f>IF('177T'!C27="", "", '177T'!C27)</f>
        <v>28.7319406036708</v>
      </c>
      <c r="C27">
        <f>IF('18S2'!C27="", "", '18S2'!C27)</f>
        <v>34.533060955589399</v>
      </c>
      <c r="D27">
        <f>IF(RNAseP!C27="", "", RNAseP!C27)</f>
        <v>21.654905823002</v>
      </c>
      <c r="E27" s="3" t="str">
        <f>IF(B27=-1, "-1", IF(B27&lt;VLOOKUP("177T", Cutoff!$A$1:$B$4, 2, FALSE), "1", "0"))</f>
        <v>1</v>
      </c>
      <c r="F27" s="3" t="str">
        <f>IF(C27=-1, "-1", IF(C27&lt;VLOOKUP("18S2", Cutoff!$A$1:$B$4, 2, FALSE), "1", "0"))</f>
        <v>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P</v>
      </c>
      <c r="I27" t="str" cm="1">
        <f t="array" ref="I27">INDEX(Decision!$E$1:$E$28, MATCH(E27&amp;F27&amp;G27, Decision!$A$1:$A$28&amp;Decision!$B$1:$B$28&amp;Decision!$C$1:$C$28, 0))</f>
        <v>TNA case</v>
      </c>
    </row>
    <row r="28" spans="1:9">
      <c r="A28">
        <f>IF(AND('177T'!B28 = '18S2'!B28, '177T'!B28 = RNAseP!B28, '177T'!B28 &lt;&gt; ""), '177T'!B28, IF('177T'!B28 = "", "", "Mismatch"))</f>
        <v>202</v>
      </c>
      <c r="B28">
        <f>IF('177T'!C28="", "", '177T'!C28)</f>
        <v>29.1056755020062</v>
      </c>
      <c r="C28">
        <f>IF('18S2'!C28="", "", '18S2'!C28)</f>
        <v>35.436837513508998</v>
      </c>
      <c r="D28">
        <f>IF(RNAseP!C28="", "", RNAseP!C28)</f>
        <v>21.7951660340469</v>
      </c>
      <c r="E28" s="3" t="str">
        <f>IF(B28=-1, "-1", IF(B28&lt;VLOOKUP("177T", Cutoff!$A$1:$B$4, 2, FALSE), "1", "0"))</f>
        <v>1</v>
      </c>
      <c r="F28" s="3" t="str">
        <f>IF(C28=-1, "-1", IF(C28&lt;VLOOKUP("18S2", Cutoff!$A$1:$B$4, 2, FALSE), "1", "0"))</f>
        <v>0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P</v>
      </c>
      <c r="I28" t="str" cm="1">
        <f t="array" ref="I28">INDEX(Decision!$E$1:$E$28, MATCH(E28&amp;F28&amp;G28, Decision!$A$1:$A$28&amp;Decision!$B$1:$B$28&amp;Decision!$C$1:$C$28, 0))</f>
        <v>DNA case &amp; RNA suspect</v>
      </c>
    </row>
    <row r="29" spans="1:9">
      <c r="A29">
        <f>IF(AND('177T'!B29 = '18S2'!B29, '177T'!B29 = RNAseP!B29, '177T'!B29 &lt;&gt; ""), '177T'!B29, IF('177T'!B29 = "", "", "Mismatch"))</f>
        <v>202</v>
      </c>
      <c r="B29">
        <f>IF('177T'!C29="", "", '177T'!C29)</f>
        <v>28.652333953187298</v>
      </c>
      <c r="C29">
        <f>IF('18S2'!C29="", "", '18S2'!C29)</f>
        <v>34.389980028305096</v>
      </c>
      <c r="D29">
        <f>IF(RNAseP!C29="", "", RNAseP!C29)</f>
        <v>21.710489578007099</v>
      </c>
      <c r="E29" s="3" t="str">
        <f>IF(B29=-1, "-1", IF(B29&lt;VLOOKUP("177T", Cutoff!$A$1:$B$4, 2, FALSE), "1", "0"))</f>
        <v>1</v>
      </c>
      <c r="F29" s="3" t="str">
        <f>IF(C29=-1, "-1", IF(C29&lt;VLOOKUP("18S2", Cutoff!$A$1:$B$4, 2, FALSE), "1", "0"))</f>
        <v>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P</v>
      </c>
      <c r="I29" t="str" cm="1">
        <f t="array" ref="I29">INDEX(Decision!$E$1:$E$28, MATCH(E29&amp;F29&amp;G29, Decision!$A$1:$A$28&amp;Decision!$B$1:$B$28&amp;Decision!$C$1:$C$28, 0))</f>
        <v>TNA case</v>
      </c>
    </row>
    <row r="30" spans="1:9">
      <c r="A30">
        <f>IF(AND('177T'!B30 = '18S2'!B30, '177T'!B30 = RNAseP!B30, '177T'!B30 &lt;&gt; ""), '177T'!B30, IF('177T'!B30 = "", "", "Mismatch"))</f>
        <v>203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18.724040988929499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203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18.866529512887301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203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18.830152027931401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203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18.8971751540059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204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21.371974374357499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204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21.351605405679301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204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21.355727279002799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204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21.281883802865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205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25.128301109391099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205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25.179019449351301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205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25.3418391888492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205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25.0668288533797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21.874594490611202</v>
      </c>
      <c r="C42">
        <f>IF('18S2'!C42="", "", '18S2'!C42)</f>
        <v>18.9951287288083</v>
      </c>
      <c r="D42">
        <f>IF(RNAseP!C42="", "", RNAseP!C42)</f>
        <v>34.188191603784901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22.892842517466601</v>
      </c>
      <c r="C43">
        <f>IF('18S2'!C43="", "", '18S2'!C43)</f>
        <v>18.9178307901384</v>
      </c>
      <c r="D43">
        <f>IF(RNAseP!C43="", "", RNAseP!C43)</f>
        <v>34.911937580220801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22.278491213215599</v>
      </c>
      <c r="C44">
        <f>IF('18S2'!C44="", "", '18S2'!C44)</f>
        <v>18.959411358540599</v>
      </c>
      <c r="D44">
        <f>IF(RNAseP!C44="", "", RNAseP!C44)</f>
        <v>34.152033040671597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21.532639887294099</v>
      </c>
      <c r="C45">
        <f>IF('18S2'!C45="", "", '18S2'!C45)</f>
        <v>18.7108902883826</v>
      </c>
      <c r="D45">
        <f>IF(RNAseP!C45="", "", RNAseP!C45)</f>
        <v>34.923275905402399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37.618469139056501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37.490137416814299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37.307856967998099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10" sqref="C10:G10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45937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196</v>
      </c>
      <c r="B16" s="11">
        <v>2402288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197</v>
      </c>
      <c r="B17" s="11">
        <v>2402777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198</v>
      </c>
      <c r="B18" s="11">
        <v>2500026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22,6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199</v>
      </c>
      <c r="B19" s="11">
        <v>2400839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38</v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200</v>
      </c>
      <c r="B20" s="11">
        <v>2400825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23,9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201</v>
      </c>
      <c r="B21" s="11">
        <v>2501972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20,7 +/- 0,2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202</v>
      </c>
      <c r="B22" s="11">
        <v>2501321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P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>28,9 +/- 0,3</v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>34,7 +/- 0,5</v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21,7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203</v>
      </c>
      <c r="B23" s="11">
        <v>2501176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18,8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204</v>
      </c>
      <c r="B24" s="11">
        <v>2501168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205</v>
      </c>
      <c r="B25" s="11">
        <v>2501886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25,2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18,9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34,5 +/- 0,4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37,5 +/- 0,2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196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23,3 +/- 0,1</v>
      </c>
    </row>
    <row r="3" spans="1:11">
      <c r="A3" s="3">
        <f>Report!A17</f>
        <v>197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</v>
      </c>
    </row>
    <row r="4" spans="1:11">
      <c r="A4" s="3">
        <f>Report!A18</f>
        <v>198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22,6 +/- 0,1</v>
      </c>
    </row>
    <row r="5" spans="1:11">
      <c r="A5" s="3">
        <f>Report!A19</f>
        <v>199</v>
      </c>
      <c r="B5" s="3" t="str" cm="1">
        <f t="array" ref="B5">_xlfn.TEXTJOIN(", ", TRUE, IF(Analysis!$A$2:$A$82=A5, Analysis!$H$2:$H$82, ""))</f>
        <v>N, N, N, S</v>
      </c>
      <c r="C5" s="3" t="str" cm="1">
        <f t="array" ref="C5">_xlfn.TEXTJOIN(", ", TRUE, IF(Analysis!$A$2:$A$82=A5, Analysis!$I$2:$I$82, ""))</f>
        <v>negative, negative, negative, RNA suspect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>38</v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 +/- 0</v>
      </c>
    </row>
    <row r="6" spans="1:11">
      <c r="A6" s="3">
        <f>Report!A20</f>
        <v>200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23,9 +/- 0,1</v>
      </c>
    </row>
    <row r="7" spans="1:11">
      <c r="A7" s="3">
        <f>Report!A21</f>
        <v>201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20,7 +/- 0,2</v>
      </c>
      <c r="K7" s="4"/>
    </row>
    <row r="8" spans="1:11">
      <c r="A8" s="3">
        <f>Report!A22</f>
        <v>202</v>
      </c>
      <c r="B8" s="3" t="str" cm="1">
        <f t="array" ref="B8">_xlfn.TEXTJOIN(", ", TRUE, IF(Analysis!$A$2:$A$82=A8, Analysis!$H$2:$H$82, ""))</f>
        <v>P, P, P, P</v>
      </c>
      <c r="C8" s="3" t="str" cm="1">
        <f t="array" ref="C8">_xlfn.TEXTJOIN(", ", TRUE, IF(Analysis!$A$2:$A$82=A8, Analysis!$I$2:$I$82, ""))</f>
        <v>TNA case, TNA case, DNA case &amp; RNA suspect, TNA case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P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>28,9 +/- 0,3</v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>34,7 +/- 0,5</v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21,7 +/- 0,1</v>
      </c>
    </row>
    <row r="9" spans="1:11">
      <c r="A9" s="3">
        <f>Report!A23</f>
        <v>203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18,8 +/- 0,1</v>
      </c>
    </row>
    <row r="10" spans="1:11">
      <c r="A10" s="3">
        <f>Report!A24</f>
        <v>204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</row>
    <row r="11" spans="1:11">
      <c r="A11" s="3">
        <f>Report!A25</f>
        <v>205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25,2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22,1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18,9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34,5 +/- 0,4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F, OK</v>
      </c>
      <c r="C13" s="3" t="str" cm="1">
        <f t="array" ref="C13">_xlfn.TEXTJOIN(", ", TRUE, IF(Analysis!$A$2:$A$82=A13, Analysis!$I$2:$I$82, ""))</f>
        <v>RNAseP, RNAseP,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37,5 +/- 0,2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2025-10-07T11:01:35+00:00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FAF42-C8A8-40F0-9BB2-37BC0D460839}"/>
</file>

<file path=customXml/itemProps2.xml><?xml version="1.0" encoding="utf-8"?>
<ds:datastoreItem xmlns:ds="http://schemas.openxmlformats.org/officeDocument/2006/customXml" ds:itemID="{677186E8-5BE7-4225-AE2C-11656240FAB6}"/>
</file>

<file path=customXml/itemProps3.xml><?xml version="1.0" encoding="utf-8"?>
<ds:datastoreItem xmlns:ds="http://schemas.openxmlformats.org/officeDocument/2006/customXml" ds:itemID="{79384BAF-ED82-4B0A-BA90-2AED1751D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2025-10-10T11:40:19Z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