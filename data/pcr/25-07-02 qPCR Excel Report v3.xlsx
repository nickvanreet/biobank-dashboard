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7C0484C7-019B-4DEB-9FED-76C11D84F977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84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<sst xmlns="http://schemas.openxmlformats.org/spreadsheetml/2006/main" count="433" uniqueCount="76">
  <si>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</si>
  <si>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</si>
  <si>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</si>
  <si>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</si>
  <si>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</si>
  <si>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</si>
  <si>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</si>
  <si>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</si>
  <si>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</si>
  <si>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</si>
  <si>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</si>
  <si>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</si>
  <si>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</si>
  <si>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</si>
  <si>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</si>
  <si>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</si>
  <si>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</si>
  <si>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</si>
  <si>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</si>
  <si>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</si>
  <si>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</si>
  <si>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</si>
  <si>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</si>
  <si>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</si>
  <si>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</si>
  <si>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</si>
  <si>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</si>
  <si>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</si>
  <si>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</si>
  <si>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</si>
  <si>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</si>
  <si>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</si>
  <si>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</si>
  <si>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</si>
  <si>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</si>
  <si>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</si>
  <si>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</si>
  <si>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</si>
  <si>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</si>
  <si>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</si>
  <si>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</si>
  <si>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</si>
  <si>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</si>
  <si>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</si>
  <si>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</si>
  <si>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2025-07-02 14.32.55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</si>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</sst>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topLeftCell="A19"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71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71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71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71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72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72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72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72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73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73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73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73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74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74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74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74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75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75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75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75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76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76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76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76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77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77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77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77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78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78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78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78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79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79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79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79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80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80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80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80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24.971078970376102</v>
      </c>
      <c r="D42" s="8">
        <v>0.82335328915874695</v>
      </c>
      <c r="E42" s="8">
        <v>0.99795999999999996</v>
      </c>
      <c r="F42" s="8"/>
    </row>
    <row r="43" spans="1:6">
      <c r="A43" s="8">
        <v>42</v>
      </c>
      <c r="B43" s="8" t="s">
        <v>7</v>
      </c>
      <c r="C43" s="8">
        <v>24.5630824221499</v>
      </c>
      <c r="D43" s="8">
        <v>0.83341104355976203</v>
      </c>
      <c r="E43" s="8">
        <v>0.99885000000000002</v>
      </c>
      <c r="F43" s="8"/>
    </row>
    <row r="44" spans="1:6">
      <c r="A44" s="8">
        <v>43</v>
      </c>
      <c r="B44" s="8" t="s">
        <v>7</v>
      </c>
      <c r="C44" s="8">
        <v>24.1978393242801</v>
      </c>
      <c r="D44" s="8">
        <v>0.845488589734535</v>
      </c>
      <c r="E44" s="8">
        <v>0.99841000000000002</v>
      </c>
      <c r="F44" s="8"/>
    </row>
    <row r="45" spans="1:6">
      <c r="A45" s="8">
        <v>44</v>
      </c>
      <c r="B45" s="8" t="s">
        <v>7</v>
      </c>
      <c r="C45" s="8">
        <v>25.302394863217501</v>
      </c>
      <c r="D45" s="8">
        <v>0.81958419103506597</v>
      </c>
      <c r="E45" s="8">
        <v>0.99834000000000001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19"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71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71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71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71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72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72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72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72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73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73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73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73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74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74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74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74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75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75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75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75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76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76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76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76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77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77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77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77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78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78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78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78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79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79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79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79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80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80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80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80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21.155943309687999</v>
      </c>
      <c r="D42" s="9">
        <v>0.803786388900675</v>
      </c>
      <c r="E42" s="9">
        <v>0.99758999999999998</v>
      </c>
      <c r="F42" s="9"/>
    </row>
    <row r="43" spans="1:6">
      <c r="A43" s="9">
        <v>42</v>
      </c>
      <c r="B43" s="9" t="s">
        <v>7</v>
      </c>
      <c r="C43" s="9">
        <v>21.378260995899101</v>
      </c>
      <c r="D43" s="9">
        <v>0.795018470948612</v>
      </c>
      <c r="E43" s="9">
        <v>0.99861999999999995</v>
      </c>
      <c r="F43" s="9"/>
    </row>
    <row r="44" spans="1:6">
      <c r="A44" s="9">
        <v>43</v>
      </c>
      <c r="B44" s="9" t="s">
        <v>7</v>
      </c>
      <c r="C44" s="9">
        <v>21.065312208449001</v>
      </c>
      <c r="D44" s="9">
        <v>0.80122920650988605</v>
      </c>
      <c r="E44" s="9">
        <v>0.99748999999999999</v>
      </c>
      <c r="F44" s="9"/>
    </row>
    <row r="45" spans="1:6">
      <c r="A45" s="9">
        <v>44</v>
      </c>
      <c r="B45" s="9" t="s">
        <v>7</v>
      </c>
      <c r="C45" s="9">
        <v>21.444939830060001</v>
      </c>
      <c r="D45" s="9">
        <v>0.79049904885223699</v>
      </c>
      <c r="E45" s="9">
        <v>0.99841999999999997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71</v>
      </c>
      <c r="C2" s="10">
        <v>25.132843305341002</v>
      </c>
      <c r="D2" s="10">
        <v>0.83945575829180896</v>
      </c>
      <c r="E2" s="10">
        <v>0.99865000000000004</v>
      </c>
      <c r="F2" s="10"/>
    </row>
    <row r="3" spans="1:6">
      <c r="A3" s="10">
        <v>2</v>
      </c>
      <c r="B3" s="10">
        <v>71</v>
      </c>
      <c r="C3" s="10">
        <v>25.159555700712101</v>
      </c>
      <c r="D3" s="10">
        <v>0.83497912965270404</v>
      </c>
      <c r="E3" s="10">
        <v>0.99817999999999996</v>
      </c>
      <c r="F3" s="10"/>
    </row>
    <row r="4" spans="1:6">
      <c r="A4" s="10">
        <v>3</v>
      </c>
      <c r="B4" s="10">
        <v>71</v>
      </c>
      <c r="C4" s="10">
        <v>25.183953535542202</v>
      </c>
      <c r="D4" s="10">
        <v>0.83210214943777405</v>
      </c>
      <c r="E4" s="10">
        <v>0.99856</v>
      </c>
      <c r="F4" s="10"/>
    </row>
    <row r="5" spans="1:6">
      <c r="A5" s="10">
        <v>4</v>
      </c>
      <c r="B5" s="10">
        <v>71</v>
      </c>
      <c r="C5" s="10">
        <v>25.1931037595199</v>
      </c>
      <c r="D5" s="10">
        <v>0.83005259177536805</v>
      </c>
      <c r="E5" s="10">
        <v>0.99851000000000001</v>
      </c>
      <c r="F5" s="10"/>
    </row>
    <row r="6" spans="1:6">
      <c r="A6" s="10">
        <v>5</v>
      </c>
      <c r="B6" s="10">
        <v>72</v>
      </c>
      <c r="C6" s="10">
        <v>24.1907609162567</v>
      </c>
      <c r="D6" s="10">
        <v>0.83674530894985599</v>
      </c>
      <c r="E6" s="10">
        <v>0.99858999999999998</v>
      </c>
      <c r="F6" s="10"/>
    </row>
    <row r="7" spans="1:6">
      <c r="A7" s="10">
        <v>6</v>
      </c>
      <c r="B7" s="10">
        <v>72</v>
      </c>
      <c r="C7" s="10">
        <v>24.314592850492399</v>
      </c>
      <c r="D7" s="10">
        <v>0.81974151193350397</v>
      </c>
      <c r="E7" s="10">
        <v>0.99883999999999995</v>
      </c>
      <c r="F7" s="10"/>
    </row>
    <row r="8" spans="1:6">
      <c r="A8" s="10">
        <v>7</v>
      </c>
      <c r="B8" s="10">
        <v>72</v>
      </c>
      <c r="C8" s="10">
        <v>24.272055737710001</v>
      </c>
      <c r="D8" s="10">
        <v>0.82853376879404295</v>
      </c>
      <c r="E8" s="10">
        <v>0.99866999999999995</v>
      </c>
      <c r="F8" s="10"/>
    </row>
    <row r="9" spans="1:6">
      <c r="A9" s="10">
        <v>8</v>
      </c>
      <c r="B9" s="10">
        <v>72</v>
      </c>
      <c r="C9" s="10">
        <v>24.126497869043298</v>
      </c>
      <c r="D9" s="10">
        <v>0.85314042165860504</v>
      </c>
      <c r="E9" s="10">
        <v>0.99836999999999998</v>
      </c>
      <c r="F9" s="10"/>
    </row>
    <row r="10" spans="1:6">
      <c r="A10" s="10">
        <v>9</v>
      </c>
      <c r="B10" s="10">
        <v>73</v>
      </c>
      <c r="C10" s="10">
        <v>23.782305283620101</v>
      </c>
      <c r="D10" s="10">
        <v>0.85134158502128399</v>
      </c>
      <c r="E10" s="10">
        <v>0.99836000000000003</v>
      </c>
      <c r="F10" s="10"/>
    </row>
    <row r="11" spans="1:6">
      <c r="A11" s="10">
        <v>10</v>
      </c>
      <c r="B11" s="10">
        <v>73</v>
      </c>
      <c r="C11" s="10">
        <v>23.7276999319729</v>
      </c>
      <c r="D11" s="10">
        <v>0.86778512582220901</v>
      </c>
      <c r="E11" s="10">
        <v>0.99875000000000003</v>
      </c>
      <c r="F11" s="10"/>
    </row>
    <row r="12" spans="1:6">
      <c r="A12" s="10">
        <v>11</v>
      </c>
      <c r="B12" s="10">
        <v>73</v>
      </c>
      <c r="C12" s="10">
        <v>23.8417379793528</v>
      </c>
      <c r="D12" s="10">
        <v>0.84943433798518897</v>
      </c>
      <c r="E12" s="10">
        <v>0.99817</v>
      </c>
      <c r="F12" s="10"/>
    </row>
    <row r="13" spans="1:6">
      <c r="A13" s="10">
        <v>12</v>
      </c>
      <c r="B13" s="10">
        <v>73</v>
      </c>
      <c r="C13" s="10">
        <v>23.697450421358798</v>
      </c>
      <c r="D13" s="10">
        <v>0.87567499228938495</v>
      </c>
      <c r="E13" s="10">
        <v>0.99882000000000004</v>
      </c>
      <c r="F13" s="10"/>
    </row>
    <row r="14" spans="1:6">
      <c r="A14" s="10">
        <v>13</v>
      </c>
      <c r="B14" s="10">
        <v>74</v>
      </c>
      <c r="C14" s="10">
        <v>31.542415207558701</v>
      </c>
      <c r="D14" s="10">
        <v>0.85271233627791398</v>
      </c>
      <c r="E14" s="10">
        <v>0.99926999999999999</v>
      </c>
      <c r="F14" s="10"/>
    </row>
    <row r="15" spans="1:6">
      <c r="A15" s="10">
        <v>14</v>
      </c>
      <c r="B15" s="10">
        <v>74</v>
      </c>
      <c r="C15" s="10">
        <v>31.667924403967799</v>
      </c>
      <c r="D15" s="10">
        <v>0.85744237983607097</v>
      </c>
      <c r="E15" s="10">
        <v>0.99944</v>
      </c>
      <c r="F15" s="10"/>
    </row>
    <row r="16" spans="1:6">
      <c r="A16" s="10">
        <v>15</v>
      </c>
      <c r="B16" s="10">
        <v>74</v>
      </c>
      <c r="C16" s="10">
        <v>32.082880090155498</v>
      </c>
      <c r="D16" s="10">
        <v>0.85537137151359399</v>
      </c>
      <c r="E16" s="10">
        <v>0.99931000000000003</v>
      </c>
      <c r="F16" s="10"/>
    </row>
    <row r="17" spans="1:6">
      <c r="A17" s="10">
        <v>16</v>
      </c>
      <c r="B17" s="10">
        <v>74</v>
      </c>
      <c r="C17" s="10">
        <v>31.686562178803101</v>
      </c>
      <c r="D17" s="10">
        <v>0.85798055702124099</v>
      </c>
      <c r="E17" s="10">
        <v>0.99943000000000004</v>
      </c>
      <c r="F17" s="10"/>
    </row>
    <row r="18" spans="1:6">
      <c r="A18" s="10">
        <v>17</v>
      </c>
      <c r="B18" s="10">
        <v>75</v>
      </c>
      <c r="C18" s="10">
        <v>27.479134480877899</v>
      </c>
      <c r="D18" s="10">
        <v>0.85088348042753803</v>
      </c>
      <c r="E18" s="10">
        <v>0.99897000000000002</v>
      </c>
      <c r="F18" s="10"/>
    </row>
    <row r="19" spans="1:6">
      <c r="A19" s="10">
        <v>18</v>
      </c>
      <c r="B19" s="10">
        <v>75</v>
      </c>
      <c r="C19" s="10">
        <v>27.511443070746601</v>
      </c>
      <c r="D19" s="10">
        <v>0.842554676751058</v>
      </c>
      <c r="E19" s="10">
        <v>0.99878</v>
      </c>
      <c r="F19" s="10"/>
    </row>
    <row r="20" spans="1:6">
      <c r="A20" s="10">
        <v>19</v>
      </c>
      <c r="B20" s="10">
        <v>75</v>
      </c>
      <c r="C20" s="10">
        <v>27.129811544019802</v>
      </c>
      <c r="D20" s="10">
        <v>0.83378811182525603</v>
      </c>
      <c r="E20" s="10">
        <v>0.99858999999999998</v>
      </c>
      <c r="F20" s="10"/>
    </row>
    <row r="21" spans="1:6">
      <c r="A21" s="10">
        <v>20</v>
      </c>
      <c r="B21" s="10">
        <v>75</v>
      </c>
      <c r="C21" s="10">
        <v>27.043825090005601</v>
      </c>
      <c r="D21" s="10">
        <v>0.84208944760815896</v>
      </c>
      <c r="E21" s="10">
        <v>0.99870999999999999</v>
      </c>
      <c r="F21" s="10"/>
    </row>
    <row r="22" spans="1:6">
      <c r="A22" s="10">
        <v>21</v>
      </c>
      <c r="B22" s="10">
        <v>76</v>
      </c>
      <c r="C22" s="10">
        <v>23.3485178667359</v>
      </c>
      <c r="D22" s="10">
        <v>0.87036703037019303</v>
      </c>
      <c r="E22" s="10">
        <v>0.99868000000000001</v>
      </c>
      <c r="F22" s="10"/>
    </row>
    <row r="23" spans="1:6">
      <c r="A23" s="10">
        <v>22</v>
      </c>
      <c r="B23" s="10">
        <v>76</v>
      </c>
      <c r="C23" s="10">
        <v>23.4253198465229</v>
      </c>
      <c r="D23" s="10">
        <v>0.85952289173691099</v>
      </c>
      <c r="E23" s="10">
        <v>0.99860000000000004</v>
      </c>
      <c r="F23" s="10"/>
    </row>
    <row r="24" spans="1:6">
      <c r="A24" s="10">
        <v>23</v>
      </c>
      <c r="B24" s="10">
        <v>76</v>
      </c>
      <c r="C24" s="10">
        <v>23.369170851958</v>
      </c>
      <c r="D24" s="10">
        <v>0.82938651963868204</v>
      </c>
      <c r="E24" s="10">
        <v>0.99892000000000003</v>
      </c>
      <c r="F24" s="10"/>
    </row>
    <row r="25" spans="1:6">
      <c r="A25" s="10">
        <v>24</v>
      </c>
      <c r="B25" s="10">
        <v>76</v>
      </c>
      <c r="C25" s="10">
        <v>23.302222637495099</v>
      </c>
      <c r="D25" s="10">
        <v>0.87503802221565596</v>
      </c>
      <c r="E25" s="10">
        <v>0.99866999999999995</v>
      </c>
      <c r="F25" s="10"/>
    </row>
    <row r="26" spans="1:6">
      <c r="A26" s="10">
        <v>25</v>
      </c>
      <c r="B26" s="10">
        <v>77</v>
      </c>
      <c r="C26" s="10">
        <v>22.005018669382</v>
      </c>
      <c r="D26" s="10">
        <v>0.85117709081205195</v>
      </c>
      <c r="E26" s="10">
        <v>0.99846000000000001</v>
      </c>
      <c r="F26" s="10"/>
    </row>
    <row r="27" spans="1:6">
      <c r="A27" s="10">
        <v>26</v>
      </c>
      <c r="B27" s="10">
        <v>77</v>
      </c>
      <c r="C27" s="10">
        <v>22.0337875745739</v>
      </c>
      <c r="D27" s="10">
        <v>0.83380120881123598</v>
      </c>
      <c r="E27" s="10">
        <v>0.99814999999999998</v>
      </c>
      <c r="F27" s="10"/>
    </row>
    <row r="28" spans="1:6">
      <c r="A28" s="10">
        <v>27</v>
      </c>
      <c r="B28" s="10">
        <v>77</v>
      </c>
      <c r="C28" s="10">
        <v>21.9704967593985</v>
      </c>
      <c r="D28" s="10">
        <v>0.843682936370167</v>
      </c>
      <c r="E28" s="10">
        <v>0.99804999999999999</v>
      </c>
      <c r="F28" s="10"/>
    </row>
    <row r="29" spans="1:6">
      <c r="A29" s="10">
        <v>28</v>
      </c>
      <c r="B29" s="10">
        <v>77</v>
      </c>
      <c r="C29" s="10">
        <v>22.009405891981999</v>
      </c>
      <c r="D29" s="10">
        <v>0.83802993753066501</v>
      </c>
      <c r="E29" s="10">
        <v>0.99804000000000004</v>
      </c>
      <c r="F29" s="10"/>
    </row>
    <row r="30" spans="1:6">
      <c r="A30" s="10">
        <v>29</v>
      </c>
      <c r="B30" s="10">
        <v>78</v>
      </c>
      <c r="C30" s="10">
        <v>24.042193650801</v>
      </c>
      <c r="D30" s="10">
        <v>0.83084382000624502</v>
      </c>
      <c r="E30" s="10">
        <v>0.99863000000000002</v>
      </c>
      <c r="F30" s="10"/>
    </row>
    <row r="31" spans="1:6">
      <c r="A31" s="10">
        <v>30</v>
      </c>
      <c r="B31" s="10">
        <v>78</v>
      </c>
      <c r="C31" s="10">
        <v>24.083149242436999</v>
      </c>
      <c r="D31" s="10">
        <v>0.82366582033392899</v>
      </c>
      <c r="E31" s="10">
        <v>0.99853999999999998</v>
      </c>
      <c r="F31" s="10"/>
    </row>
    <row r="32" spans="1:6">
      <c r="A32" s="10">
        <v>31</v>
      </c>
      <c r="B32" s="10">
        <v>78</v>
      </c>
      <c r="C32" s="10">
        <v>24.025552985363198</v>
      </c>
      <c r="D32" s="10">
        <v>0.84289973502812798</v>
      </c>
      <c r="E32" s="10">
        <v>0.99809999999999999</v>
      </c>
      <c r="F32" s="10"/>
    </row>
    <row r="33" spans="1:6">
      <c r="A33" s="10">
        <v>32</v>
      </c>
      <c r="B33" s="10">
        <v>78</v>
      </c>
      <c r="C33" s="10">
        <v>24.1536704055993</v>
      </c>
      <c r="D33" s="10">
        <v>0.84053980029772601</v>
      </c>
      <c r="E33" s="10">
        <v>0.99856</v>
      </c>
      <c r="F33" s="10"/>
    </row>
    <row r="34" spans="1:6">
      <c r="A34" s="10">
        <v>33</v>
      </c>
      <c r="B34" s="10">
        <v>79</v>
      </c>
      <c r="C34" s="10">
        <v>23.5388284827856</v>
      </c>
      <c r="D34" s="10">
        <v>0.85552006397998104</v>
      </c>
      <c r="E34" s="10">
        <v>0.99868999999999997</v>
      </c>
      <c r="F34" s="10"/>
    </row>
    <row r="35" spans="1:6">
      <c r="A35" s="10">
        <v>34</v>
      </c>
      <c r="B35" s="10">
        <v>79</v>
      </c>
      <c r="C35" s="10">
        <v>23.4899352222027</v>
      </c>
      <c r="D35" s="10">
        <v>0.85842928016056097</v>
      </c>
      <c r="E35" s="10">
        <v>0.99873000000000001</v>
      </c>
      <c r="F35" s="10"/>
    </row>
    <row r="36" spans="1:6">
      <c r="A36" s="10">
        <v>35</v>
      </c>
      <c r="B36" s="10">
        <v>79</v>
      </c>
      <c r="C36" s="10">
        <v>23.4195590969824</v>
      </c>
      <c r="D36" s="10">
        <v>0.85935729633354696</v>
      </c>
      <c r="E36" s="10">
        <v>0.99885000000000002</v>
      </c>
      <c r="F36" s="10"/>
    </row>
    <row r="37" spans="1:6">
      <c r="A37" s="10">
        <v>36</v>
      </c>
      <c r="B37" s="10">
        <v>79</v>
      </c>
      <c r="C37" s="10">
        <v>23.404987305809701</v>
      </c>
      <c r="D37" s="10">
        <v>0.87282487625630201</v>
      </c>
      <c r="E37" s="10">
        <v>0.99873999999999996</v>
      </c>
      <c r="F37" s="10"/>
    </row>
    <row r="38" spans="1:6">
      <c r="A38" s="10">
        <v>37</v>
      </c>
      <c r="B38" s="10">
        <v>80</v>
      </c>
      <c r="C38" s="10">
        <v>22.9470848156123</v>
      </c>
      <c r="D38" s="10">
        <v>0.81490951467073303</v>
      </c>
      <c r="E38" s="10">
        <v>0.99861</v>
      </c>
      <c r="F38" s="10"/>
    </row>
    <row r="39" spans="1:6">
      <c r="A39" s="10">
        <v>38</v>
      </c>
      <c r="B39" s="10">
        <v>80</v>
      </c>
      <c r="C39" s="10">
        <v>23.1417379642368</v>
      </c>
      <c r="D39" s="10">
        <v>0.81959078398849905</v>
      </c>
      <c r="E39" s="10">
        <v>0.99848999999999999</v>
      </c>
      <c r="F39" s="10"/>
    </row>
    <row r="40" spans="1:6">
      <c r="A40" s="10">
        <v>39</v>
      </c>
      <c r="B40" s="10">
        <v>80</v>
      </c>
      <c r="C40" s="10">
        <v>23.0349003664174</v>
      </c>
      <c r="D40" s="10">
        <v>0.81533494600116496</v>
      </c>
      <c r="E40" s="10">
        <v>0.99868000000000001</v>
      </c>
      <c r="F40" s="10"/>
    </row>
    <row r="41" spans="1:6">
      <c r="A41" s="10">
        <v>40</v>
      </c>
      <c r="B41" s="10">
        <v>80</v>
      </c>
      <c r="C41" s="10">
        <v>23.123039111571899</v>
      </c>
      <c r="D41" s="10">
        <v>0.83590993843311201</v>
      </c>
      <c r="E41" s="10">
        <v>0.99812000000000001</v>
      </c>
      <c r="F41" s="10"/>
    </row>
    <row r="42" spans="1:6">
      <c r="A42" s="10">
        <v>41</v>
      </c>
      <c r="B42" s="10" t="s">
        <v>7</v>
      </c>
      <c r="C42" s="10">
        <v>36.406845787696</v>
      </c>
      <c r="D42" s="10">
        <v>0.46450285935195301</v>
      </c>
      <c r="E42" s="10">
        <v>0.99309000000000003</v>
      </c>
      <c r="F42" s="10"/>
    </row>
    <row r="43" spans="1:6">
      <c r="A43" s="10">
        <v>42</v>
      </c>
      <c r="B43" s="10" t="s">
        <v>7</v>
      </c>
      <c r="C43" s="10">
        <v>36.699299728472603</v>
      </c>
      <c r="D43" s="10">
        <v>0.43610395044608002</v>
      </c>
      <c r="E43" s="10">
        <v>0.99248999999999998</v>
      </c>
      <c r="F43" s="10"/>
    </row>
    <row r="44" spans="1:6">
      <c r="A44" s="10">
        <v>43</v>
      </c>
      <c r="B44" s="10" t="s">
        <v>7</v>
      </c>
      <c r="C44" s="10">
        <v>36.545678075145297</v>
      </c>
      <c r="D44" s="10">
        <v>0.44396783410353002</v>
      </c>
      <c r="E44" s="10">
        <v>0.9919</v>
      </c>
      <c r="F44" s="10"/>
    </row>
    <row r="45" spans="1:6">
      <c r="A45" s="10">
        <v>44</v>
      </c>
      <c r="B45" s="10" t="s">
        <v>7</v>
      </c>
      <c r="C45" s="10">
        <v>36.598352966899</v>
      </c>
      <c r="D45" s="10">
        <v>0.42750150668797399</v>
      </c>
      <c r="E45" s="10">
        <v>0.99019999999999997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71</v>
      </c>
      <c r="B2">
        <f>IF('177T'!C2="", "", '177T'!C2)</f>
        <v>-1</v>
      </c>
      <c r="C2">
        <f>IF('18S2'!C2="", "", '18S2'!C2)</f>
        <v>-1</v>
      </c>
      <c r="D2">
        <f>IF(RNAseP!C2="", "", RNAseP!C2)</f>
        <v>25.132843305341002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71</v>
      </c>
      <c r="B3">
        <f>IF('177T'!C3="", "", '177T'!C3)</f>
        <v>-1</v>
      </c>
      <c r="C3">
        <f>IF('18S2'!C3="", "", '18S2'!C3)</f>
        <v>-1</v>
      </c>
      <c r="D3">
        <f>IF(RNAseP!C3="", "", RNAseP!C3)</f>
        <v>25.159555700712101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71</v>
      </c>
      <c r="B4">
        <f>IF('177T'!C4="", "", '177T'!C4)</f>
        <v>-1</v>
      </c>
      <c r="C4">
        <f>IF('18S2'!C4="", "", '18S2'!C4)</f>
        <v>-1</v>
      </c>
      <c r="D4">
        <f>IF(RNAseP!C4="", "", RNAseP!C4)</f>
        <v>25.183953535542202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71</v>
      </c>
      <c r="B5">
        <f>IF('177T'!C5="", "", '177T'!C5)</f>
        <v>-1</v>
      </c>
      <c r="C5">
        <f>IF('18S2'!C5="", "", '18S2'!C5)</f>
        <v>-1</v>
      </c>
      <c r="D5">
        <f>IF(RNAseP!C5="", "", RNAseP!C5)</f>
        <v>25.1931037595199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72</v>
      </c>
      <c r="B6">
        <f>IF('177T'!C6="", "", '177T'!C6)</f>
        <v>-1</v>
      </c>
      <c r="C6">
        <f>IF('18S2'!C6="", "", '18S2'!C6)</f>
        <v>-1</v>
      </c>
      <c r="D6">
        <f>IF(RNAseP!C6="", "", RNAseP!C6)</f>
        <v>24.1907609162567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72</v>
      </c>
      <c r="B7">
        <f>IF('177T'!C7="", "", '177T'!C7)</f>
        <v>-1</v>
      </c>
      <c r="C7">
        <f>IF('18S2'!C7="", "", '18S2'!C7)</f>
        <v>-1</v>
      </c>
      <c r="D7">
        <f>IF(RNAseP!C7="", "", RNAseP!C7)</f>
        <v>24.314592850492399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72</v>
      </c>
      <c r="B8">
        <f>IF('177T'!C8="", "", '177T'!C8)</f>
        <v>-1</v>
      </c>
      <c r="C8">
        <f>IF('18S2'!C8="", "", '18S2'!C8)</f>
        <v>-1</v>
      </c>
      <c r="D8">
        <f>IF(RNAseP!C8="", "", RNAseP!C8)</f>
        <v>24.272055737710001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72</v>
      </c>
      <c r="B9">
        <f>IF('177T'!C9="", "", '177T'!C9)</f>
        <v>-1</v>
      </c>
      <c r="C9">
        <f>IF('18S2'!C9="", "", '18S2'!C9)</f>
        <v>-1</v>
      </c>
      <c r="D9">
        <f>IF(RNAseP!C9="", "", RNAseP!C9)</f>
        <v>24.126497869043298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73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23.782305283620101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73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23.7276999319729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73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23.8417379793528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73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23.697450421358798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74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31.542415207558701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0</v>
      </c>
      <c r="H14" s="3" t="str" cm="1">
        <f t="array" ref="H14">INDEX(Decision!$D$1:$D$28, MATCH(E14&amp;F14&amp;G14, Decision!$A$1:$A$28&amp;Decision!$B$1:$B$28&amp;Decision!$C$1:$C$28, 0))</f>
        <v>F</v>
      </c>
      <c r="I14" t="str" cm="1">
        <f t="array" ref="I14">INDEX(Decision!$E$1:$E$28, MATCH(E14&amp;F14&amp;G14, Decision!$A$1:$A$28&amp;Decision!$B$1:$B$28&amp;Decision!$C$1:$C$28, 0))</f>
        <v>low human DNA</v>
      </c>
    </row>
    <row r="15" spans="1:9">
      <c r="A15">
        <f>IF(AND('177T'!B15 = '18S2'!B15, '177T'!B15 = RNAseP!B15, '177T'!B15 &lt;&gt; ""), '177T'!B15, IF('177T'!B15 = "", "", "Mismatch"))</f>
        <v>74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31.667924403967799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0</v>
      </c>
      <c r="H15" s="3" t="str" cm="1">
        <f t="array" ref="H15">INDEX(Decision!$D$1:$D$28, MATCH(E15&amp;F15&amp;G15, Decision!$A$1:$A$28&amp;Decision!$B$1:$B$28&amp;Decision!$C$1:$C$28, 0))</f>
        <v>F</v>
      </c>
      <c r="I15" t="str" cm="1">
        <f t="array" ref="I15">INDEX(Decision!$E$1:$E$28, MATCH(E15&amp;F15&amp;G15, Decision!$A$1:$A$28&amp;Decision!$B$1:$B$28&amp;Decision!$C$1:$C$28, 0))</f>
        <v>low human DNA</v>
      </c>
    </row>
    <row r="16" spans="1:9">
      <c r="A16">
        <f>IF(AND('177T'!B16 = '18S2'!B16, '177T'!B16 = RNAseP!B16, '177T'!B16 &lt;&gt; ""), '177T'!B16, IF('177T'!B16 = "", "", "Mismatch"))</f>
        <v>74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32.082880090155498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0</v>
      </c>
      <c r="H16" s="3" t="str" cm="1">
        <f t="array" ref="H16">INDEX(Decision!$D$1:$D$28, MATCH(E16&amp;F16&amp;G16, Decision!$A$1:$A$28&amp;Decision!$B$1:$B$28&amp;Decision!$C$1:$C$28, 0))</f>
        <v>F</v>
      </c>
      <c r="I16" t="str" cm="1">
        <f t="array" ref="I16">INDEX(Decision!$E$1:$E$28, MATCH(E16&amp;F16&amp;G16, Decision!$A$1:$A$28&amp;Decision!$B$1:$B$28&amp;Decision!$C$1:$C$28, 0))</f>
        <v>low human DNA</v>
      </c>
    </row>
    <row r="17" spans="1:9">
      <c r="A17">
        <f>IF(AND('177T'!B17 = '18S2'!B17, '177T'!B17 = RNAseP!B17, '177T'!B17 &lt;&gt; ""), '177T'!B17, IF('177T'!B17 = "", "", "Mismatch"))</f>
        <v>74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31.686562178803101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0</v>
      </c>
      <c r="H17" s="3" t="str" cm="1">
        <f t="array" ref="H17">INDEX(Decision!$D$1:$D$28, MATCH(E17&amp;F17&amp;G17, Decision!$A$1:$A$28&amp;Decision!$B$1:$B$28&amp;Decision!$C$1:$C$28, 0))</f>
        <v>F</v>
      </c>
      <c r="I17" t="str" cm="1">
        <f t="array" ref="I17">INDEX(Decision!$E$1:$E$28, MATCH(E17&amp;F17&amp;G17, Decision!$A$1:$A$28&amp;Decision!$B$1:$B$28&amp;Decision!$C$1:$C$28, 0))</f>
        <v>low human DNA</v>
      </c>
    </row>
    <row r="18" spans="1:9">
      <c r="A18">
        <f>IF(AND('177T'!B18 = '18S2'!B18, '177T'!B18 = RNAseP!B18, '177T'!B18 &lt;&gt; ""), '177T'!B18, IF('177T'!B18 = "", "", "Mismatch"))</f>
        <v>75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27.479134480877899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75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27.511443070746601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75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27.129811544019802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75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27.043825090005601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76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23.3485178667359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76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23.4253198465229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76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23.369170851958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76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23.302222637495099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77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22.005018669382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77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22.0337875745739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77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21.9704967593985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77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22.009405891981999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78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24.042193650801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78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24.083149242436999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78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24.025552985363198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78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24.1536704055993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79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23.5388284827856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79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23.4899352222027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79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23.4195590969824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79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23.404987305809701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80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22.9470848156123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80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23.1417379642368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80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23.0349003664174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80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23.123039111571899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24.971078970376102</v>
      </c>
      <c r="C42">
        <f>IF('18S2'!C42="", "", '18S2'!C42)</f>
        <v>21.155943309687999</v>
      </c>
      <c r="D42">
        <f>IF(RNAseP!C42="", "", RNAseP!C42)</f>
        <v>36.406845787696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24.5630824221499</v>
      </c>
      <c r="C43">
        <f>IF('18S2'!C43="", "", '18S2'!C43)</f>
        <v>21.378260995899101</v>
      </c>
      <c r="D43">
        <f>IF(RNAseP!C43="", "", RNAseP!C43)</f>
        <v>36.699299728472603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24.1978393242801</v>
      </c>
      <c r="C44">
        <f>IF('18S2'!C44="", "", '18S2'!C44)</f>
        <v>21.065312208449001</v>
      </c>
      <c r="D44">
        <f>IF(RNAseP!C44="", "", RNAseP!C44)</f>
        <v>36.545678075145297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25.302394863217501</v>
      </c>
      <c r="C45">
        <f>IF('18S2'!C45="", "", '18S2'!C45)</f>
        <v>21.444939830060001</v>
      </c>
      <c r="D45">
        <f>IF(RNAseP!C45="", "", RNAseP!C45)</f>
        <v>36.598352966899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G26" sqref="G26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45840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71</v>
      </c>
      <c r="B16" s="11">
        <v>2402867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25,2 +/- 0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72</v>
      </c>
      <c r="B17" s="11">
        <v>2402789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24,2 +/- 0,1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73</v>
      </c>
      <c r="B18" s="11">
        <v>2500168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23,8 +/- 0,1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74</v>
      </c>
      <c r="B19" s="11">
        <v>2500159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F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31,7 +/- 0,2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75</v>
      </c>
      <c r="B20" s="11">
        <v>2400837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27,3 +/- 0,2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76</v>
      </c>
      <c r="B21" s="11">
        <v>2500135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23,4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77</v>
      </c>
      <c r="B22" s="11">
        <v>2500137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 +/- 0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78</v>
      </c>
      <c r="B23" s="11">
        <v>2400886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79</v>
      </c>
      <c r="B24" s="11">
        <v>2400891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23,5 +/- 0,1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80</v>
      </c>
      <c r="B25" s="11">
        <v>2402483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+/- 0,1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24,8 +/- 0,5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36,6 +/- 0,1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25" t="s">
        <v>59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24" t="s">
        <v>62</v>
      </c>
      <c r="D30" s="24"/>
      <c r="E30" s="20"/>
    </row>
    <row r="31" spans="1:12">
      <c r="A31" s="18" t="s">
        <v>20</v>
      </c>
      <c r="B31" s="18" t="s">
        <v>21</v>
      </c>
      <c r="C31" s="24" t="s">
        <v>63</v>
      </c>
      <c r="D31" s="24"/>
      <c r="E31" s="20"/>
    </row>
    <row r="32" spans="1:12">
      <c r="A32" s="18" t="s">
        <v>22</v>
      </c>
      <c r="B32" s="18" t="s">
        <v>64</v>
      </c>
      <c r="C32" s="24" t="s">
        <v>65</v>
      </c>
      <c r="D32" s="24"/>
      <c r="E32" s="20"/>
    </row>
    <row r="33" spans="1:5">
      <c r="A33" s="18" t="s">
        <v>66</v>
      </c>
      <c r="B33" s="18" t="s">
        <v>67</v>
      </c>
      <c r="C33" s="24" t="s">
        <v>68</v>
      </c>
      <c r="D33" s="24"/>
      <c r="E33" s="20"/>
    </row>
    <row r="34" spans="1:5">
      <c r="A34" s="18" t="s">
        <v>17</v>
      </c>
      <c r="B34" s="18" t="s">
        <v>69</v>
      </c>
      <c r="C34" s="24" t="s">
        <v>70</v>
      </c>
      <c r="D34" s="24"/>
      <c r="E34" s="20"/>
    </row>
    <row r="35" spans="1:5">
      <c r="A35" s="18" t="s">
        <v>71</v>
      </c>
      <c r="B35" s="18" t="s">
        <v>72</v>
      </c>
      <c r="C35" s="24" t="s">
        <v>73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71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25,2 +/- 0</v>
      </c>
    </row>
    <row r="3" spans="1:11">
      <c r="A3" s="3">
        <f>Report!A17</f>
        <v>72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24,2 +/- 0,1</v>
      </c>
    </row>
    <row r="4" spans="1:11">
      <c r="A4" s="3">
        <f>Report!A18</f>
        <v>73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23,8 +/- 0,1</v>
      </c>
    </row>
    <row r="5" spans="1:11">
      <c r="A5" s="3">
        <f>Report!A19</f>
        <v>74</v>
      </c>
      <c r="B5" s="3" t="str" cm="1">
        <f t="array" ref="B5">_xlfn.TEXTJOIN(", ", TRUE, IF(Analysis!$A$2:$A$82=A5, Analysis!$H$2:$H$82, ""))</f>
        <v>F, F, F, F</v>
      </c>
      <c r="C5" s="3" t="str" cm="1">
        <f t="array" ref="C5">_xlfn.TEXTJOIN(", ", TRUE, IF(Analysis!$A$2:$A$82=A5, Analysis!$I$2:$I$82, ""))</f>
        <v>low human DNA, low human DNA, low human DNA, low human DNA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F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31,7 +/- 0,2</v>
      </c>
    </row>
    <row r="6" spans="1:11">
      <c r="A6" s="3">
        <f>Report!A20</f>
        <v>75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27,3 +/- 0,2</v>
      </c>
    </row>
    <row r="7" spans="1:11">
      <c r="A7" s="3">
        <f>Report!A21</f>
        <v>76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23,4 +/- 0,1</v>
      </c>
      <c r="K7" s="4"/>
    </row>
    <row r="8" spans="1:11">
      <c r="A8" s="3">
        <f>Report!A22</f>
        <v>77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 +/- 0</v>
      </c>
    </row>
    <row r="9" spans="1:11">
      <c r="A9" s="3">
        <f>Report!A23</f>
        <v>78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</row>
    <row r="10" spans="1:11">
      <c r="A10" s="3">
        <f>Report!A24</f>
        <v>79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23,5 +/- 0,1</v>
      </c>
    </row>
    <row r="11" spans="1:11">
      <c r="A11" s="3">
        <f>Report!A25</f>
        <v>80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24,8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36,6 +/- 0,1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2025-07-03T08:40:13+00:00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730004-D211-4764-95F9-C460EE84679A}"/>
</file>

<file path=customXml/itemProps2.xml><?xml version="1.0" encoding="utf-8"?>
<ds:datastoreItem xmlns:ds="http://schemas.openxmlformats.org/officeDocument/2006/customXml" ds:itemID="{542C6D58-B590-4D54-87AF-93737D7C6D5F}"/>
</file>

<file path=customXml/itemProps3.xml><?xml version="1.0" encoding="utf-8"?>
<ds:datastoreItem xmlns:ds="http://schemas.openxmlformats.org/officeDocument/2006/customXml" ds:itemID="{08FEAE06-E792-42B4-9CEC-183F78612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crtdipumba</cp:lastModifiedBy>
  <cp:revision/>
  <dcterms:created xsi:type="dcterms:W3CDTF">2024-04-13T12:12:20Z</dcterms:created>
  <dcterms:modified xsi:type="dcterms:W3CDTF">2025-07-03T10:14:28Z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