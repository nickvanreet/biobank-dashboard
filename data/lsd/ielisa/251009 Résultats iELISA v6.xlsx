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6 - iELISA\0602 - Résults iELISA\"/>
    </mc:Choice>
  </mc:AlternateContent>
  <xr:revisionPtr revIDLastSave="0" documentId="13_ncr:1_{95AD25A9-A69F-4996-8FBD-607B0A89F836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ECHANTILLONS" sheetId="6" r:id="rId1"/>
    <sheet name="450-600 nm" sheetId="1" r:id="rId2"/>
    <sheet name="Résultats" sheetId="2" r:id="rId3"/>
  </sheets>
  <definedNames>
    <definedName name="_xlnm.Print_Area" localSheetId="1">'450-600 nm'!$A$1:$M$35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C8" i="2"/>
  <c r="C7" i="2"/>
  <c r="C6" i="2"/>
  <c r="C5" i="2"/>
  <c r="G5" i="1"/>
  <c r="H5" i="1"/>
  <c r="C8" i="1"/>
  <c r="C7" i="1"/>
  <c r="C6" i="1"/>
  <c r="C5" i="1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14" i="2"/>
  <c r="B24" i="1" l="1"/>
  <c r="E31" i="1" s="1"/>
  <c r="D24" i="1"/>
  <c r="H24" i="1"/>
  <c r="J24" i="1"/>
  <c r="H34" i="1" l="1"/>
  <c r="F52" i="2" s="1"/>
  <c r="G52" i="2" s="1"/>
  <c r="M27" i="1"/>
  <c r="F15" i="2" s="1"/>
  <c r="G15" i="2" s="1"/>
  <c r="L27" i="1"/>
  <c r="F14" i="2" s="1"/>
  <c r="G14" i="2" s="1"/>
  <c r="F24" i="1"/>
  <c r="B33" i="1"/>
  <c r="D46" i="2" s="1"/>
  <c r="E46" i="2" s="1"/>
  <c r="B34" i="1"/>
  <c r="D52" i="2" s="1"/>
  <c r="E52" i="2" s="1"/>
  <c r="F29" i="1"/>
  <c r="D26" i="2" s="1"/>
  <c r="E26" i="2" s="1"/>
  <c r="F31" i="1"/>
  <c r="D38" i="2" s="1"/>
  <c r="E38" i="2" s="1"/>
  <c r="C30" i="1"/>
  <c r="D29" i="2" s="1"/>
  <c r="E29" i="2" s="1"/>
  <c r="C31" i="1"/>
  <c r="D35" i="2" s="1"/>
  <c r="E35" i="2" s="1"/>
  <c r="G28" i="1"/>
  <c r="D21" i="2" s="1"/>
  <c r="E21" i="2" s="1"/>
  <c r="D28" i="1"/>
  <c r="D18" i="2" s="1"/>
  <c r="E18" i="2" s="1"/>
  <c r="G31" i="1"/>
  <c r="D39" i="2" s="1"/>
  <c r="E39" i="2" s="1"/>
  <c r="G29" i="1"/>
  <c r="D27" i="2" s="1"/>
  <c r="E27" i="2" s="1"/>
  <c r="F27" i="1"/>
  <c r="D14" i="2" s="1"/>
  <c r="E14" i="2" s="1"/>
  <c r="H14" i="2" s="1"/>
  <c r="D33" i="1"/>
  <c r="D48" i="2" s="1"/>
  <c r="E48" i="2" s="1"/>
  <c r="C34" i="1"/>
  <c r="D53" i="2" s="1"/>
  <c r="E53" i="2" s="1"/>
  <c r="C33" i="1"/>
  <c r="D47" i="2" s="1"/>
  <c r="E47" i="2" s="1"/>
  <c r="F32" i="1"/>
  <c r="D44" i="2" s="1"/>
  <c r="E44" i="2" s="1"/>
  <c r="F34" i="1"/>
  <c r="D56" i="2" s="1"/>
  <c r="E56" i="2" s="1"/>
  <c r="D31" i="1"/>
  <c r="D36" i="2" s="1"/>
  <c r="E36" i="2" s="1"/>
  <c r="C29" i="1"/>
  <c r="D23" i="2" s="1"/>
  <c r="E23" i="2" s="1"/>
  <c r="F33" i="1"/>
  <c r="D50" i="2" s="1"/>
  <c r="E50" i="2" s="1"/>
  <c r="G30" i="1"/>
  <c r="D33" i="2" s="1"/>
  <c r="E33" i="2" s="1"/>
  <c r="K33" i="1"/>
  <c r="F49" i="2" s="1"/>
  <c r="G49" i="2" s="1"/>
  <c r="E34" i="1"/>
  <c r="D55" i="2" s="1"/>
  <c r="E55" i="2" s="1"/>
  <c r="G33" i="1"/>
  <c r="D51" i="2" s="1"/>
  <c r="E51" i="2" s="1"/>
  <c r="B30" i="1"/>
  <c r="D28" i="2" s="1"/>
  <c r="E28" i="2" s="1"/>
  <c r="D30" i="1"/>
  <c r="D30" i="2" s="1"/>
  <c r="E30" i="2" s="1"/>
  <c r="B32" i="1"/>
  <c r="D40" i="2" s="1"/>
  <c r="E40" i="2" s="1"/>
  <c r="G34" i="1"/>
  <c r="D57" i="2" s="1"/>
  <c r="E57" i="2" s="1"/>
  <c r="K30" i="1"/>
  <c r="F31" i="2" s="1"/>
  <c r="G31" i="2" s="1"/>
  <c r="M31" i="1"/>
  <c r="F39" i="2" s="1"/>
  <c r="G39" i="2" s="1"/>
  <c r="E28" i="1"/>
  <c r="D19" i="2" s="1"/>
  <c r="E19" i="2" s="1"/>
  <c r="D34" i="1"/>
  <c r="D54" i="2" s="1"/>
  <c r="E54" i="2" s="1"/>
  <c r="B28" i="1"/>
  <c r="D16" i="2" s="1"/>
  <c r="E16" i="2" s="1"/>
  <c r="L31" i="1"/>
  <c r="F38" i="2" s="1"/>
  <c r="G38" i="2" s="1"/>
  <c r="E29" i="1"/>
  <c r="D25" i="2" s="1"/>
  <c r="E25" i="2" s="1"/>
  <c r="G27" i="1"/>
  <c r="D15" i="2" s="1"/>
  <c r="E15" i="2" s="1"/>
  <c r="C28" i="1"/>
  <c r="D17" i="2" s="1"/>
  <c r="E17" i="2" s="1"/>
  <c r="H17" i="2" s="1"/>
  <c r="I28" i="1"/>
  <c r="F17" i="2" s="1"/>
  <c r="G17" i="2" s="1"/>
  <c r="H33" i="1"/>
  <c r="F46" i="2" s="1"/>
  <c r="G46" i="2" s="1"/>
  <c r="L29" i="1"/>
  <c r="F26" i="2" s="1"/>
  <c r="G26" i="2" s="1"/>
  <c r="M33" i="1"/>
  <c r="F51" i="2" s="1"/>
  <c r="G51" i="2" s="1"/>
  <c r="J29" i="1"/>
  <c r="F24" i="2" s="1"/>
  <c r="G24" i="2" s="1"/>
  <c r="H31" i="1"/>
  <c r="F34" i="2" s="1"/>
  <c r="G34" i="2" s="1"/>
  <c r="D29" i="1"/>
  <c r="D24" i="2" s="1"/>
  <c r="E24" i="2" s="1"/>
  <c r="H24" i="2" s="1"/>
  <c r="B31" i="1"/>
  <c r="D34" i="2" s="1"/>
  <c r="E34" i="2" s="1"/>
  <c r="H34" i="2" s="1"/>
  <c r="C32" i="1"/>
  <c r="D41" i="2" s="1"/>
  <c r="E41" i="2" s="1"/>
  <c r="E32" i="1"/>
  <c r="D43" i="2" s="1"/>
  <c r="E43" i="2" s="1"/>
  <c r="F28" i="1"/>
  <c r="D20" i="2" s="1"/>
  <c r="E20" i="2" s="1"/>
  <c r="L30" i="1"/>
  <c r="F32" i="2" s="1"/>
  <c r="G32" i="2" s="1"/>
  <c r="B29" i="1"/>
  <c r="D22" i="2" s="1"/>
  <c r="E22" i="2" s="1"/>
  <c r="E30" i="1"/>
  <c r="D31" i="2" s="1"/>
  <c r="E31" i="2" s="1"/>
  <c r="F30" i="1"/>
  <c r="D32" i="2" s="1"/>
  <c r="E32" i="2" s="1"/>
  <c r="H32" i="2" s="1"/>
  <c r="D32" i="1"/>
  <c r="D42" i="2" s="1"/>
  <c r="E42" i="2" s="1"/>
  <c r="G32" i="1"/>
  <c r="D45" i="2" s="1"/>
  <c r="E45" i="2" s="1"/>
  <c r="E33" i="1"/>
  <c r="D49" i="2" s="1"/>
  <c r="E49" i="2" s="1"/>
  <c r="H49" i="2" s="1"/>
  <c r="I34" i="1"/>
  <c r="F53" i="2" s="1"/>
  <c r="G53" i="2" s="1"/>
  <c r="M34" i="1"/>
  <c r="F57" i="2" s="1"/>
  <c r="G57" i="2" s="1"/>
  <c r="I33" i="1"/>
  <c r="F47" i="2" s="1"/>
  <c r="G47" i="2" s="1"/>
  <c r="L28" i="1"/>
  <c r="F20" i="2" s="1"/>
  <c r="G20" i="2" s="1"/>
  <c r="M30" i="1"/>
  <c r="F33" i="2" s="1"/>
  <c r="G33" i="2" s="1"/>
  <c r="K34" i="1"/>
  <c r="F55" i="2" s="1"/>
  <c r="G55" i="2" s="1"/>
  <c r="J31" i="1"/>
  <c r="F36" i="2" s="1"/>
  <c r="G36" i="2" s="1"/>
  <c r="K28" i="1"/>
  <c r="F19" i="2" s="1"/>
  <c r="G19" i="2" s="1"/>
  <c r="K29" i="1"/>
  <c r="F25" i="2" s="1"/>
  <c r="G25" i="2" s="1"/>
  <c r="M32" i="1"/>
  <c r="F45" i="2" s="1"/>
  <c r="G45" i="2" s="1"/>
  <c r="I32" i="1"/>
  <c r="F41" i="2" s="1"/>
  <c r="G41" i="2" s="1"/>
  <c r="M29" i="1"/>
  <c r="F27" i="2" s="1"/>
  <c r="G27" i="2" s="1"/>
  <c r="L32" i="1"/>
  <c r="F44" i="2" s="1"/>
  <c r="G44" i="2" s="1"/>
  <c r="K31" i="1"/>
  <c r="F37" i="2" s="1"/>
  <c r="G37" i="2" s="1"/>
  <c r="H32" i="1"/>
  <c r="F40" i="2" s="1"/>
  <c r="G40" i="2" s="1"/>
  <c r="J32" i="1"/>
  <c r="F42" i="2" s="1"/>
  <c r="G42" i="2" s="1"/>
  <c r="L34" i="1"/>
  <c r="F56" i="2" s="1"/>
  <c r="G56" i="2" s="1"/>
  <c r="J28" i="1"/>
  <c r="F18" i="2" s="1"/>
  <c r="G18" i="2" s="1"/>
  <c r="J33" i="1"/>
  <c r="F48" i="2" s="1"/>
  <c r="G48" i="2" s="1"/>
  <c r="L33" i="1"/>
  <c r="F50" i="2" s="1"/>
  <c r="G50" i="2" s="1"/>
  <c r="H30" i="1"/>
  <c r="F28" i="2" s="1"/>
  <c r="G28" i="2" s="1"/>
  <c r="H28" i="1"/>
  <c r="F16" i="2" s="1"/>
  <c r="G16" i="2" s="1"/>
  <c r="I31" i="1"/>
  <c r="F35" i="2" s="1"/>
  <c r="G35" i="2" s="1"/>
  <c r="M28" i="1"/>
  <c r="F21" i="2" s="1"/>
  <c r="G21" i="2" s="1"/>
  <c r="H29" i="1"/>
  <c r="F22" i="2" s="1"/>
  <c r="G22" i="2" s="1"/>
  <c r="L24" i="1"/>
  <c r="J34" i="1"/>
  <c r="F54" i="2" s="1"/>
  <c r="G54" i="2" s="1"/>
  <c r="K32" i="1"/>
  <c r="F43" i="2" s="1"/>
  <c r="G43" i="2" s="1"/>
  <c r="I30" i="1"/>
  <c r="F29" i="2" s="1"/>
  <c r="G29" i="2" s="1"/>
  <c r="J30" i="1"/>
  <c r="F30" i="2" s="1"/>
  <c r="G30" i="2" s="1"/>
  <c r="I29" i="1"/>
  <c r="F23" i="2" s="1"/>
  <c r="G23" i="2" s="1"/>
  <c r="D37" i="2"/>
  <c r="E37" i="2" s="1"/>
  <c r="H33" i="2" l="1"/>
  <c r="H48" i="2"/>
  <c r="H38" i="2"/>
  <c r="H43" i="2"/>
  <c r="H55" i="2"/>
  <c r="H47" i="2"/>
  <c r="H35" i="2"/>
  <c r="H37" i="2"/>
  <c r="H15" i="2"/>
  <c r="H57" i="2"/>
  <c r="H50" i="2"/>
  <c r="H26" i="2"/>
  <c r="H42" i="2"/>
  <c r="H25" i="2"/>
  <c r="H40" i="2"/>
  <c r="H23" i="2"/>
  <c r="H27" i="2"/>
  <c r="H52" i="2"/>
  <c r="H31" i="2"/>
  <c r="H22" i="2"/>
  <c r="H30" i="2"/>
  <c r="H36" i="2"/>
  <c r="H39" i="2"/>
  <c r="H46" i="2"/>
  <c r="H16" i="2"/>
  <c r="H28" i="2"/>
  <c r="H56" i="2"/>
  <c r="H18" i="2"/>
  <c r="H19" i="2"/>
  <c r="H20" i="2"/>
  <c r="H54" i="2"/>
  <c r="H51" i="2"/>
  <c r="H44" i="2"/>
  <c r="H21" i="2"/>
  <c r="H45" i="2"/>
  <c r="H41" i="2"/>
  <c r="H53" i="2"/>
  <c r="H29" i="2"/>
</calcChain>
</file>

<file path=xl/sharedStrings.xml><?xml version="1.0" encoding="utf-8"?>
<sst xmlns="http://schemas.openxmlformats.org/spreadsheetml/2006/main" count="195" uniqueCount="90">
  <si>
    <r>
      <rPr>
        <b/>
        <i/>
        <u/>
        <sz val="14"/>
        <color theme="1"/>
        <rFont val="Arial"/>
        <family val="2"/>
      </rPr>
      <t>Trypanosoma brucei gambiense</t>
    </r>
    <r>
      <rPr>
        <b/>
        <u/>
        <sz val="14"/>
        <color theme="1"/>
        <rFont val="Arial"/>
        <family val="2"/>
      </rPr>
      <t xml:space="preserve"> inhibition ELISA (iELISA)</t>
    </r>
  </si>
  <si>
    <t>Formulaire d'identification des échantillons</t>
  </si>
  <si>
    <t>Date de preparation</t>
  </si>
  <si>
    <t>Operateur</t>
  </si>
  <si>
    <t>Numéro du lot iELISA</t>
  </si>
  <si>
    <t>N de seriés d'échantillons</t>
  </si>
  <si>
    <t>Étude/origin</t>
  </si>
  <si>
    <t>N° échantillon dans la microplaque</t>
  </si>
  <si>
    <t>Numéro labo</t>
  </si>
  <si>
    <t>Code-barres KPS</t>
  </si>
  <si>
    <t>Commentaire (en cas de problème ou irregularité)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</si>
  <si>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</si>
  <si>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</si>
  <si>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</si>
  <si>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</si>
  <si>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</si>
  <si>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</si>
  <si>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</si>
  <si>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</si>
  <si>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</si>
  <si>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</si>
  <si>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</si>
  <si>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</si>
  <si>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</si>
  <si>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</si>
  <si>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</si>
  <si>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</si>
  <si>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</si>
  <si>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</si>
  <si>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</si>
  <si>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</si>
  <si>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</si>
  <si>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</si>
  <si>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</si>
  <si>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</si>
  <si>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</si>
  <si>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</si>
  <si>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</si>
  <si>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</si>
  <si>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</si>
  <si>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</si>
  <si>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</si>
  <si>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</si>
  <si>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</si>
  <si>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</si>
  <si>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</si>
  <si>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</si>
  <si>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</si>
  <si>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</si>
  <si>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</si>
  <si>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</si>
  <si>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</si>
  <si>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</si>
  <si>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</si>
  <si>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</si>
  <si>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iELISA (apDIA)</t>
    </r>
  </si>
  <si>
    <t>Résultats brutes</t>
  </si>
  <si>
    <t xml:space="preserve">Date </t>
  </si>
  <si>
    <t>Etude</t>
  </si>
  <si>
    <t>Opérateur</t>
  </si>
  <si>
    <t>N° du Lot</t>
  </si>
  <si>
    <t>N° de la plaque</t>
  </si>
  <si>
    <t>Filtre (nm)</t>
  </si>
  <si>
    <t>450-600 nm</t>
  </si>
  <si>
    <t>A</t>
  </si>
  <si>
    <t>B</t>
  </si>
  <si>
    <t>C</t>
  </si>
  <si>
    <t>D</t>
  </si>
  <si>
    <t>E</t>
  </si>
  <si>
    <t>F</t>
  </si>
  <si>
    <t>G</t>
  </si>
  <si>
    <t>H</t>
  </si>
  <si>
    <t>LiTat 1.3</t>
  </si>
  <si>
    <t>LiTat 1.5</t>
  </si>
  <si>
    <t>Moyenne contrôle nég LiTat 1.3</t>
  </si>
  <si>
    <t>Moyenne contrôle pos LiTat 1.3</t>
  </si>
  <si>
    <t>PI CP LiTat 1.3</t>
  </si>
  <si>
    <t>Moyenne contrôle nég LiTat 1.5</t>
  </si>
  <si>
    <t>Moyenne contrôle pos LiTat 1.5</t>
  </si>
  <si>
    <t>PI C pos LiTat 1.5</t>
  </si>
  <si>
    <t>Formulaire des résultats</t>
  </si>
  <si>
    <t>Date de préparation</t>
  </si>
  <si>
    <t>Cut off</t>
  </si>
  <si>
    <t>N° du lot du kit</t>
  </si>
  <si>
    <t>Etude/origine</t>
  </si>
  <si>
    <t>Résultat final</t>
  </si>
  <si>
    <t>Pourcentage d'inhibition</t>
  </si>
  <si>
    <t>Résultat</t>
  </si>
  <si>
    <t>Commentaire (en cas de problème ou irrégularité)</t>
  </si>
  <si>
    <t>Validation (Echec/Valide)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</si>
</sst>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u/>
      <sz val="14"/>
      <color theme="1"/>
      <name val="Arial"/>
      <family val="2"/>
    </font>
    <font>
      <b/>
      <i/>
      <u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darkGray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0" fontId="0" fillId="0" borderId="0" xfId="0" quotePrefix="1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1" fillId="0" borderId="1" xfId="0" applyFont="1" applyBorder="1"/>
    <xf numFmtId="164" fontId="0" fillId="3" borderId="1" xfId="0" applyNumberFormat="1" applyFill="1" applyBorder="1"/>
    <xf numFmtId="0" fontId="0" fillId="6" borderId="1" xfId="0" applyFill="1" applyBorder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7" fillId="0" borderId="0" xfId="0" applyFont="1"/>
    <xf numFmtId="14" fontId="5" fillId="7" borderId="1" xfId="0" applyNumberFormat="1" applyFont="1" applyFill="1" applyBorder="1" applyAlignment="1" applyProtection="1">
      <alignment horizontal="center" vertical="center"/>
      <protection locked="0"/>
    </xf>
    <xf numFmtId="165" fontId="0" fillId="8" borderId="0" xfId="0" applyNumberFormat="1" applyFill="1" applyProtection="1">
      <protection locked="0"/>
    </xf>
    <xf numFmtId="0" fontId="5" fillId="7" borderId="1" xfId="0" applyFont="1" applyFill="1" applyBorder="1" applyAlignment="1" applyProtection="1">
      <alignment horizontal="center" vertical="center"/>
      <protection locked="0"/>
    </xf>
    <xf numFmtId="0" fontId="7" fillId="7" borderId="1" xfId="0" applyFont="1" applyFill="1" applyBorder="1" applyAlignment="1" applyProtection="1">
      <alignment horizontal="center" vertical="center" wrapText="1"/>
      <protection locked="0"/>
    </xf>
    <xf numFmtId="1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5" xfId="0" applyFont="1" applyBorder="1"/>
    <xf numFmtId="0" fontId="4" fillId="8" borderId="4" xfId="0" applyFont="1" applyFill="1" applyBorder="1"/>
    <xf numFmtId="0" fontId="2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4" fillId="8" borderId="2" xfId="0" applyFont="1" applyFill="1" applyBorder="1" applyAlignment="1">
      <alignment horizontal="left" vertical="center"/>
    </xf>
    <xf numFmtId="0" fontId="4" fillId="8" borderId="3" xfId="0" applyFont="1" applyFill="1" applyBorder="1"/>
    <xf numFmtId="0" fontId="4" fillId="0" borderId="9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10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4" fillId="8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/>
    <xf numFmtId="0" fontId="4" fillId="3" borderId="7" xfId="0" applyFont="1" applyFill="1" applyBorder="1" applyAlignment="1">
      <alignment horizontal="left"/>
    </xf>
    <xf numFmtId="164" fontId="11" fillId="3" borderId="7" xfId="0" applyNumberFormat="1" applyFont="1" applyFill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horizontal="left"/>
    </xf>
    <xf numFmtId="164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9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164" fontId="1" fillId="5" borderId="2" xfId="0" applyNumberFormat="1" applyFont="1" applyFill="1" applyBorder="1" applyAlignment="1">
      <alignment horizontal="center" vertical="center"/>
    </xf>
    <xf numFmtId="164" fontId="1" fillId="5" borderId="4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5" fontId="1" fillId="5" borderId="2" xfId="0" applyNumberFormat="1" applyFont="1" applyFill="1" applyBorder="1" applyAlignment="1">
      <alignment horizontal="center" vertical="center"/>
    </xf>
    <xf numFmtId="165" fontId="1" fillId="5" borderId="4" xfId="0" applyNumberFormat="1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 wrapText="1"/>
    </xf>
  </cellXfs>
  <cellStyles count="1">
    <cellStyle name="Standaard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opLeftCell="A11" zoomScaleNormal="100" workbookViewId="0">
      <selection activeCell="B15" sqref="B15:B58"/>
    </sheetView>
  </sheetViews>
  <sheetFormatPr defaultColWidth="9.140625" defaultRowHeight="15"/>
  <cols>
    <col min="1" max="1" width="20.28515625" style="11" customWidth="1"/>
    <col min="2" max="2" width="13.85546875" style="11" customWidth="1"/>
    <col min="3" max="3" width="22.85546875" style="11" customWidth="1"/>
    <col min="4" max="4" width="54.5703125" style="11" customWidth="1"/>
    <col min="5" max="5" width="8.7109375" style="11"/>
  </cols>
  <sheetData>
    <row r="1" spans="1:5" ht="18.75">
      <c r="A1" s="56" t="s">
        <v>0</v>
      </c>
      <c r="B1" s="56"/>
      <c r="C1" s="56"/>
      <c r="D1" s="56"/>
    </row>
    <row r="3" spans="1:5" ht="18">
      <c r="A3" s="12" t="s">
        <v>1</v>
      </c>
      <c r="B3" s="12"/>
    </row>
    <row r="6" spans="1:5">
      <c r="A6" s="16" t="s">
        <v>2</v>
      </c>
      <c r="B6" s="16"/>
      <c r="C6" s="17"/>
    </row>
    <row r="7" spans="1:5">
      <c r="A7" s="16" t="s">
        <v>3</v>
      </c>
      <c r="B7" s="16"/>
      <c r="C7" s="19"/>
    </row>
    <row r="8" spans="1:5">
      <c r="A8" s="16" t="s">
        <v>4</v>
      </c>
      <c r="B8" s="16"/>
      <c r="C8" s="19">
        <v>3915223</v>
      </c>
    </row>
    <row r="9" spans="1:5">
      <c r="A9" s="16" t="s">
        <v>5</v>
      </c>
      <c r="B9" s="16"/>
      <c r="C9" s="19"/>
    </row>
    <row r="10" spans="1:5">
      <c r="A10" s="16" t="s">
        <v>6</v>
      </c>
      <c r="B10" s="16"/>
      <c r="C10" s="19"/>
    </row>
    <row r="11" spans="1:5">
      <c r="A11" s="16"/>
      <c r="B11" s="16"/>
    </row>
    <row r="14" spans="1:5" ht="27.95" customHeight="1">
      <c r="A14" s="13" t="s">
        <v>7</v>
      </c>
      <c r="B14" s="13" t="s">
        <v>8</v>
      </c>
      <c r="C14" s="13" t="s">
        <v>9</v>
      </c>
      <c r="D14" s="13" t="s">
        <v>10</v>
      </c>
      <c r="E14" s="14"/>
    </row>
    <row r="15" spans="1:5" ht="20.45" customHeight="1">
      <c r="A15" s="15" t="s">
        <v>11</v>
      </c>
      <c r="B15" s="19">
        <v>177</v>
      </c>
      <c r="C15" s="19">
        <v>2501248</v>
      </c>
      <c r="D15" s="20"/>
      <c r="E15" s="14"/>
    </row>
    <row r="16" spans="1:5" ht="20.100000000000001" customHeight="1">
      <c r="A16" s="15" t="s">
        <v>12</v>
      </c>
      <c r="B16" s="19">
        <v>178</v>
      </c>
      <c r="C16" s="19">
        <v>2501295</v>
      </c>
      <c r="D16" s="20"/>
      <c r="E16" s="14"/>
    </row>
    <row r="17" spans="1:5" ht="20.45" customHeight="1">
      <c r="A17" s="15" t="s">
        <v>13</v>
      </c>
      <c r="B17" s="19">
        <v>179</v>
      </c>
      <c r="C17" s="19">
        <v>2501225</v>
      </c>
      <c r="D17" s="20"/>
      <c r="E17" s="14"/>
    </row>
    <row r="18" spans="1:5" ht="20.45" customHeight="1">
      <c r="A18" s="15" t="s">
        <v>14</v>
      </c>
      <c r="B18" s="19">
        <v>180</v>
      </c>
      <c r="C18" s="19">
        <v>2501292</v>
      </c>
      <c r="D18" s="20"/>
      <c r="E18" s="14"/>
    </row>
    <row r="19" spans="1:5" ht="20.45" customHeight="1">
      <c r="A19" s="15" t="s">
        <v>15</v>
      </c>
      <c r="B19" s="19">
        <v>181</v>
      </c>
      <c r="C19" s="19">
        <v>2501913</v>
      </c>
      <c r="D19" s="20"/>
      <c r="E19" s="14"/>
    </row>
    <row r="20" spans="1:5" ht="20.45" customHeight="1">
      <c r="A20" s="15" t="s">
        <v>16</v>
      </c>
      <c r="B20" s="19">
        <v>182</v>
      </c>
      <c r="C20" s="19">
        <v>2501960</v>
      </c>
      <c r="D20" s="20"/>
      <c r="E20" s="14"/>
    </row>
    <row r="21" spans="1:5" ht="20.45" customHeight="1">
      <c r="A21" s="15" t="s">
        <v>17</v>
      </c>
      <c r="B21" s="19">
        <v>183</v>
      </c>
      <c r="C21" s="19">
        <v>2501955</v>
      </c>
      <c r="D21" s="20"/>
      <c r="E21" s="14"/>
    </row>
    <row r="22" spans="1:5" ht="20.45" customHeight="1">
      <c r="A22" s="15" t="s">
        <v>18</v>
      </c>
      <c r="B22" s="19">
        <v>184</v>
      </c>
      <c r="C22" s="19">
        <v>2501968</v>
      </c>
      <c r="D22" s="20"/>
      <c r="E22" s="14"/>
    </row>
    <row r="23" spans="1:5" ht="23.1" customHeight="1">
      <c r="A23" s="15" t="s">
        <v>19</v>
      </c>
      <c r="B23" s="19">
        <v>185</v>
      </c>
      <c r="C23" s="19">
        <v>2501922</v>
      </c>
      <c r="D23" s="20"/>
      <c r="E23" s="14"/>
    </row>
    <row r="24" spans="1:5" ht="20.45" customHeight="1">
      <c r="A24" s="15" t="s">
        <v>20</v>
      </c>
      <c r="B24" s="19">
        <v>186</v>
      </c>
      <c r="C24" s="19">
        <v>2501925</v>
      </c>
      <c r="D24" s="20"/>
      <c r="E24" s="14"/>
    </row>
    <row r="25" spans="1:5" ht="20.45" customHeight="1">
      <c r="A25" s="15" t="s">
        <v>21</v>
      </c>
      <c r="B25" s="19">
        <v>187</v>
      </c>
      <c r="C25" s="19">
        <v>2402967</v>
      </c>
      <c r="D25" s="20"/>
      <c r="E25" s="14"/>
    </row>
    <row r="26" spans="1:5" ht="20.45" customHeight="1">
      <c r="A26" s="15" t="s">
        <v>22</v>
      </c>
      <c r="B26" s="19">
        <v>188</v>
      </c>
      <c r="C26" s="19">
        <v>2501927</v>
      </c>
      <c r="D26" s="20"/>
      <c r="E26" s="14"/>
    </row>
    <row r="27" spans="1:5" ht="20.45" customHeight="1">
      <c r="A27" s="15" t="s">
        <v>23</v>
      </c>
      <c r="B27" s="19">
        <v>189</v>
      </c>
      <c r="C27" s="19">
        <v>2400333</v>
      </c>
      <c r="D27" s="20"/>
      <c r="E27" s="14"/>
    </row>
    <row r="28" spans="1:5" ht="20.45" customHeight="1">
      <c r="A28" s="15" t="s">
        <v>24</v>
      </c>
      <c r="B28" s="19">
        <v>190</v>
      </c>
      <c r="C28" s="19">
        <v>2502158</v>
      </c>
      <c r="D28" s="20"/>
      <c r="E28" s="14"/>
    </row>
    <row r="29" spans="1:5" ht="20.45" customHeight="1">
      <c r="A29" s="15" t="s">
        <v>25</v>
      </c>
      <c r="B29" s="19">
        <v>191</v>
      </c>
      <c r="C29" s="19">
        <v>2501888</v>
      </c>
      <c r="D29" s="20"/>
      <c r="E29" s="14"/>
    </row>
    <row r="30" spans="1:5" ht="20.45" customHeight="1">
      <c r="A30" s="15" t="s">
        <v>26</v>
      </c>
      <c r="B30" s="19">
        <v>192</v>
      </c>
      <c r="C30" s="19">
        <v>2501897</v>
      </c>
      <c r="D30" s="20"/>
      <c r="E30" s="14"/>
    </row>
    <row r="31" spans="1:5" ht="20.100000000000001" customHeight="1">
      <c r="A31" s="15" t="s">
        <v>27</v>
      </c>
      <c r="B31" s="19">
        <v>193</v>
      </c>
      <c r="C31" s="19">
        <v>2402279</v>
      </c>
      <c r="D31" s="20"/>
      <c r="E31" s="14"/>
    </row>
    <row r="32" spans="1:5" ht="20.45" customHeight="1">
      <c r="A32" s="15" t="s">
        <v>28</v>
      </c>
      <c r="B32" s="19">
        <v>194</v>
      </c>
      <c r="C32" s="19">
        <v>2402278</v>
      </c>
      <c r="D32" s="20"/>
      <c r="E32" s="14"/>
    </row>
    <row r="33" spans="1:5" ht="20.45" customHeight="1">
      <c r="A33" s="15" t="s">
        <v>29</v>
      </c>
      <c r="B33" s="19">
        <v>195</v>
      </c>
      <c r="C33" s="19">
        <v>2402282</v>
      </c>
      <c r="D33" s="20"/>
      <c r="E33" s="14"/>
    </row>
    <row r="34" spans="1:5" ht="20.45" customHeight="1">
      <c r="A34" s="15" t="s">
        <v>30</v>
      </c>
      <c r="B34" s="19">
        <v>196</v>
      </c>
      <c r="C34" s="19">
        <v>2402288</v>
      </c>
      <c r="D34" s="20"/>
      <c r="E34" s="14"/>
    </row>
    <row r="35" spans="1:5" ht="20.45" customHeight="1">
      <c r="A35" s="15" t="s">
        <v>31</v>
      </c>
      <c r="B35" s="19">
        <v>197</v>
      </c>
      <c r="C35" s="19">
        <v>2402777</v>
      </c>
      <c r="D35" s="20"/>
      <c r="E35" s="14"/>
    </row>
    <row r="36" spans="1:5" ht="20.45" customHeight="1">
      <c r="A36" s="15" t="s">
        <v>32</v>
      </c>
      <c r="B36" s="19">
        <v>198</v>
      </c>
      <c r="C36" s="19">
        <v>2500026</v>
      </c>
      <c r="D36" s="20"/>
      <c r="E36" s="14"/>
    </row>
    <row r="37" spans="1:5" ht="20.45" customHeight="1">
      <c r="A37" s="15" t="s">
        <v>33</v>
      </c>
      <c r="B37" s="19">
        <v>199</v>
      </c>
      <c r="C37" s="19">
        <v>2400839</v>
      </c>
      <c r="D37" s="20"/>
      <c r="E37" s="14"/>
    </row>
    <row r="38" spans="1:5" ht="20.100000000000001" customHeight="1">
      <c r="A38" s="15" t="s">
        <v>34</v>
      </c>
      <c r="B38" s="19">
        <v>200</v>
      </c>
      <c r="C38" s="19">
        <v>2400825</v>
      </c>
      <c r="D38" s="20"/>
      <c r="E38" s="14"/>
    </row>
    <row r="39" spans="1:5" ht="20.100000000000001" customHeight="1">
      <c r="A39" s="15" t="s">
        <v>35</v>
      </c>
      <c r="B39" s="19">
        <v>201</v>
      </c>
      <c r="C39" s="19">
        <v>2501972</v>
      </c>
      <c r="D39" s="20"/>
      <c r="E39" s="14"/>
    </row>
    <row r="40" spans="1:5" ht="20.45" customHeight="1">
      <c r="A40" s="15" t="s">
        <v>36</v>
      </c>
      <c r="B40" s="19">
        <v>202</v>
      </c>
      <c r="C40" s="19">
        <v>2501321</v>
      </c>
      <c r="D40" s="20"/>
      <c r="E40" s="14"/>
    </row>
    <row r="41" spans="1:5" ht="20.100000000000001" customHeight="1">
      <c r="A41" s="15" t="s">
        <v>37</v>
      </c>
      <c r="B41" s="19">
        <v>203</v>
      </c>
      <c r="C41" s="19">
        <v>2501176</v>
      </c>
      <c r="D41" s="20"/>
      <c r="E41" s="14"/>
    </row>
    <row r="42" spans="1:5" ht="20.45" customHeight="1">
      <c r="A42" s="15" t="s">
        <v>38</v>
      </c>
      <c r="B42" s="19">
        <v>204</v>
      </c>
      <c r="C42" s="19">
        <v>2501168</v>
      </c>
      <c r="D42" s="20"/>
      <c r="E42" s="14"/>
    </row>
    <row r="43" spans="1:5" ht="20.45" customHeight="1">
      <c r="A43" s="15" t="s">
        <v>39</v>
      </c>
      <c r="B43" s="19">
        <v>205</v>
      </c>
      <c r="C43" s="19">
        <v>2501886</v>
      </c>
      <c r="D43" s="20"/>
      <c r="E43" s="14"/>
    </row>
    <row r="44" spans="1:5" ht="20.45" customHeight="1">
      <c r="A44" s="15" t="s">
        <v>40</v>
      </c>
      <c r="B44" s="19">
        <v>206</v>
      </c>
      <c r="C44" s="19">
        <v>2501885</v>
      </c>
      <c r="D44" s="20"/>
      <c r="E44" s="14"/>
    </row>
    <row r="45" spans="1:5" ht="20.45" customHeight="1">
      <c r="A45" s="15" t="s">
        <v>41</v>
      </c>
      <c r="B45" s="19">
        <v>207</v>
      </c>
      <c r="C45" s="19">
        <v>2501901</v>
      </c>
      <c r="D45" s="20"/>
      <c r="E45" s="14"/>
    </row>
    <row r="46" spans="1:5" ht="20.45" customHeight="1">
      <c r="A46" s="15" t="s">
        <v>42</v>
      </c>
      <c r="B46" s="19">
        <v>208</v>
      </c>
      <c r="C46" s="19">
        <v>2402797</v>
      </c>
      <c r="D46" s="20"/>
      <c r="E46" s="14"/>
    </row>
    <row r="47" spans="1:5" ht="20.45" customHeight="1">
      <c r="A47" s="15" t="s">
        <v>43</v>
      </c>
      <c r="B47" s="19">
        <v>209</v>
      </c>
      <c r="C47" s="19">
        <v>2500040</v>
      </c>
      <c r="D47" s="20"/>
      <c r="E47" s="14"/>
    </row>
    <row r="48" spans="1:5" ht="20.45" customHeight="1">
      <c r="A48" s="15" t="s">
        <v>44</v>
      </c>
      <c r="B48" s="19">
        <v>210</v>
      </c>
      <c r="C48" s="19">
        <v>2500061</v>
      </c>
      <c r="D48" s="20"/>
      <c r="E48" s="14"/>
    </row>
    <row r="49" spans="1:5" ht="20.45" customHeight="1">
      <c r="A49" s="15" t="s">
        <v>45</v>
      </c>
      <c r="B49" s="19">
        <v>211</v>
      </c>
      <c r="C49" s="19">
        <v>2501304</v>
      </c>
      <c r="D49" s="20"/>
      <c r="E49" s="14"/>
    </row>
    <row r="50" spans="1:5" ht="20.45" customHeight="1">
      <c r="A50" s="15" t="s">
        <v>46</v>
      </c>
      <c r="B50" s="19">
        <v>212</v>
      </c>
      <c r="C50" s="19">
        <v>2501307</v>
      </c>
      <c r="D50" s="20"/>
      <c r="E50" s="14"/>
    </row>
    <row r="51" spans="1:5" ht="21.6" customHeight="1">
      <c r="A51" s="15" t="s">
        <v>47</v>
      </c>
      <c r="B51" s="19">
        <v>213</v>
      </c>
      <c r="C51" s="19">
        <v>2501322</v>
      </c>
      <c r="D51" s="20"/>
      <c r="E51" s="14"/>
    </row>
    <row r="52" spans="1:5" ht="20.45" customHeight="1">
      <c r="A52" s="15" t="s">
        <v>48</v>
      </c>
      <c r="B52" s="19">
        <v>214</v>
      </c>
      <c r="C52" s="19">
        <v>2402762</v>
      </c>
      <c r="D52" s="20"/>
      <c r="E52" s="14"/>
    </row>
    <row r="53" spans="1:5" ht="21.6" customHeight="1">
      <c r="A53" s="15" t="s">
        <v>49</v>
      </c>
      <c r="B53" s="19">
        <v>215</v>
      </c>
      <c r="C53" s="19">
        <v>2501308</v>
      </c>
      <c r="D53" s="20"/>
      <c r="E53" s="14"/>
    </row>
    <row r="54" spans="1:5" ht="20.100000000000001" customHeight="1">
      <c r="A54" s="15" t="s">
        <v>50</v>
      </c>
      <c r="B54" s="19">
        <v>216</v>
      </c>
      <c r="C54" s="19">
        <v>2501175</v>
      </c>
      <c r="D54" s="20"/>
      <c r="E54" s="14"/>
    </row>
    <row r="55" spans="1:5" ht="20.45" customHeight="1">
      <c r="A55" s="15" t="s">
        <v>51</v>
      </c>
      <c r="B55" s="19">
        <v>217</v>
      </c>
      <c r="C55" s="19">
        <v>2400851</v>
      </c>
      <c r="D55" s="20"/>
      <c r="E55" s="14"/>
    </row>
    <row r="56" spans="1:5" ht="20.45" customHeight="1">
      <c r="A56" s="15" t="s">
        <v>52</v>
      </c>
      <c r="B56" s="19">
        <v>218</v>
      </c>
      <c r="C56" s="19">
        <v>2501997</v>
      </c>
      <c r="D56" s="20"/>
      <c r="E56" s="14"/>
    </row>
    <row r="57" spans="1:5" ht="20.45" customHeight="1">
      <c r="A57" s="15" t="s">
        <v>53</v>
      </c>
      <c r="B57" s="19">
        <v>219</v>
      </c>
      <c r="C57" s="19">
        <v>2400838</v>
      </c>
      <c r="D57" s="20"/>
      <c r="E57" s="14"/>
    </row>
    <row r="58" spans="1:5" ht="20.100000000000001" customHeight="1">
      <c r="A58" s="15" t="s">
        <v>54</v>
      </c>
      <c r="B58" s="19">
        <v>220</v>
      </c>
      <c r="C58" s="19">
        <v>2500093</v>
      </c>
      <c r="D58" s="20"/>
      <c r="E58" s="14"/>
    </row>
  </sheetData>
  <sheetProtection algorithmName="SHA-512" hashValue="UWY3re5pP2/UYiqVwsTFA4Ss30u1wvEapwMmT/quWKy2/lITtoGuy7PTxOl7suxc2hdIcmlECfebAnD8BGrk4A==" saltValue="/qH/tA/zVY8Evg0zxiLdaA==" spinCount="100000" sheet="1" objects="1" scenarios="1"/>
  <mergeCells count="1">
    <mergeCell ref="A1:D1"/>
  </mergeCells>
  <pageMargins left="0.7" right="0.7" top="0.75" bottom="0.75" header="0.3" footer="0.3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topLeftCell="E20" zoomScale="90" zoomScaleNormal="90" workbookViewId="0">
      <selection activeCell="B13" sqref="B13:M20"/>
    </sheetView>
  </sheetViews>
  <sheetFormatPr defaultColWidth="10.85546875" defaultRowHeight="15"/>
  <cols>
    <col min="2" max="13" width="13.85546875" customWidth="1"/>
  </cols>
  <sheetData>
    <row r="1" spans="1:13" ht="18.75">
      <c r="A1" s="1" t="s">
        <v>55</v>
      </c>
      <c r="B1" s="1"/>
      <c r="C1" s="1"/>
    </row>
    <row r="2" spans="1:13" ht="18.75">
      <c r="A2" s="1"/>
      <c r="B2" s="1"/>
      <c r="C2" s="1"/>
    </row>
    <row r="3" spans="1:13" ht="18.75">
      <c r="A3" s="1" t="s">
        <v>56</v>
      </c>
      <c r="B3" s="1"/>
      <c r="C3" s="1"/>
    </row>
    <row r="4" spans="1:13" ht="18.75">
      <c r="A4" s="1"/>
      <c r="B4" s="1"/>
      <c r="C4" s="1"/>
    </row>
    <row r="5" spans="1:13" ht="15.95" customHeight="1">
      <c r="A5" s="60" t="s">
        <v>57</v>
      </c>
      <c r="B5" s="60"/>
      <c r="C5" s="21" t="str">
        <f>IF(ECHANTILLONS!C6="","",ECHANTILLONS!C6)</f>
        <v/>
      </c>
      <c r="E5" s="24"/>
      <c r="F5" s="25" t="s">
        <v>58</v>
      </c>
      <c r="G5" s="64" t="str">
        <f>IF(ECHANTILLONS!C10="","",ECHANTILLONS!C10)</f>
        <v/>
      </c>
      <c r="H5" s="64" t="str">
        <f>IF(ECHANTILLONS!F6="","",ECHANTILLONS!F6)</f>
        <v/>
      </c>
    </row>
    <row r="6" spans="1:13" ht="15.95" customHeight="1">
      <c r="A6" s="60" t="s">
        <v>59</v>
      </c>
      <c r="B6" s="60"/>
      <c r="C6" s="22" t="str">
        <f>IF(ECHANTILLONS!C7="","",ECHANTILLONS!C7)</f>
        <v/>
      </c>
    </row>
    <row r="7" spans="1:13" ht="15.95" customHeight="1">
      <c r="A7" s="60" t="s">
        <v>60</v>
      </c>
      <c r="B7" s="60"/>
      <c r="C7" s="22">
        <f>IF(ECHANTILLONS!C8="","",ECHANTILLONS!C8)</f>
        <v>3915223</v>
      </c>
    </row>
    <row r="8" spans="1:13" ht="15.95" customHeight="1">
      <c r="A8" s="60" t="s">
        <v>61</v>
      </c>
      <c r="B8" s="60"/>
      <c r="C8" s="22" t="str">
        <f>IF(ECHANTILLONS!C9="","",ECHANTILLONS!C9)</f>
        <v/>
      </c>
    </row>
    <row r="9" spans="1:13" ht="15.95" customHeight="1">
      <c r="A9" s="60" t="s">
        <v>62</v>
      </c>
      <c r="B9" s="60"/>
      <c r="C9" s="23" t="s">
        <v>63</v>
      </c>
    </row>
    <row r="10" spans="1:13">
      <c r="C10" s="2"/>
    </row>
    <row r="12" spans="1:13">
      <c r="B12" s="6">
        <v>1</v>
      </c>
      <c r="C12" s="6">
        <v>2</v>
      </c>
      <c r="D12" s="6">
        <v>3</v>
      </c>
      <c r="E12" s="6">
        <v>4</v>
      </c>
      <c r="F12" s="6">
        <v>5</v>
      </c>
      <c r="G12" s="6">
        <v>6</v>
      </c>
      <c r="H12" s="6">
        <v>7</v>
      </c>
      <c r="I12" s="6">
        <v>8</v>
      </c>
      <c r="J12" s="6">
        <v>9</v>
      </c>
      <c r="K12" s="6">
        <v>10</v>
      </c>
      <c r="L12" s="6">
        <v>11</v>
      </c>
      <c r="M12" s="6">
        <v>12</v>
      </c>
    </row>
    <row r="13" spans="1:13">
      <c r="A13" s="10" t="s">
        <v>64</v>
      </c>
      <c r="B13" s="18">
        <v>0.92700000000000005</v>
      </c>
      <c r="C13" s="18">
        <v>0.79600000000000004</v>
      </c>
      <c r="D13" s="18">
        <v>0.26800000000000002</v>
      </c>
      <c r="E13" s="18">
        <v>0.26400000000000001</v>
      </c>
      <c r="F13" s="18">
        <v>0.83099999999999996</v>
      </c>
      <c r="G13" s="18">
        <v>0.81699999999999995</v>
      </c>
      <c r="H13" s="18">
        <v>2.0720000000000001</v>
      </c>
      <c r="I13" s="18">
        <v>2.133</v>
      </c>
      <c r="J13" s="18">
        <v>0.67300000000000004</v>
      </c>
      <c r="K13" s="18">
        <v>0.72</v>
      </c>
      <c r="L13" s="18">
        <v>2.2650000000000001</v>
      </c>
      <c r="M13" s="18">
        <v>2.4750000000000001</v>
      </c>
    </row>
    <row r="14" spans="1:13">
      <c r="A14" s="10" t="s">
        <v>65</v>
      </c>
      <c r="B14" s="18">
        <v>0.91900000000000004</v>
      </c>
      <c r="C14" s="18">
        <v>0.67</v>
      </c>
      <c r="D14" s="18">
        <v>0.81</v>
      </c>
      <c r="E14" s="18">
        <v>0.70499999999999996</v>
      </c>
      <c r="F14" s="18">
        <v>0.71599999999999997</v>
      </c>
      <c r="G14" s="18">
        <v>0.622</v>
      </c>
      <c r="H14" s="18">
        <v>1.913</v>
      </c>
      <c r="I14" s="18">
        <v>1.782</v>
      </c>
      <c r="J14" s="18">
        <v>1.9550000000000001</v>
      </c>
      <c r="K14" s="18">
        <v>2.1640000000000001</v>
      </c>
      <c r="L14" s="18">
        <v>2.089</v>
      </c>
      <c r="M14" s="18">
        <v>2.323</v>
      </c>
    </row>
    <row r="15" spans="1:13">
      <c r="A15" s="10" t="s">
        <v>66</v>
      </c>
      <c r="B15" s="18">
        <v>0.90300000000000002</v>
      </c>
      <c r="C15" s="18">
        <v>0.75600000000000001</v>
      </c>
      <c r="D15" s="18">
        <v>0.81799999999999995</v>
      </c>
      <c r="E15" s="18">
        <v>0.69599999999999995</v>
      </c>
      <c r="F15" s="18">
        <v>0.78300000000000003</v>
      </c>
      <c r="G15" s="18">
        <v>0.745</v>
      </c>
      <c r="H15" s="18">
        <v>2.056</v>
      </c>
      <c r="I15" s="18">
        <v>1.952</v>
      </c>
      <c r="J15" s="18">
        <v>1.85</v>
      </c>
      <c r="K15" s="18">
        <v>2.0609999999999999</v>
      </c>
      <c r="L15" s="18">
        <v>1.9259999999999999</v>
      </c>
      <c r="M15" s="18">
        <v>2.2749999999999999</v>
      </c>
    </row>
    <row r="16" spans="1:13">
      <c r="A16" s="10" t="s">
        <v>67</v>
      </c>
      <c r="B16" s="18">
        <v>0.96199999999999997</v>
      </c>
      <c r="C16" s="18">
        <v>0.80400000000000005</v>
      </c>
      <c r="D16" s="18">
        <v>0.878</v>
      </c>
      <c r="E16" s="18">
        <v>0.79900000000000004</v>
      </c>
      <c r="F16" s="18">
        <v>0.75</v>
      </c>
      <c r="G16" s="18">
        <v>0.73099999999999998</v>
      </c>
      <c r="H16" s="18">
        <v>1.99</v>
      </c>
      <c r="I16" s="18">
        <v>1.92</v>
      </c>
      <c r="J16" s="18">
        <v>1.9530000000000001</v>
      </c>
      <c r="K16" s="18">
        <v>2.1309999999999998</v>
      </c>
      <c r="L16" s="18">
        <v>2.161</v>
      </c>
      <c r="M16" s="18">
        <v>2.3380000000000001</v>
      </c>
    </row>
    <row r="17" spans="1:13">
      <c r="A17" s="10" t="s">
        <v>68</v>
      </c>
      <c r="B17" s="18">
        <v>0.84499999999999997</v>
      </c>
      <c r="C17" s="18">
        <v>0.76500000000000001</v>
      </c>
      <c r="D17" s="18">
        <v>0.71399999999999997</v>
      </c>
      <c r="E17" s="18">
        <v>0.86</v>
      </c>
      <c r="F17" s="18">
        <v>0.73899999999999999</v>
      </c>
      <c r="G17" s="18">
        <v>0.72099999999999997</v>
      </c>
      <c r="H17" s="18">
        <v>1.8029999999999999</v>
      </c>
      <c r="I17" s="18">
        <v>1.891</v>
      </c>
      <c r="J17" s="18">
        <v>1.901</v>
      </c>
      <c r="K17" s="18">
        <v>1.9990000000000001</v>
      </c>
      <c r="L17" s="18">
        <v>2.0640000000000001</v>
      </c>
      <c r="M17" s="18">
        <v>2.2919999999999998</v>
      </c>
    </row>
    <row r="18" spans="1:13">
      <c r="A18" s="10" t="s">
        <v>69</v>
      </c>
      <c r="B18" s="18">
        <v>1.0149999999999999</v>
      </c>
      <c r="C18" s="18">
        <v>0.89500000000000002</v>
      </c>
      <c r="D18" s="18">
        <v>0.95</v>
      </c>
      <c r="E18" s="18">
        <v>0.89600000000000002</v>
      </c>
      <c r="F18" s="18">
        <v>0.48599999999999999</v>
      </c>
      <c r="G18" s="18">
        <v>0.93100000000000005</v>
      </c>
      <c r="H18" s="18">
        <v>2.3069999999999999</v>
      </c>
      <c r="I18" s="18">
        <v>2.0659999999999998</v>
      </c>
      <c r="J18" s="18">
        <v>2.16</v>
      </c>
      <c r="K18" s="18">
        <v>2.3460000000000001</v>
      </c>
      <c r="L18" s="18">
        <v>1.431</v>
      </c>
      <c r="M18" s="18">
        <v>2.5390000000000001</v>
      </c>
    </row>
    <row r="19" spans="1:13">
      <c r="A19" s="10" t="s">
        <v>70</v>
      </c>
      <c r="B19" s="18">
        <v>0.85199999999999998</v>
      </c>
      <c r="C19" s="18">
        <v>0.99399999999999999</v>
      </c>
      <c r="D19" s="18">
        <v>0.93899999999999995</v>
      </c>
      <c r="E19" s="18">
        <v>0.98499999999999999</v>
      </c>
      <c r="F19" s="18">
        <v>1.036</v>
      </c>
      <c r="G19" s="18">
        <v>1.0680000000000001</v>
      </c>
      <c r="H19" s="18">
        <v>2.48</v>
      </c>
      <c r="I19" s="18">
        <v>2.3220000000000001</v>
      </c>
      <c r="J19" s="18">
        <v>2.5009999999999999</v>
      </c>
      <c r="K19" s="18">
        <v>2.6779999999999999</v>
      </c>
      <c r="L19" s="18">
        <v>2.5129999999999999</v>
      </c>
      <c r="M19" s="18">
        <v>2.8380000000000001</v>
      </c>
    </row>
    <row r="20" spans="1:13">
      <c r="A20" s="9" t="s">
        <v>71</v>
      </c>
      <c r="B20" s="18">
        <v>0.82</v>
      </c>
      <c r="C20" s="18">
        <v>0.89400000000000002</v>
      </c>
      <c r="D20" s="18">
        <v>1.006</v>
      </c>
      <c r="E20" s="18">
        <v>0.89</v>
      </c>
      <c r="F20" s="18">
        <v>1.0629999999999999</v>
      </c>
      <c r="G20" s="18">
        <v>1.044</v>
      </c>
      <c r="H20" s="18">
        <v>2.4580000000000002</v>
      </c>
      <c r="I20" s="18">
        <v>2.6179999999999999</v>
      </c>
      <c r="J20" s="18">
        <v>2.6909999999999998</v>
      </c>
      <c r="K20" s="18">
        <v>2.3010000000000002</v>
      </c>
      <c r="L20" s="18">
        <v>2.468</v>
      </c>
      <c r="M20" s="18">
        <v>2.6680000000000001</v>
      </c>
    </row>
    <row r="21" spans="1:13" s="4" customFormat="1">
      <c r="A21" s="5"/>
    </row>
    <row r="22" spans="1:13">
      <c r="A22" s="5"/>
      <c r="B22" s="61" t="s">
        <v>72</v>
      </c>
      <c r="C22" s="62"/>
      <c r="D22" s="62"/>
      <c r="E22" s="62"/>
      <c r="F22" s="62"/>
      <c r="G22" s="63"/>
      <c r="H22" s="57" t="s">
        <v>73</v>
      </c>
      <c r="I22" s="58"/>
      <c r="J22" s="58"/>
      <c r="K22" s="58"/>
      <c r="L22" s="58"/>
      <c r="M22" s="59"/>
    </row>
    <row r="23" spans="1:13">
      <c r="A23" s="3"/>
      <c r="B23" s="61" t="s">
        <v>74</v>
      </c>
      <c r="C23" s="63"/>
      <c r="D23" s="61" t="s">
        <v>75</v>
      </c>
      <c r="E23" s="63"/>
      <c r="F23" s="61" t="s">
        <v>76</v>
      </c>
      <c r="G23" s="63"/>
      <c r="H23" s="57" t="s">
        <v>77</v>
      </c>
      <c r="I23" s="59"/>
      <c r="J23" s="57" t="s">
        <v>78</v>
      </c>
      <c r="K23" s="59"/>
      <c r="L23" s="57" t="s">
        <v>79</v>
      </c>
      <c r="M23" s="59"/>
    </row>
    <row r="24" spans="1:13">
      <c r="A24" s="3"/>
      <c r="B24" s="67">
        <f>(B13+C13)/2</f>
        <v>0.86150000000000004</v>
      </c>
      <c r="C24" s="68"/>
      <c r="D24" s="67">
        <f>(D13+E13)/2</f>
        <v>0.26600000000000001</v>
      </c>
      <c r="E24" s="68"/>
      <c r="F24" s="69">
        <f>100-(D24/B24*100)</f>
        <v>69.12362159024957</v>
      </c>
      <c r="G24" s="70"/>
      <c r="H24" s="71">
        <f>(H13+I13)/2</f>
        <v>2.1025</v>
      </c>
      <c r="I24" s="72"/>
      <c r="J24" s="71">
        <f>(J13+K13)/2</f>
        <v>0.69650000000000001</v>
      </c>
      <c r="K24" s="72"/>
      <c r="L24" s="65">
        <f>100-(J24/H24*100)</f>
        <v>66.872770511296068</v>
      </c>
      <c r="M24" s="66"/>
    </row>
    <row r="25" spans="1:13">
      <c r="A25" s="3"/>
    </row>
    <row r="26" spans="1:13">
      <c r="A26" s="3"/>
      <c r="B26">
        <v>1</v>
      </c>
      <c r="C26">
        <v>2</v>
      </c>
      <c r="D26">
        <v>3</v>
      </c>
      <c r="E26">
        <v>4</v>
      </c>
      <c r="F26">
        <v>5</v>
      </c>
      <c r="G26">
        <v>6</v>
      </c>
      <c r="H26">
        <v>7</v>
      </c>
      <c r="I26">
        <v>8</v>
      </c>
      <c r="J26">
        <v>9</v>
      </c>
      <c r="K26">
        <v>10</v>
      </c>
      <c r="L26">
        <v>11</v>
      </c>
      <c r="M26">
        <v>12</v>
      </c>
    </row>
    <row r="27" spans="1:13">
      <c r="A27" s="3" t="s">
        <v>64</v>
      </c>
      <c r="B27" s="8"/>
      <c r="C27" s="8"/>
      <c r="D27" s="8"/>
      <c r="E27" s="8"/>
      <c r="F27" s="7">
        <f>IF(F13="","",100-F13/$B$24*100)</f>
        <v>3.540336622170642</v>
      </c>
      <c r="G27" s="7">
        <f>IF(G13="","",100-G13/$B$24*100)</f>
        <v>5.1654091700522429</v>
      </c>
      <c r="H27" s="8"/>
      <c r="I27" s="8"/>
      <c r="J27" s="8"/>
      <c r="K27" s="8"/>
      <c r="L27" s="7">
        <f>IF(L13="","",100-L13/$H$24*100)</f>
        <v>-7.7288941736028534</v>
      </c>
      <c r="M27" s="7">
        <f>IF(M13="","",100-M13/$H$24*100)</f>
        <v>-17.717003567181933</v>
      </c>
    </row>
    <row r="28" spans="1:13">
      <c r="A28" s="3" t="s">
        <v>65</v>
      </c>
      <c r="B28" s="7">
        <f>IF(B14="","",100-B14/$B$24*100)</f>
        <v>-6.6744051073708732</v>
      </c>
      <c r="C28" s="7">
        <f t="shared" ref="C28:G28" si="0">IF(C14="","",100-C14/$B$24*100)</f>
        <v>22.228670922809059</v>
      </c>
      <c r="D28" s="7">
        <f t="shared" si="0"/>
        <v>5.9779454439930362</v>
      </c>
      <c r="E28" s="7">
        <f t="shared" si="0"/>
        <v>18.165989553105049</v>
      </c>
      <c r="F28" s="7">
        <f t="shared" si="0"/>
        <v>16.889146836912374</v>
      </c>
      <c r="G28" s="7">
        <f t="shared" si="0"/>
        <v>27.800348229831698</v>
      </c>
      <c r="H28" s="7">
        <f>IF(H14="","",100-H14/$H$24*100)</f>
        <v>9.0130796670630104</v>
      </c>
      <c r="I28" s="7">
        <f t="shared" ref="I28:L28" si="1">IF(I14="","",100-I14/$H$24*100)</f>
        <v>15.243757431629007</v>
      </c>
      <c r="J28" s="7">
        <f t="shared" si="1"/>
        <v>7.0154577883472058</v>
      </c>
      <c r="K28" s="7">
        <f t="shared" si="1"/>
        <v>-2.9250891795481664</v>
      </c>
      <c r="L28" s="7">
        <f t="shared" si="1"/>
        <v>0.64209274673008565</v>
      </c>
      <c r="M28" s="7">
        <f>IF(M14="","",100-M14/$H$24*100)</f>
        <v>-10.487514863258028</v>
      </c>
    </row>
    <row r="29" spans="1:13">
      <c r="A29" s="3" t="s">
        <v>66</v>
      </c>
      <c r="B29" s="7">
        <f t="shared" ref="B29:G29" si="2">IF(B15="","",100-B15/$B$24*100)</f>
        <v>-4.8171793383633172</v>
      </c>
      <c r="C29" s="7">
        <f t="shared" si="2"/>
        <v>12.246082414393499</v>
      </c>
      <c r="D29" s="7">
        <f t="shared" si="2"/>
        <v>5.0493325594892724</v>
      </c>
      <c r="E29" s="7">
        <f t="shared" si="2"/>
        <v>19.210679048171812</v>
      </c>
      <c r="F29" s="7">
        <f t="shared" si="2"/>
        <v>9.1120139291932674</v>
      </c>
      <c r="G29" s="7">
        <f t="shared" si="2"/>
        <v>13.522925130586188</v>
      </c>
      <c r="H29" s="7">
        <f t="shared" ref="H29:M29" si="3">IF(H15="","",100-H15/$H$24*100)</f>
        <v>2.2116527942925046</v>
      </c>
      <c r="I29" s="7">
        <f t="shared" si="3"/>
        <v>7.1581450653983296</v>
      </c>
      <c r="J29" s="7">
        <f t="shared" si="3"/>
        <v>12.009512485136739</v>
      </c>
      <c r="K29" s="7">
        <f t="shared" si="3"/>
        <v>1.9738406658739649</v>
      </c>
      <c r="L29" s="7">
        <f t="shared" si="3"/>
        <v>8.3947681331748072</v>
      </c>
      <c r="M29" s="7">
        <f t="shared" si="3"/>
        <v>-8.204518430439947</v>
      </c>
    </row>
    <row r="30" spans="1:13">
      <c r="A30" s="3" t="s">
        <v>67</v>
      </c>
      <c r="B30" s="7">
        <f t="shared" ref="B30:G30" si="4">IF(B16="","",100-B16/$B$24*100)</f>
        <v>-11.665699361578646</v>
      </c>
      <c r="C30" s="7">
        <f t="shared" si="4"/>
        <v>6.674405107370859</v>
      </c>
      <c r="D30" s="7">
        <f t="shared" si="4"/>
        <v>-1.9152640742890412</v>
      </c>
      <c r="E30" s="7">
        <f t="shared" si="4"/>
        <v>7.2547881601857256</v>
      </c>
      <c r="F30" s="7">
        <f t="shared" si="4"/>
        <v>12.942542077771336</v>
      </c>
      <c r="G30" s="7">
        <f t="shared" si="4"/>
        <v>15.147997678467789</v>
      </c>
      <c r="H30" s="7">
        <f t="shared" ref="H30:M30" si="5">IF(H16="","",100-H16/$H$24*100)</f>
        <v>5.3507728894173709</v>
      </c>
      <c r="I30" s="7">
        <f t="shared" si="5"/>
        <v>8.6801426872770548</v>
      </c>
      <c r="J30" s="7">
        <f t="shared" si="5"/>
        <v>7.1105826397146217</v>
      </c>
      <c r="K30" s="7">
        <f t="shared" si="5"/>
        <v>-1.3555291319857048</v>
      </c>
      <c r="L30" s="7">
        <f t="shared" si="5"/>
        <v>-2.7824019024970283</v>
      </c>
      <c r="M30" s="7">
        <f t="shared" si="5"/>
        <v>-11.200951248513675</v>
      </c>
    </row>
    <row r="31" spans="1:13">
      <c r="A31" s="3" t="s">
        <v>68</v>
      </c>
      <c r="B31" s="7">
        <f t="shared" ref="B31:G31" si="6">IF(B17="","",100-B17/$B$24*100)</f>
        <v>1.9152640742890412</v>
      </c>
      <c r="C31" s="7">
        <f t="shared" si="6"/>
        <v>11.201392919326764</v>
      </c>
      <c r="D31" s="7">
        <f t="shared" si="6"/>
        <v>17.121300058038315</v>
      </c>
      <c r="E31" s="7">
        <f t="shared" si="6"/>
        <v>0.17411491584445571</v>
      </c>
      <c r="F31" s="7">
        <f t="shared" si="6"/>
        <v>14.219384793964025</v>
      </c>
      <c r="G31" s="7">
        <f t="shared" si="6"/>
        <v>16.308763784097508</v>
      </c>
      <c r="H31" s="7">
        <f t="shared" ref="H31:M31" si="7">IF(H17="","",100-H17/$H$24*100)</f>
        <v>14.244946492271112</v>
      </c>
      <c r="I31" s="7">
        <f t="shared" si="7"/>
        <v>10.059453032104642</v>
      </c>
      <c r="J31" s="7">
        <f t="shared" si="7"/>
        <v>9.5838287752675484</v>
      </c>
      <c r="K31" s="7">
        <f t="shared" si="7"/>
        <v>4.922711058263971</v>
      </c>
      <c r="L31" s="7">
        <f t="shared" si="7"/>
        <v>1.8311533888228269</v>
      </c>
      <c r="M31" s="7">
        <f t="shared" si="7"/>
        <v>-9.0130796670630104</v>
      </c>
    </row>
    <row r="32" spans="1:13">
      <c r="A32" s="3" t="s">
        <v>69</v>
      </c>
      <c r="B32" s="7">
        <f t="shared" ref="B32:G32" si="8">IF(B18="","",100-B18/$B$24*100)</f>
        <v>-17.817759721416124</v>
      </c>
      <c r="C32" s="7">
        <f t="shared" si="8"/>
        <v>-3.8885664538595535</v>
      </c>
      <c r="D32" s="7">
        <f t="shared" si="8"/>
        <v>-10.272780034822972</v>
      </c>
      <c r="E32" s="7">
        <f t="shared" si="8"/>
        <v>-4.0046430644225239</v>
      </c>
      <c r="F32" s="7">
        <f t="shared" si="8"/>
        <v>43.586767266395817</v>
      </c>
      <c r="G32" s="7">
        <f t="shared" si="8"/>
        <v>-8.0673244341265189</v>
      </c>
      <c r="H32" s="7">
        <f t="shared" ref="H32:M32" si="9">IF(H18="","",100-H18/$H$24*100)</f>
        <v>-9.7265160523186722</v>
      </c>
      <c r="I32" s="7">
        <f t="shared" si="9"/>
        <v>1.7360285374554252</v>
      </c>
      <c r="J32" s="7">
        <f t="shared" si="9"/>
        <v>-2.7348394768133204</v>
      </c>
      <c r="K32" s="7">
        <f t="shared" si="9"/>
        <v>-11.581450653983353</v>
      </c>
      <c r="L32" s="7">
        <f t="shared" si="9"/>
        <v>31.938168846611177</v>
      </c>
      <c r="M32" s="7">
        <f t="shared" si="9"/>
        <v>-20.760998810939356</v>
      </c>
    </row>
    <row r="33" spans="1:13">
      <c r="A33" s="3" t="s">
        <v>70</v>
      </c>
      <c r="B33" s="7">
        <f t="shared" ref="B33:G33" si="10">IF(B19="","",100-B19/$B$24*100)</f>
        <v>1.1027278003482337</v>
      </c>
      <c r="C33" s="7">
        <f t="shared" si="10"/>
        <v>-15.38015089959373</v>
      </c>
      <c r="D33" s="7">
        <f t="shared" si="10"/>
        <v>-8.9959373186302827</v>
      </c>
      <c r="E33" s="7">
        <f t="shared" si="10"/>
        <v>-14.335461404526967</v>
      </c>
      <c r="F33" s="7">
        <f t="shared" si="10"/>
        <v>-20.255368543238532</v>
      </c>
      <c r="G33" s="7">
        <f t="shared" si="10"/>
        <v>-23.96982008125363</v>
      </c>
      <c r="H33" s="7">
        <f t="shared" ref="H33:M34" si="11">IF(H19="","",100-H19/$H$24*100)</f>
        <v>-17.954815695600473</v>
      </c>
      <c r="I33" s="7">
        <f t="shared" si="11"/>
        <v>-10.43995243757432</v>
      </c>
      <c r="J33" s="7">
        <f t="shared" si="11"/>
        <v>-18.953626634958368</v>
      </c>
      <c r="K33" s="7">
        <f t="shared" si="11"/>
        <v>-27.37217598097503</v>
      </c>
      <c r="L33" s="7">
        <f t="shared" si="11"/>
        <v>-19.524375743162906</v>
      </c>
      <c r="M33" s="7">
        <f t="shared" si="11"/>
        <v>-34.982164090368599</v>
      </c>
    </row>
    <row r="34" spans="1:13">
      <c r="A34" s="3" t="s">
        <v>71</v>
      </c>
      <c r="B34" s="7">
        <f t="shared" ref="B34:G34" si="12">IF(B20="","",100-B20/$B$24*100)</f>
        <v>4.8171793383633315</v>
      </c>
      <c r="C34" s="7">
        <f t="shared" si="12"/>
        <v>-3.7724898432965688</v>
      </c>
      <c r="D34" s="7">
        <f t="shared" si="12"/>
        <v>-16.77307022634939</v>
      </c>
      <c r="E34" s="7">
        <f t="shared" si="12"/>
        <v>-3.3081834010446869</v>
      </c>
      <c r="F34" s="7">
        <f t="shared" si="12"/>
        <v>-23.389437028438763</v>
      </c>
      <c r="G34" s="7">
        <f t="shared" si="12"/>
        <v>-21.18398142774231</v>
      </c>
      <c r="H34" s="7">
        <f>IF(H20="","",100-H20/$H$24*100)</f>
        <v>-16.908442330558856</v>
      </c>
      <c r="I34" s="7">
        <f t="shared" si="11"/>
        <v>-24.518430439952425</v>
      </c>
      <c r="J34" s="7">
        <f t="shared" si="11"/>
        <v>-27.990487514863233</v>
      </c>
      <c r="K34" s="7">
        <f t="shared" si="11"/>
        <v>-9.4411414982164246</v>
      </c>
      <c r="L34" s="7">
        <f t="shared" si="11"/>
        <v>-17.384066587395949</v>
      </c>
      <c r="M34" s="7">
        <f>IF(M20="","",100-M20/$H$24*100)</f>
        <v>-26.896551724137936</v>
      </c>
    </row>
  </sheetData>
  <sheetProtection algorithmName="SHA-512" hashValue="8NOx9RTaw0WzvklkzCvE9GMTIp6YKN+5e2eou2kPLDULzz7g4FIO8wHpzhh1lK77UZFDeM3DFf2jr9QluvX9sA==" saltValue="8BOmFNQ59uKkXHrsujhX1w==" spinCount="100000" sheet="1" selectLockedCells="1"/>
  <mergeCells count="20">
    <mergeCell ref="L24:M24"/>
    <mergeCell ref="B23:C23"/>
    <mergeCell ref="F23:G23"/>
    <mergeCell ref="D23:E23"/>
    <mergeCell ref="H23:I23"/>
    <mergeCell ref="L23:M23"/>
    <mergeCell ref="J23:K23"/>
    <mergeCell ref="B24:C24"/>
    <mergeCell ref="D24:E24"/>
    <mergeCell ref="F24:G24"/>
    <mergeCell ref="H24:I24"/>
    <mergeCell ref="J24:K24"/>
    <mergeCell ref="H22:M22"/>
    <mergeCell ref="A5:B5"/>
    <mergeCell ref="A6:B6"/>
    <mergeCell ref="A7:B7"/>
    <mergeCell ref="A8:B8"/>
    <mergeCell ref="B22:G22"/>
    <mergeCell ref="A9:B9"/>
    <mergeCell ref="G5:H5"/>
  </mergeCells>
  <conditionalFormatting sqref="B27:M34">
    <cfRule type="cellIs" dxfId="9" priority="1" operator="between">
      <formula>30</formula>
      <formula>100</formula>
    </cfRule>
    <cfRule type="cellIs" dxfId="8" priority="2" operator="between">
      <formula>25</formula>
      <formula>29.9999</formula>
    </cfRule>
  </conditionalFormatting>
  <pageMargins left="0.7" right="0.7" top="0.75" bottom="0.75" header="0.3" footer="0.3"/>
  <pageSetup paperSize="9" scale="74" orientation="landscape" r:id="rId1"/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57"/>
  <sheetViews>
    <sheetView tabSelected="1" topLeftCell="A26" workbookViewId="0">
      <selection activeCell="J59" sqref="J59"/>
    </sheetView>
  </sheetViews>
  <sheetFormatPr defaultColWidth="10.85546875" defaultRowHeight="15"/>
  <cols>
    <col min="1" max="1" width="9.7109375" style="53" customWidth="1"/>
    <col min="2" max="2" width="11.140625" style="31" customWidth="1"/>
    <col min="3" max="3" width="20.5703125" style="31" customWidth="1"/>
    <col min="4" max="4" width="14.28515625" style="31" customWidth="1"/>
    <col min="5" max="5" width="9.140625" style="31" customWidth="1"/>
    <col min="6" max="6" width="14.28515625" style="31" customWidth="1"/>
    <col min="7" max="7" width="9.140625" style="31" customWidth="1"/>
    <col min="8" max="8" width="10" style="31" customWidth="1"/>
    <col min="9" max="9" width="50.5703125" style="31" customWidth="1"/>
    <col min="10" max="10" width="14.85546875" style="31" customWidth="1"/>
    <col min="11" max="16384" width="10.85546875" style="31"/>
  </cols>
  <sheetData>
    <row r="1" spans="1:12" s="27" customFormat="1" ht="17.100000000000001" customHeight="1">
      <c r="A1" s="26" t="s">
        <v>55</v>
      </c>
    </row>
    <row r="2" spans="1:12" s="27" customFormat="1" ht="15" customHeight="1">
      <c r="A2" s="28"/>
    </row>
    <row r="3" spans="1:12" s="27" customFormat="1" ht="15" customHeight="1">
      <c r="A3" s="29" t="s">
        <v>80</v>
      </c>
    </row>
    <row r="4" spans="1:12" ht="15" customHeight="1">
      <c r="A4" s="28"/>
      <c r="B4" s="27"/>
      <c r="C4" s="27"/>
      <c r="D4" s="27"/>
      <c r="E4" s="27"/>
      <c r="F4" s="27"/>
      <c r="G4" s="27"/>
      <c r="H4" s="27"/>
      <c r="I4" s="30"/>
    </row>
    <row r="5" spans="1:12" ht="15" customHeight="1">
      <c r="A5" s="32" t="s">
        <v>81</v>
      </c>
      <c r="B5" s="33"/>
      <c r="C5" s="21" t="str">
        <f>IF(ECHANTILLONS!C6="","",ECHANTILLONS!C6)</f>
        <v/>
      </c>
      <c r="D5" s="34"/>
      <c r="E5" s="27"/>
      <c r="F5" s="35" t="s">
        <v>82</v>
      </c>
      <c r="G5" s="36">
        <v>30</v>
      </c>
      <c r="H5" s="28"/>
      <c r="I5" s="30"/>
    </row>
    <row r="6" spans="1:12" ht="15" customHeight="1">
      <c r="A6" s="32" t="s">
        <v>59</v>
      </c>
      <c r="B6" s="33"/>
      <c r="C6" s="22" t="str">
        <f>IF(ECHANTILLONS!C7="","",ECHANTILLONS!C7)</f>
        <v/>
      </c>
      <c r="D6" s="27"/>
      <c r="E6" s="27"/>
      <c r="F6" s="27"/>
      <c r="G6" s="27"/>
      <c r="H6" s="27"/>
      <c r="I6" s="30"/>
    </row>
    <row r="7" spans="1:12" ht="15" customHeight="1">
      <c r="A7" s="32" t="s">
        <v>83</v>
      </c>
      <c r="B7" s="33"/>
      <c r="C7" s="22">
        <f>IF(ECHANTILLONS!C8="","",ECHANTILLONS!C8)</f>
        <v>3915223</v>
      </c>
      <c r="D7" s="27"/>
      <c r="E7" s="27"/>
      <c r="F7" s="27"/>
      <c r="G7" s="27"/>
      <c r="H7" s="27"/>
      <c r="I7" s="30"/>
    </row>
    <row r="8" spans="1:12" ht="15" customHeight="1">
      <c r="A8" s="32" t="s">
        <v>61</v>
      </c>
      <c r="B8" s="33"/>
      <c r="C8" s="37" t="str">
        <f>IF(ECHANTILLONS!C9="","",ECHANTILLONS!C9)</f>
        <v/>
      </c>
      <c r="D8" s="27"/>
      <c r="E8" s="27"/>
      <c r="F8" s="27"/>
      <c r="G8" s="27"/>
      <c r="H8" s="27"/>
      <c r="I8" s="30"/>
    </row>
    <row r="9" spans="1:12" ht="15" customHeight="1">
      <c r="A9" s="32" t="s">
        <v>84</v>
      </c>
      <c r="B9" s="33"/>
      <c r="C9" s="38" t="str">
        <f>IF(ECHANTILLONS!C10="","",ECHANTILLONS!C10)</f>
        <v/>
      </c>
      <c r="D9" s="27"/>
      <c r="E9" s="27"/>
      <c r="F9" s="27"/>
      <c r="G9" s="27"/>
      <c r="H9" s="27"/>
      <c r="I9" s="39"/>
    </row>
    <row r="10" spans="1:12" ht="12.6" customHeight="1">
      <c r="A10" s="28"/>
      <c r="B10" s="40"/>
      <c r="C10" s="40"/>
      <c r="D10" s="27"/>
      <c r="E10" s="27"/>
      <c r="F10" s="27"/>
      <c r="G10" s="27"/>
      <c r="H10" s="27"/>
      <c r="I10" s="39"/>
    </row>
    <row r="11" spans="1:12" ht="12.6" customHeight="1">
      <c r="A11" s="28"/>
      <c r="B11" s="40"/>
      <c r="C11" s="40"/>
      <c r="D11" s="27"/>
      <c r="E11" s="27"/>
      <c r="F11" s="27"/>
      <c r="G11" s="27"/>
      <c r="H11" s="27"/>
      <c r="I11" s="39"/>
    </row>
    <row r="12" spans="1:12" ht="17.100000000000001" customHeight="1">
      <c r="A12" s="28"/>
      <c r="B12" s="40"/>
      <c r="C12" s="40"/>
      <c r="D12" s="73" t="s">
        <v>72</v>
      </c>
      <c r="E12" s="73"/>
      <c r="F12" s="73" t="s">
        <v>73</v>
      </c>
      <c r="G12" s="73"/>
      <c r="H12" s="74" t="s">
        <v>85</v>
      </c>
      <c r="I12" s="27"/>
    </row>
    <row r="13" spans="1:12" ht="47.25">
      <c r="A13" s="42"/>
      <c r="B13" s="43" t="s">
        <v>8</v>
      </c>
      <c r="C13" s="43" t="s">
        <v>9</v>
      </c>
      <c r="D13" s="41" t="s">
        <v>86</v>
      </c>
      <c r="E13" s="44" t="s">
        <v>87</v>
      </c>
      <c r="F13" s="41" t="s">
        <v>86</v>
      </c>
      <c r="G13" s="44" t="s">
        <v>87</v>
      </c>
      <c r="H13" s="74"/>
      <c r="I13" s="45" t="s">
        <v>88</v>
      </c>
      <c r="J13" s="55" t="s">
        <v>89</v>
      </c>
      <c r="K13" s="54"/>
      <c r="L13" s="54"/>
    </row>
    <row r="14" spans="1:12" ht="15" customHeight="1">
      <c r="A14" s="46" t="s">
        <v>11</v>
      </c>
      <c r="B14" s="47">
        <v>177</v>
      </c>
      <c r="C14" s="48">
        <v>2501248</v>
      </c>
      <c r="D14" s="49">
        <f>IF('450-600 nm'!F27="","",'450-600 nm'!F27)</f>
        <v>3.540336622170642</v>
      </c>
      <c r="E14" s="49" t="str">
        <f>IF(D14="","",IF(D14&gt;=$G$5,"POS","NEG"))</f>
        <v>NEG</v>
      </c>
      <c r="F14" s="49">
        <f>IF('450-600 nm'!L27="","",'450-600 nm'!L27)</f>
        <v>-7.7288941736028534</v>
      </c>
      <c r="G14" s="49" t="str">
        <f>IF(F14="","",IF(F14&gt;=$G$5,"POS","NEG"))</f>
        <v>NEG</v>
      </c>
      <c r="H14" s="49" t="str">
        <f>IF(AND(E14="NEG",G14="NEG"),"N",IF(E14="POS","P",IF(G14="POS","P","")))</f>
        <v>N</v>
      </c>
      <c r="I14" s="50" t="str">
        <f>IF(ECHANTILLONS!D15="","",ECHANTILLONS!D15)</f>
        <v/>
      </c>
      <c r="J14" s="50" t="s">
        <v>89</v>
      </c>
    </row>
    <row r="15" spans="1:12" ht="15" customHeight="1">
      <c r="A15" s="36" t="s">
        <v>12</v>
      </c>
      <c r="B15" s="47">
        <v>178</v>
      </c>
      <c r="C15" s="51">
        <v>2501295</v>
      </c>
      <c r="D15" s="52">
        <f>IF('450-600 nm'!G27="","",'450-600 nm'!G27)</f>
        <v>5.1654091700522429</v>
      </c>
      <c r="E15" s="49" t="str">
        <f t="shared" ref="E15:E57" si="0">IF(D15="","",IF(D15&gt;=$G$5,"POS","NEG"))</f>
        <v>NEG</v>
      </c>
      <c r="F15" s="52">
        <f>IF('450-600 nm'!M27="","",'450-600 nm'!M27)</f>
        <v>-17.717003567181933</v>
      </c>
      <c r="G15" s="49" t="str">
        <f t="shared" ref="G15:G57" si="1">IF(F15="","",IF(F15&gt;=$G$5,"POS","NEG"))</f>
        <v>NEG</v>
      </c>
      <c r="H15" s="49" t="str">
        <f t="shared" ref="H15:H57" si="2">IF(AND(E15="NEG",G15="NEG"),"N",IF(E15="POS","P",IF(G15="POS","P","")))</f>
        <v>N</v>
      </c>
      <c r="I15" s="50" t="str">
        <f>IF(ECHANTILLONS!D16="","",ECHANTILLONS!D16)</f>
        <v/>
      </c>
      <c r="J15" s="50" t="s">
        <v>89</v>
      </c>
    </row>
    <row r="16" spans="1:12" ht="15" customHeight="1">
      <c r="A16" s="36" t="s">
        <v>13</v>
      </c>
      <c r="B16" s="47">
        <v>179</v>
      </c>
      <c r="C16" s="51">
        <v>2501225</v>
      </c>
      <c r="D16" s="52">
        <f>IF('450-600 nm'!B28="","",'450-600 nm'!B28)</f>
        <v>-6.6744051073708732</v>
      </c>
      <c r="E16" s="49" t="str">
        <f t="shared" si="0"/>
        <v>NEG</v>
      </c>
      <c r="F16" s="52">
        <f>IF('450-600 nm'!H28="","",'450-600 nm'!H28)</f>
        <v>9.0130796670630104</v>
      </c>
      <c r="G16" s="49" t="str">
        <f t="shared" si="1"/>
        <v>NEG</v>
      </c>
      <c r="H16" s="49" t="str">
        <f t="shared" si="2"/>
        <v>N</v>
      </c>
      <c r="I16" s="50" t="str">
        <f>IF(ECHANTILLONS!D17="","",ECHANTILLONS!D17)</f>
        <v/>
      </c>
      <c r="J16" s="50" t="s">
        <v>89</v>
      </c>
    </row>
    <row r="17" spans="1:10" ht="15" customHeight="1">
      <c r="A17" s="36" t="s">
        <v>14</v>
      </c>
      <c r="B17" s="47">
        <v>180</v>
      </c>
      <c r="C17" s="51">
        <v>2501292</v>
      </c>
      <c r="D17" s="52">
        <f>IF('450-600 nm'!C28="","",'450-600 nm'!C28)</f>
        <v>22.228670922809059</v>
      </c>
      <c r="E17" s="49" t="str">
        <f t="shared" si="0"/>
        <v>NEG</v>
      </c>
      <c r="F17" s="52">
        <f>IF('450-600 nm'!I28="","",'450-600 nm'!I28)</f>
        <v>15.243757431629007</v>
      </c>
      <c r="G17" s="49" t="str">
        <f t="shared" si="1"/>
        <v>NEG</v>
      </c>
      <c r="H17" s="49" t="str">
        <f t="shared" si="2"/>
        <v>N</v>
      </c>
      <c r="I17" s="50" t="str">
        <f>IF(ECHANTILLONS!D18="","",ECHANTILLONS!D18)</f>
        <v/>
      </c>
      <c r="J17" s="50" t="s">
        <v>89</v>
      </c>
    </row>
    <row r="18" spans="1:10" ht="15" customHeight="1">
      <c r="A18" s="36" t="s">
        <v>15</v>
      </c>
      <c r="B18" s="47">
        <v>181</v>
      </c>
      <c r="C18" s="51">
        <v>2501913</v>
      </c>
      <c r="D18" s="52">
        <f>IF('450-600 nm'!D28="","",'450-600 nm'!D28)</f>
        <v>5.9779454439930362</v>
      </c>
      <c r="E18" s="49" t="str">
        <f t="shared" si="0"/>
        <v>NEG</v>
      </c>
      <c r="F18" s="52">
        <f>IF('450-600 nm'!J28="","",'450-600 nm'!J28)</f>
        <v>7.0154577883472058</v>
      </c>
      <c r="G18" s="49" t="str">
        <f t="shared" si="1"/>
        <v>NEG</v>
      </c>
      <c r="H18" s="49" t="str">
        <f t="shared" si="2"/>
        <v>N</v>
      </c>
      <c r="I18" s="50" t="str">
        <f>IF(ECHANTILLONS!D19="","",ECHANTILLONS!D19)</f>
        <v/>
      </c>
      <c r="J18" s="50" t="s">
        <v>89</v>
      </c>
    </row>
    <row r="19" spans="1:10" ht="15" customHeight="1">
      <c r="A19" s="36" t="s">
        <v>16</v>
      </c>
      <c r="B19" s="47">
        <v>182</v>
      </c>
      <c r="C19" s="51">
        <v>2501960</v>
      </c>
      <c r="D19" s="52">
        <f>IF('450-600 nm'!E28="","",'450-600 nm'!E28)</f>
        <v>18.165989553105049</v>
      </c>
      <c r="E19" s="49" t="str">
        <f t="shared" si="0"/>
        <v>NEG</v>
      </c>
      <c r="F19" s="52">
        <f>IF('450-600 nm'!K28="","",'450-600 nm'!K28)</f>
        <v>-2.9250891795481664</v>
      </c>
      <c r="G19" s="49" t="str">
        <f t="shared" si="1"/>
        <v>NEG</v>
      </c>
      <c r="H19" s="49" t="str">
        <f t="shared" si="2"/>
        <v>N</v>
      </c>
      <c r="I19" s="50" t="str">
        <f>IF(ECHANTILLONS!D20="","",ECHANTILLONS!D20)</f>
        <v/>
      </c>
      <c r="J19" s="50" t="s">
        <v>89</v>
      </c>
    </row>
    <row r="20" spans="1:10" ht="15" customHeight="1">
      <c r="A20" s="36" t="s">
        <v>17</v>
      </c>
      <c r="B20" s="47">
        <v>183</v>
      </c>
      <c r="C20" s="51">
        <v>2501955</v>
      </c>
      <c r="D20" s="52">
        <f>IF('450-600 nm'!F28="","",'450-600 nm'!F28)</f>
        <v>16.889146836912374</v>
      </c>
      <c r="E20" s="49" t="str">
        <f t="shared" si="0"/>
        <v>NEG</v>
      </c>
      <c r="F20" s="52">
        <f>IF('450-600 nm'!L28="","",'450-600 nm'!L28)</f>
        <v>0.64209274673008565</v>
      </c>
      <c r="G20" s="49" t="str">
        <f t="shared" si="1"/>
        <v>NEG</v>
      </c>
      <c r="H20" s="49" t="str">
        <f t="shared" si="2"/>
        <v>N</v>
      </c>
      <c r="I20" s="50" t="str">
        <f>IF(ECHANTILLONS!D21="","",ECHANTILLONS!D21)</f>
        <v/>
      </c>
      <c r="J20" s="50" t="s">
        <v>89</v>
      </c>
    </row>
    <row r="21" spans="1:10" ht="15" customHeight="1">
      <c r="A21" s="36" t="s">
        <v>18</v>
      </c>
      <c r="B21" s="47">
        <v>184</v>
      </c>
      <c r="C21" s="51">
        <v>2501968</v>
      </c>
      <c r="D21" s="52">
        <f>IF('450-600 nm'!G28="","",'450-600 nm'!G28)</f>
        <v>27.800348229831698</v>
      </c>
      <c r="E21" s="49" t="str">
        <f t="shared" si="0"/>
        <v>NEG</v>
      </c>
      <c r="F21" s="52">
        <f>IF('450-600 nm'!M28="","",'450-600 nm'!M28)</f>
        <v>-10.487514863258028</v>
      </c>
      <c r="G21" s="49" t="str">
        <f t="shared" si="1"/>
        <v>NEG</v>
      </c>
      <c r="H21" s="49" t="str">
        <f t="shared" si="2"/>
        <v>N</v>
      </c>
      <c r="I21" s="50" t="str">
        <f>IF(ECHANTILLONS!D22="","",ECHANTILLONS!D22)</f>
        <v/>
      </c>
      <c r="J21" s="50" t="s">
        <v>89</v>
      </c>
    </row>
    <row r="22" spans="1:10" ht="15" customHeight="1">
      <c r="A22" s="36" t="s">
        <v>19</v>
      </c>
      <c r="B22" s="47">
        <v>185</v>
      </c>
      <c r="C22" s="51">
        <v>2501922</v>
      </c>
      <c r="D22" s="52">
        <f>IF('450-600 nm'!B29="","",'450-600 nm'!B29)</f>
        <v>-4.8171793383633172</v>
      </c>
      <c r="E22" s="49" t="str">
        <f t="shared" si="0"/>
        <v>NEG</v>
      </c>
      <c r="F22" s="52">
        <f>IF('450-600 nm'!H29="","",'450-600 nm'!H29)</f>
        <v>2.2116527942925046</v>
      </c>
      <c r="G22" s="49" t="str">
        <f t="shared" si="1"/>
        <v>NEG</v>
      </c>
      <c r="H22" s="49" t="str">
        <f t="shared" si="2"/>
        <v>N</v>
      </c>
      <c r="I22" s="50" t="str">
        <f>IF(ECHANTILLONS!D23="","",ECHANTILLONS!D23)</f>
        <v/>
      </c>
      <c r="J22" s="50" t="s">
        <v>89</v>
      </c>
    </row>
    <row r="23" spans="1:10" ht="15" customHeight="1">
      <c r="A23" s="36" t="s">
        <v>20</v>
      </c>
      <c r="B23" s="47">
        <v>186</v>
      </c>
      <c r="C23" s="51">
        <v>2501925</v>
      </c>
      <c r="D23" s="52">
        <f>IF('450-600 nm'!C29="","",'450-600 nm'!C29)</f>
        <v>12.246082414393499</v>
      </c>
      <c r="E23" s="49" t="str">
        <f t="shared" si="0"/>
        <v>NEG</v>
      </c>
      <c r="F23" s="52">
        <f>IF('450-600 nm'!I29="","",'450-600 nm'!I29)</f>
        <v>7.1581450653983296</v>
      </c>
      <c r="G23" s="49" t="str">
        <f t="shared" si="1"/>
        <v>NEG</v>
      </c>
      <c r="H23" s="49" t="str">
        <f t="shared" si="2"/>
        <v>N</v>
      </c>
      <c r="I23" s="50" t="str">
        <f>IF(ECHANTILLONS!D24="","",ECHANTILLONS!D24)</f>
        <v/>
      </c>
      <c r="J23" s="50" t="s">
        <v>89</v>
      </c>
    </row>
    <row r="24" spans="1:10" ht="15" customHeight="1">
      <c r="A24" s="36" t="s">
        <v>21</v>
      </c>
      <c r="B24" s="47">
        <v>187</v>
      </c>
      <c r="C24" s="51">
        <v>2402967</v>
      </c>
      <c r="D24" s="52">
        <f>IF('450-600 nm'!D29="","",'450-600 nm'!D29)</f>
        <v>5.0493325594892724</v>
      </c>
      <c r="E24" s="49" t="str">
        <f t="shared" si="0"/>
        <v>NEG</v>
      </c>
      <c r="F24" s="52">
        <f>IF('450-600 nm'!J29="","",'450-600 nm'!J29)</f>
        <v>12.009512485136739</v>
      </c>
      <c r="G24" s="49" t="str">
        <f t="shared" si="1"/>
        <v>NEG</v>
      </c>
      <c r="H24" s="49" t="str">
        <f t="shared" si="2"/>
        <v>N</v>
      </c>
      <c r="I24" s="50" t="str">
        <f>IF(ECHANTILLONS!D25="","",ECHANTILLONS!D25)</f>
        <v/>
      </c>
      <c r="J24" s="50" t="s">
        <v>89</v>
      </c>
    </row>
    <row r="25" spans="1:10" ht="15" customHeight="1">
      <c r="A25" s="36" t="s">
        <v>22</v>
      </c>
      <c r="B25" s="47">
        <v>188</v>
      </c>
      <c r="C25" s="51">
        <v>2501927</v>
      </c>
      <c r="D25" s="52">
        <f>IF('450-600 nm'!E29="","",'450-600 nm'!E29)</f>
        <v>19.210679048171812</v>
      </c>
      <c r="E25" s="49" t="str">
        <f t="shared" si="0"/>
        <v>NEG</v>
      </c>
      <c r="F25" s="52">
        <f>IF('450-600 nm'!K29="","",'450-600 nm'!K29)</f>
        <v>1.9738406658739649</v>
      </c>
      <c r="G25" s="49" t="str">
        <f t="shared" si="1"/>
        <v>NEG</v>
      </c>
      <c r="H25" s="49" t="str">
        <f t="shared" si="2"/>
        <v>N</v>
      </c>
      <c r="I25" s="50" t="str">
        <f>IF(ECHANTILLONS!D26="","",ECHANTILLONS!D26)</f>
        <v/>
      </c>
      <c r="J25" s="50" t="s">
        <v>89</v>
      </c>
    </row>
    <row r="26" spans="1:10" ht="15" customHeight="1">
      <c r="A26" s="36" t="s">
        <v>23</v>
      </c>
      <c r="B26" s="47">
        <v>189</v>
      </c>
      <c r="C26" s="51">
        <v>2400333</v>
      </c>
      <c r="D26" s="52">
        <f>IF('450-600 nm'!F29="","",'450-600 nm'!F29)</f>
        <v>9.1120139291932674</v>
      </c>
      <c r="E26" s="49" t="str">
        <f t="shared" si="0"/>
        <v>NEG</v>
      </c>
      <c r="F26" s="52">
        <f>IF('450-600 nm'!L29="","",'450-600 nm'!L29)</f>
        <v>8.3947681331748072</v>
      </c>
      <c r="G26" s="49" t="str">
        <f t="shared" si="1"/>
        <v>NEG</v>
      </c>
      <c r="H26" s="49" t="str">
        <f t="shared" si="2"/>
        <v>N</v>
      </c>
      <c r="I26" s="50" t="str">
        <f>IF(ECHANTILLONS!D27="","",ECHANTILLONS!D27)</f>
        <v/>
      </c>
      <c r="J26" s="50" t="s">
        <v>89</v>
      </c>
    </row>
    <row r="27" spans="1:10" ht="15" customHeight="1">
      <c r="A27" s="36" t="s">
        <v>24</v>
      </c>
      <c r="B27" s="47">
        <v>190</v>
      </c>
      <c r="C27" s="51">
        <v>2502158</v>
      </c>
      <c r="D27" s="52">
        <f>IF('450-600 nm'!G29="","",'450-600 nm'!G29)</f>
        <v>13.522925130586188</v>
      </c>
      <c r="E27" s="49" t="str">
        <f t="shared" si="0"/>
        <v>NEG</v>
      </c>
      <c r="F27" s="52">
        <f>IF('450-600 nm'!M29="","",'450-600 nm'!M29)</f>
        <v>-8.204518430439947</v>
      </c>
      <c r="G27" s="49" t="str">
        <f t="shared" si="1"/>
        <v>NEG</v>
      </c>
      <c r="H27" s="49" t="str">
        <f t="shared" si="2"/>
        <v>N</v>
      </c>
      <c r="I27" s="50" t="str">
        <f>IF(ECHANTILLONS!D28="","",ECHANTILLONS!D28)</f>
        <v/>
      </c>
      <c r="J27" s="50" t="s">
        <v>89</v>
      </c>
    </row>
    <row r="28" spans="1:10" ht="15" customHeight="1">
      <c r="A28" s="36" t="s">
        <v>25</v>
      </c>
      <c r="B28" s="47">
        <v>191</v>
      </c>
      <c r="C28" s="51">
        <v>2501888</v>
      </c>
      <c r="D28" s="52">
        <f>IF('450-600 nm'!B30="","",'450-600 nm'!B30)</f>
        <v>-11.665699361578646</v>
      </c>
      <c r="E28" s="49" t="str">
        <f t="shared" si="0"/>
        <v>NEG</v>
      </c>
      <c r="F28" s="52">
        <f>IF('450-600 nm'!H30="","",'450-600 nm'!H30)</f>
        <v>5.3507728894173709</v>
      </c>
      <c r="G28" s="49" t="str">
        <f t="shared" si="1"/>
        <v>NEG</v>
      </c>
      <c r="H28" s="49" t="str">
        <f t="shared" si="2"/>
        <v>N</v>
      </c>
      <c r="I28" s="50" t="str">
        <f>IF(ECHANTILLONS!D29="","",ECHANTILLONS!D29)</f>
        <v/>
      </c>
      <c r="J28" s="50" t="s">
        <v>89</v>
      </c>
    </row>
    <row r="29" spans="1:10" ht="15" customHeight="1">
      <c r="A29" s="36" t="s">
        <v>26</v>
      </c>
      <c r="B29" s="47">
        <v>192</v>
      </c>
      <c r="C29" s="51">
        <v>2501897</v>
      </c>
      <c r="D29" s="52">
        <f>IF('450-600 nm'!C30="","",'450-600 nm'!C30)</f>
        <v>6.674405107370859</v>
      </c>
      <c r="E29" s="49" t="str">
        <f t="shared" si="0"/>
        <v>NEG</v>
      </c>
      <c r="F29" s="52">
        <f>IF('450-600 nm'!I30="","",'450-600 nm'!I30)</f>
        <v>8.6801426872770548</v>
      </c>
      <c r="G29" s="49" t="str">
        <f t="shared" si="1"/>
        <v>NEG</v>
      </c>
      <c r="H29" s="49" t="str">
        <f t="shared" si="2"/>
        <v>N</v>
      </c>
      <c r="I29" s="50" t="str">
        <f>IF(ECHANTILLONS!D30="","",ECHANTILLONS!D30)</f>
        <v/>
      </c>
      <c r="J29" s="50" t="s">
        <v>89</v>
      </c>
    </row>
    <row r="30" spans="1:10" ht="15" customHeight="1">
      <c r="A30" s="36" t="s">
        <v>27</v>
      </c>
      <c r="B30" s="47">
        <v>193</v>
      </c>
      <c r="C30" s="51">
        <v>2402279</v>
      </c>
      <c r="D30" s="52">
        <f>IF('450-600 nm'!D30="","",'450-600 nm'!D30)</f>
        <v>-1.9152640742890412</v>
      </c>
      <c r="E30" s="49" t="str">
        <f t="shared" si="0"/>
        <v>NEG</v>
      </c>
      <c r="F30" s="52">
        <f>IF('450-600 nm'!J30="","",'450-600 nm'!J30)</f>
        <v>7.1105826397146217</v>
      </c>
      <c r="G30" s="49" t="str">
        <f t="shared" si="1"/>
        <v>NEG</v>
      </c>
      <c r="H30" s="49" t="str">
        <f t="shared" si="2"/>
        <v>N</v>
      </c>
      <c r="I30" s="50" t="str">
        <f>IF(ECHANTILLONS!D31="","",ECHANTILLONS!D31)</f>
        <v/>
      </c>
      <c r="J30" s="50" t="s">
        <v>89</v>
      </c>
    </row>
    <row r="31" spans="1:10" ht="15" customHeight="1">
      <c r="A31" s="36" t="s">
        <v>28</v>
      </c>
      <c r="B31" s="47">
        <v>194</v>
      </c>
      <c r="C31" s="51">
        <v>2402278</v>
      </c>
      <c r="D31" s="52">
        <f>IF('450-600 nm'!E30="","",'450-600 nm'!E30)</f>
        <v>7.2547881601857256</v>
      </c>
      <c r="E31" s="49" t="str">
        <f t="shared" si="0"/>
        <v>NEG</v>
      </c>
      <c r="F31" s="52">
        <f>IF('450-600 nm'!K30="","",'450-600 nm'!K30)</f>
        <v>-1.3555291319857048</v>
      </c>
      <c r="G31" s="49" t="str">
        <f t="shared" si="1"/>
        <v>NEG</v>
      </c>
      <c r="H31" s="49" t="str">
        <f t="shared" si="2"/>
        <v>N</v>
      </c>
      <c r="I31" s="50" t="str">
        <f>IF(ECHANTILLONS!D32="","",ECHANTILLONS!D32)</f>
        <v/>
      </c>
      <c r="J31" s="50" t="s">
        <v>89</v>
      </c>
    </row>
    <row r="32" spans="1:10" ht="15" customHeight="1">
      <c r="A32" s="36" t="s">
        <v>29</v>
      </c>
      <c r="B32" s="47">
        <v>195</v>
      </c>
      <c r="C32" s="51">
        <v>2402282</v>
      </c>
      <c r="D32" s="52">
        <f>IF('450-600 nm'!F30="","",'450-600 nm'!F30)</f>
        <v>12.942542077771336</v>
      </c>
      <c r="E32" s="49" t="str">
        <f t="shared" si="0"/>
        <v>NEG</v>
      </c>
      <c r="F32" s="52">
        <f>IF('450-600 nm'!L30="","",'450-600 nm'!L30)</f>
        <v>-2.7824019024970283</v>
      </c>
      <c r="G32" s="49" t="str">
        <f t="shared" si="1"/>
        <v>NEG</v>
      </c>
      <c r="H32" s="49" t="str">
        <f t="shared" si="2"/>
        <v>N</v>
      </c>
      <c r="I32" s="50" t="str">
        <f>IF(ECHANTILLONS!D33="","",ECHANTILLONS!D33)</f>
        <v/>
      </c>
      <c r="J32" s="50" t="s">
        <v>89</v>
      </c>
    </row>
    <row r="33" spans="1:10" ht="15" customHeight="1">
      <c r="A33" s="36" t="s">
        <v>30</v>
      </c>
      <c r="B33" s="47">
        <v>196</v>
      </c>
      <c r="C33" s="51">
        <v>2402288</v>
      </c>
      <c r="D33" s="52">
        <f>IF('450-600 nm'!G30="","",'450-600 nm'!G30)</f>
        <v>15.147997678467789</v>
      </c>
      <c r="E33" s="49" t="str">
        <f t="shared" si="0"/>
        <v>NEG</v>
      </c>
      <c r="F33" s="52">
        <f>IF('450-600 nm'!M30="","",'450-600 nm'!M30)</f>
        <v>-11.200951248513675</v>
      </c>
      <c r="G33" s="49" t="str">
        <f t="shared" si="1"/>
        <v>NEG</v>
      </c>
      <c r="H33" s="49" t="str">
        <f t="shared" si="2"/>
        <v>N</v>
      </c>
      <c r="I33" s="50" t="str">
        <f>IF(ECHANTILLONS!D34="","",ECHANTILLONS!D34)</f>
        <v/>
      </c>
      <c r="J33" s="50" t="s">
        <v>89</v>
      </c>
    </row>
    <row r="34" spans="1:10" ht="15" customHeight="1">
      <c r="A34" s="36" t="s">
        <v>31</v>
      </c>
      <c r="B34" s="47">
        <v>197</v>
      </c>
      <c r="C34" s="51">
        <v>2402777</v>
      </c>
      <c r="D34" s="52">
        <f>IF('450-600 nm'!B31="","",'450-600 nm'!B31)</f>
        <v>1.9152640742890412</v>
      </c>
      <c r="E34" s="49" t="str">
        <f t="shared" si="0"/>
        <v>NEG</v>
      </c>
      <c r="F34" s="52">
        <f>IF('450-600 nm'!H31="","",'450-600 nm'!H31)</f>
        <v>14.244946492271112</v>
      </c>
      <c r="G34" s="49" t="str">
        <f t="shared" si="1"/>
        <v>NEG</v>
      </c>
      <c r="H34" s="49" t="str">
        <f t="shared" si="2"/>
        <v>N</v>
      </c>
      <c r="I34" s="50" t="str">
        <f>IF(ECHANTILLONS!D35="","",ECHANTILLONS!D35)</f>
        <v/>
      </c>
      <c r="J34" s="50" t="s">
        <v>89</v>
      </c>
    </row>
    <row r="35" spans="1:10" ht="15" customHeight="1">
      <c r="A35" s="36" t="s">
        <v>32</v>
      </c>
      <c r="B35" s="47">
        <v>198</v>
      </c>
      <c r="C35" s="51">
        <v>2500026</v>
      </c>
      <c r="D35" s="52">
        <f>IF('450-600 nm'!C31="","",'450-600 nm'!C31)</f>
        <v>11.201392919326764</v>
      </c>
      <c r="E35" s="49" t="str">
        <f t="shared" si="0"/>
        <v>NEG</v>
      </c>
      <c r="F35" s="52">
        <f>IF('450-600 nm'!I31="","",'450-600 nm'!I31)</f>
        <v>10.059453032104642</v>
      </c>
      <c r="G35" s="49" t="str">
        <f t="shared" si="1"/>
        <v>NEG</v>
      </c>
      <c r="H35" s="49" t="str">
        <f t="shared" si="2"/>
        <v>N</v>
      </c>
      <c r="I35" s="50" t="str">
        <f>IF(ECHANTILLONS!D36="","",ECHANTILLONS!D36)</f>
        <v/>
      </c>
      <c r="J35" s="50" t="s">
        <v>89</v>
      </c>
    </row>
    <row r="36" spans="1:10" ht="15" customHeight="1">
      <c r="A36" s="36" t="s">
        <v>33</v>
      </c>
      <c r="B36" s="47">
        <v>199</v>
      </c>
      <c r="C36" s="51">
        <v>2400839</v>
      </c>
      <c r="D36" s="52">
        <f>IF('450-600 nm'!D31="","",'450-600 nm'!D31)</f>
        <v>17.121300058038315</v>
      </c>
      <c r="E36" s="49" t="str">
        <f t="shared" si="0"/>
        <v>NEG</v>
      </c>
      <c r="F36" s="52">
        <f>IF('450-600 nm'!J31="","",'450-600 nm'!J31)</f>
        <v>9.5838287752675484</v>
      </c>
      <c r="G36" s="49" t="str">
        <f t="shared" si="1"/>
        <v>NEG</v>
      </c>
      <c r="H36" s="49" t="str">
        <f t="shared" si="2"/>
        <v>N</v>
      </c>
      <c r="I36" s="50" t="str">
        <f>IF(ECHANTILLONS!D37="","",ECHANTILLONS!D37)</f>
        <v/>
      </c>
      <c r="J36" s="50" t="s">
        <v>89</v>
      </c>
    </row>
    <row r="37" spans="1:10" ht="15" customHeight="1">
      <c r="A37" s="36" t="s">
        <v>34</v>
      </c>
      <c r="B37" s="47">
        <v>200</v>
      </c>
      <c r="C37" s="51">
        <v>2400825</v>
      </c>
      <c r="D37" s="52">
        <f>IF('450-600 nm'!E31="","",'450-600 nm'!E31)</f>
        <v>0.17411491584445571</v>
      </c>
      <c r="E37" s="49" t="str">
        <f t="shared" si="0"/>
        <v>NEG</v>
      </c>
      <c r="F37" s="52">
        <f>IF('450-600 nm'!K31="","",'450-600 nm'!K31)</f>
        <v>4.922711058263971</v>
      </c>
      <c r="G37" s="49" t="str">
        <f t="shared" si="1"/>
        <v>NEG</v>
      </c>
      <c r="H37" s="49" t="str">
        <f t="shared" si="2"/>
        <v>N</v>
      </c>
      <c r="I37" s="50" t="str">
        <f>IF(ECHANTILLONS!D38="","",ECHANTILLONS!D38)</f>
        <v/>
      </c>
      <c r="J37" s="50" t="s">
        <v>89</v>
      </c>
    </row>
    <row r="38" spans="1:10" ht="15" customHeight="1">
      <c r="A38" s="36" t="s">
        <v>35</v>
      </c>
      <c r="B38" s="47">
        <v>201</v>
      </c>
      <c r="C38" s="51">
        <v>2501972</v>
      </c>
      <c r="D38" s="52">
        <f>IF('450-600 nm'!F31="","",'450-600 nm'!F31)</f>
        <v>14.219384793964025</v>
      </c>
      <c r="E38" s="49" t="str">
        <f t="shared" si="0"/>
        <v>NEG</v>
      </c>
      <c r="F38" s="52">
        <f>IF('450-600 nm'!L31="","",'450-600 nm'!L31)</f>
        <v>1.8311533888228269</v>
      </c>
      <c r="G38" s="49" t="str">
        <f t="shared" si="1"/>
        <v>NEG</v>
      </c>
      <c r="H38" s="49" t="str">
        <f t="shared" si="2"/>
        <v>N</v>
      </c>
      <c r="I38" s="50" t="str">
        <f>IF(ECHANTILLONS!D39="","",ECHANTILLONS!D39)</f>
        <v/>
      </c>
      <c r="J38" s="50" t="s">
        <v>89</v>
      </c>
    </row>
    <row r="39" spans="1:10" ht="15" customHeight="1">
      <c r="A39" s="36" t="s">
        <v>36</v>
      </c>
      <c r="B39" s="47">
        <v>202</v>
      </c>
      <c r="C39" s="51">
        <v>2501321</v>
      </c>
      <c r="D39" s="52">
        <f>IF('450-600 nm'!G31="","",'450-600 nm'!G31)</f>
        <v>16.308763784097508</v>
      </c>
      <c r="E39" s="49" t="str">
        <f t="shared" si="0"/>
        <v>NEG</v>
      </c>
      <c r="F39" s="52">
        <f>IF('450-600 nm'!M31="","",'450-600 nm'!M31)</f>
        <v>-9.0130796670630104</v>
      </c>
      <c r="G39" s="49" t="str">
        <f t="shared" si="1"/>
        <v>NEG</v>
      </c>
      <c r="H39" s="49" t="str">
        <f t="shared" si="2"/>
        <v>N</v>
      </c>
      <c r="I39" s="50" t="str">
        <f>IF(ECHANTILLONS!D40="","",ECHANTILLONS!D40)</f>
        <v/>
      </c>
      <c r="J39" s="50" t="s">
        <v>89</v>
      </c>
    </row>
    <row r="40" spans="1:10" ht="15" customHeight="1">
      <c r="A40" s="36" t="s">
        <v>37</v>
      </c>
      <c r="B40" s="47">
        <v>203</v>
      </c>
      <c r="C40" s="51">
        <v>2501176</v>
      </c>
      <c r="D40" s="52">
        <f>IF('450-600 nm'!B32="","",'450-600 nm'!B32)</f>
        <v>-17.817759721416124</v>
      </c>
      <c r="E40" s="49" t="str">
        <f t="shared" si="0"/>
        <v>NEG</v>
      </c>
      <c r="F40" s="52">
        <f>IF('450-600 nm'!H32="","",'450-600 nm'!H32)</f>
        <v>-9.7265160523186722</v>
      </c>
      <c r="G40" s="49" t="str">
        <f t="shared" si="1"/>
        <v>NEG</v>
      </c>
      <c r="H40" s="49" t="str">
        <f t="shared" si="2"/>
        <v>N</v>
      </c>
      <c r="I40" s="50" t="str">
        <f>IF(ECHANTILLONS!D41="","",ECHANTILLONS!D41)</f>
        <v/>
      </c>
      <c r="J40" s="50" t="s">
        <v>89</v>
      </c>
    </row>
    <row r="41" spans="1:10" ht="15" customHeight="1">
      <c r="A41" s="36" t="s">
        <v>38</v>
      </c>
      <c r="B41" s="47">
        <v>204</v>
      </c>
      <c r="C41" s="51">
        <v>2501168</v>
      </c>
      <c r="D41" s="52">
        <f>IF('450-600 nm'!C32="","",'450-600 nm'!C32)</f>
        <v>-3.8885664538595535</v>
      </c>
      <c r="E41" s="49" t="str">
        <f t="shared" si="0"/>
        <v>NEG</v>
      </c>
      <c r="F41" s="52">
        <f>IF('450-600 nm'!I32="","",'450-600 nm'!I32)</f>
        <v>1.7360285374554252</v>
      </c>
      <c r="G41" s="49" t="str">
        <f t="shared" si="1"/>
        <v>NEG</v>
      </c>
      <c r="H41" s="49" t="str">
        <f t="shared" si="2"/>
        <v>N</v>
      </c>
      <c r="I41" s="50" t="str">
        <f>IF(ECHANTILLONS!D42="","",ECHANTILLONS!D42)</f>
        <v/>
      </c>
      <c r="J41" s="50" t="s">
        <v>89</v>
      </c>
    </row>
    <row r="42" spans="1:10" ht="15" customHeight="1">
      <c r="A42" s="36" t="s">
        <v>39</v>
      </c>
      <c r="B42" s="47">
        <v>205</v>
      </c>
      <c r="C42" s="51">
        <v>2501886</v>
      </c>
      <c r="D42" s="52">
        <f>IF('450-600 nm'!D32="","",'450-600 nm'!D32)</f>
        <v>-10.272780034822972</v>
      </c>
      <c r="E42" s="49" t="str">
        <f t="shared" si="0"/>
        <v>NEG</v>
      </c>
      <c r="F42" s="52">
        <f>IF('450-600 nm'!J32="","",'450-600 nm'!J32)</f>
        <v>-2.7348394768133204</v>
      </c>
      <c r="G42" s="49" t="str">
        <f t="shared" si="1"/>
        <v>NEG</v>
      </c>
      <c r="H42" s="49" t="str">
        <f t="shared" si="2"/>
        <v>N</v>
      </c>
      <c r="I42" s="50" t="str">
        <f>IF(ECHANTILLONS!D43="","",ECHANTILLONS!D43)</f>
        <v/>
      </c>
      <c r="J42" s="50" t="s">
        <v>89</v>
      </c>
    </row>
    <row r="43" spans="1:10" ht="15" customHeight="1">
      <c r="A43" s="36" t="s">
        <v>40</v>
      </c>
      <c r="B43" s="47">
        <v>206</v>
      </c>
      <c r="C43" s="51">
        <v>2501885</v>
      </c>
      <c r="D43" s="52">
        <f>IF('450-600 nm'!E32="","",'450-600 nm'!E32)</f>
        <v>-4.0046430644225239</v>
      </c>
      <c r="E43" s="49" t="str">
        <f t="shared" si="0"/>
        <v>NEG</v>
      </c>
      <c r="F43" s="52">
        <f>IF('450-600 nm'!K32="","",'450-600 nm'!K32)</f>
        <v>-11.581450653983353</v>
      </c>
      <c r="G43" s="49" t="str">
        <f t="shared" si="1"/>
        <v>NEG</v>
      </c>
      <c r="H43" s="49" t="str">
        <f t="shared" si="2"/>
        <v>N</v>
      </c>
      <c r="I43" s="50" t="str">
        <f>IF(ECHANTILLONS!D44="","",ECHANTILLONS!D44)</f>
        <v/>
      </c>
      <c r="J43" s="50" t="s">
        <v>89</v>
      </c>
    </row>
    <row r="44" spans="1:10" ht="15" customHeight="1">
      <c r="A44" s="36" t="s">
        <v>41</v>
      </c>
      <c r="B44" s="47">
        <v>207</v>
      </c>
      <c r="C44" s="51">
        <v>2501901</v>
      </c>
      <c r="D44" s="52">
        <f>IF('450-600 nm'!F32="","",'450-600 nm'!F32)</f>
        <v>43.586767266395817</v>
      </c>
      <c r="E44" s="49" t="str">
        <f t="shared" si="0"/>
        <v>POS</v>
      </c>
      <c r="F44" s="52">
        <f>IF('450-600 nm'!L32="","",'450-600 nm'!L32)</f>
        <v>31.938168846611177</v>
      </c>
      <c r="G44" s="49" t="str">
        <f t="shared" si="1"/>
        <v>POS</v>
      </c>
      <c r="H44" s="49" t="str">
        <f t="shared" si="2"/>
        <v>P</v>
      </c>
      <c r="I44" s="50" t="str">
        <f>IF(ECHANTILLONS!D45="","",ECHANTILLONS!D45)</f>
        <v/>
      </c>
      <c r="J44" s="50" t="s">
        <v>89</v>
      </c>
    </row>
    <row r="45" spans="1:10" ht="15" customHeight="1">
      <c r="A45" s="36" t="s">
        <v>42</v>
      </c>
      <c r="B45" s="47">
        <v>208</v>
      </c>
      <c r="C45" s="51">
        <v>2402797</v>
      </c>
      <c r="D45" s="52">
        <f>IF('450-600 nm'!G32="","",'450-600 nm'!G32)</f>
        <v>-8.0673244341265189</v>
      </c>
      <c r="E45" s="49" t="str">
        <f t="shared" si="0"/>
        <v>NEG</v>
      </c>
      <c r="F45" s="52">
        <f>IF('450-600 nm'!M32="","",'450-600 nm'!M32)</f>
        <v>-20.760998810939356</v>
      </c>
      <c r="G45" s="49" t="str">
        <f t="shared" si="1"/>
        <v>NEG</v>
      </c>
      <c r="H45" s="49" t="str">
        <f t="shared" si="2"/>
        <v>N</v>
      </c>
      <c r="I45" s="50" t="str">
        <f>IF(ECHANTILLONS!D46="","",ECHANTILLONS!D46)</f>
        <v/>
      </c>
      <c r="J45" s="50" t="s">
        <v>89</v>
      </c>
    </row>
    <row r="46" spans="1:10" ht="15" customHeight="1">
      <c r="A46" s="36" t="s">
        <v>43</v>
      </c>
      <c r="B46" s="47">
        <v>209</v>
      </c>
      <c r="C46" s="51">
        <v>2500040</v>
      </c>
      <c r="D46" s="52">
        <f>IF('450-600 nm'!B33="","",'450-600 nm'!B33)</f>
        <v>1.1027278003482337</v>
      </c>
      <c r="E46" s="49" t="str">
        <f t="shared" si="0"/>
        <v>NEG</v>
      </c>
      <c r="F46" s="52">
        <f>IF('450-600 nm'!H33="","",'450-600 nm'!H33)</f>
        <v>-17.954815695600473</v>
      </c>
      <c r="G46" s="49" t="str">
        <f t="shared" si="1"/>
        <v>NEG</v>
      </c>
      <c r="H46" s="49" t="str">
        <f t="shared" si="2"/>
        <v>N</v>
      </c>
      <c r="I46" s="50" t="str">
        <f>IF(ECHANTILLONS!D47="","",ECHANTILLONS!D47)</f>
        <v/>
      </c>
      <c r="J46" s="50" t="s">
        <v>89</v>
      </c>
    </row>
    <row r="47" spans="1:10" ht="15" customHeight="1">
      <c r="A47" s="36" t="s">
        <v>44</v>
      </c>
      <c r="B47" s="47">
        <v>210</v>
      </c>
      <c r="C47" s="51">
        <v>2500061</v>
      </c>
      <c r="D47" s="52">
        <f>IF('450-600 nm'!C33="","",'450-600 nm'!C33)</f>
        <v>-15.38015089959373</v>
      </c>
      <c r="E47" s="49" t="str">
        <f t="shared" si="0"/>
        <v>NEG</v>
      </c>
      <c r="F47" s="52">
        <f>IF('450-600 nm'!I33="","",'450-600 nm'!I33)</f>
        <v>-10.43995243757432</v>
      </c>
      <c r="G47" s="49" t="str">
        <f t="shared" si="1"/>
        <v>NEG</v>
      </c>
      <c r="H47" s="49" t="str">
        <f t="shared" si="2"/>
        <v>N</v>
      </c>
      <c r="I47" s="50" t="str">
        <f>IF(ECHANTILLONS!D48="","",ECHANTILLONS!D48)</f>
        <v/>
      </c>
      <c r="J47" s="50" t="s">
        <v>89</v>
      </c>
    </row>
    <row r="48" spans="1:10" ht="15" customHeight="1">
      <c r="A48" s="36" t="s">
        <v>45</v>
      </c>
      <c r="B48" s="47">
        <v>211</v>
      </c>
      <c r="C48" s="51">
        <v>2501304</v>
      </c>
      <c r="D48" s="52">
        <f>IF('450-600 nm'!D33="","",'450-600 nm'!D33)</f>
        <v>-8.9959373186302827</v>
      </c>
      <c r="E48" s="49" t="str">
        <f t="shared" si="0"/>
        <v>NEG</v>
      </c>
      <c r="F48" s="52">
        <f>IF('450-600 nm'!J33="","",'450-600 nm'!J33)</f>
        <v>-18.953626634958368</v>
      </c>
      <c r="G48" s="49" t="str">
        <f t="shared" si="1"/>
        <v>NEG</v>
      </c>
      <c r="H48" s="49" t="str">
        <f t="shared" si="2"/>
        <v>N</v>
      </c>
      <c r="I48" s="50" t="str">
        <f>IF(ECHANTILLONS!D49="","",ECHANTILLONS!D49)</f>
        <v/>
      </c>
      <c r="J48" s="50" t="s">
        <v>89</v>
      </c>
    </row>
    <row r="49" spans="1:10" ht="15" customHeight="1">
      <c r="A49" s="36" t="s">
        <v>46</v>
      </c>
      <c r="B49" s="47">
        <v>212</v>
      </c>
      <c r="C49" s="51">
        <v>2501307</v>
      </c>
      <c r="D49" s="52">
        <f>IF('450-600 nm'!E33="","",'450-600 nm'!E33)</f>
        <v>-14.335461404526967</v>
      </c>
      <c r="E49" s="49" t="str">
        <f t="shared" si="0"/>
        <v>NEG</v>
      </c>
      <c r="F49" s="52">
        <f>IF('450-600 nm'!K33="","",'450-600 nm'!K33)</f>
        <v>-27.37217598097503</v>
      </c>
      <c r="G49" s="49" t="str">
        <f t="shared" si="1"/>
        <v>NEG</v>
      </c>
      <c r="H49" s="49" t="str">
        <f t="shared" si="2"/>
        <v>N</v>
      </c>
      <c r="I49" s="50" t="str">
        <f>IF(ECHANTILLONS!D50="","",ECHANTILLONS!D50)</f>
        <v/>
      </c>
      <c r="J49" s="50" t="s">
        <v>89</v>
      </c>
    </row>
    <row r="50" spans="1:10" ht="15" customHeight="1">
      <c r="A50" s="36" t="s">
        <v>47</v>
      </c>
      <c r="B50" s="47">
        <v>213</v>
      </c>
      <c r="C50" s="51">
        <v>2501322</v>
      </c>
      <c r="D50" s="52">
        <f>IF('450-600 nm'!F33="","",'450-600 nm'!F33)</f>
        <v>-20.255368543238532</v>
      </c>
      <c r="E50" s="49" t="str">
        <f t="shared" si="0"/>
        <v>NEG</v>
      </c>
      <c r="F50" s="52">
        <f>IF('450-600 nm'!L33="","",'450-600 nm'!L33)</f>
        <v>-19.524375743162906</v>
      </c>
      <c r="G50" s="49" t="str">
        <f t="shared" si="1"/>
        <v>NEG</v>
      </c>
      <c r="H50" s="49" t="str">
        <f t="shared" si="2"/>
        <v>N</v>
      </c>
      <c r="I50" s="50" t="str">
        <f>IF(ECHANTILLONS!D51="","",ECHANTILLONS!D51)</f>
        <v/>
      </c>
      <c r="J50" s="50" t="s">
        <v>89</v>
      </c>
    </row>
    <row r="51" spans="1:10" ht="15" customHeight="1">
      <c r="A51" s="36" t="s">
        <v>48</v>
      </c>
      <c r="B51" s="47">
        <v>214</v>
      </c>
      <c r="C51" s="51">
        <v>2402762</v>
      </c>
      <c r="D51" s="52">
        <f>IF('450-600 nm'!G33="","",'450-600 nm'!G33)</f>
        <v>-23.96982008125363</v>
      </c>
      <c r="E51" s="49" t="str">
        <f t="shared" si="0"/>
        <v>NEG</v>
      </c>
      <c r="F51" s="52">
        <f>IF('450-600 nm'!M33="","",'450-600 nm'!M33)</f>
        <v>-34.982164090368599</v>
      </c>
      <c r="G51" s="49" t="str">
        <f t="shared" si="1"/>
        <v>NEG</v>
      </c>
      <c r="H51" s="49" t="str">
        <f t="shared" si="2"/>
        <v>N</v>
      </c>
      <c r="I51" s="50" t="str">
        <f>IF(ECHANTILLONS!D52="","",ECHANTILLONS!D52)</f>
        <v/>
      </c>
      <c r="J51" s="50" t="s">
        <v>89</v>
      </c>
    </row>
    <row r="52" spans="1:10" ht="15" customHeight="1">
      <c r="A52" s="36" t="s">
        <v>49</v>
      </c>
      <c r="B52" s="47">
        <v>215</v>
      </c>
      <c r="C52" s="51">
        <v>2501308</v>
      </c>
      <c r="D52" s="52">
        <f>IF('450-600 nm'!B34="","",'450-600 nm'!B34)</f>
        <v>4.8171793383633315</v>
      </c>
      <c r="E52" s="49" t="str">
        <f t="shared" si="0"/>
        <v>NEG</v>
      </c>
      <c r="F52" s="52">
        <f>IF('450-600 nm'!H34="","",'450-600 nm'!H34)</f>
        <v>-16.908442330558856</v>
      </c>
      <c r="G52" s="49" t="str">
        <f t="shared" si="1"/>
        <v>NEG</v>
      </c>
      <c r="H52" s="49" t="str">
        <f t="shared" si="2"/>
        <v>N</v>
      </c>
      <c r="I52" s="50" t="str">
        <f>IF(ECHANTILLONS!D53="","",ECHANTILLONS!D53)</f>
        <v/>
      </c>
      <c r="J52" s="50" t="s">
        <v>89</v>
      </c>
    </row>
    <row r="53" spans="1:10" ht="15" customHeight="1">
      <c r="A53" s="36" t="s">
        <v>50</v>
      </c>
      <c r="B53" s="47">
        <v>216</v>
      </c>
      <c r="C53" s="51">
        <v>2501175</v>
      </c>
      <c r="D53" s="52">
        <f>IF('450-600 nm'!C34="","",'450-600 nm'!C34)</f>
        <v>-3.7724898432965688</v>
      </c>
      <c r="E53" s="49" t="str">
        <f t="shared" si="0"/>
        <v>NEG</v>
      </c>
      <c r="F53" s="52">
        <f>IF('450-600 nm'!I34="","",'450-600 nm'!I34)</f>
        <v>-24.518430439952425</v>
      </c>
      <c r="G53" s="49" t="str">
        <f t="shared" si="1"/>
        <v>NEG</v>
      </c>
      <c r="H53" s="49" t="str">
        <f t="shared" si="2"/>
        <v>N</v>
      </c>
      <c r="I53" s="50" t="str">
        <f>IF(ECHANTILLONS!D54="","",ECHANTILLONS!D54)</f>
        <v/>
      </c>
      <c r="J53" s="50" t="s">
        <v>89</v>
      </c>
    </row>
    <row r="54" spans="1:10" ht="15" customHeight="1">
      <c r="A54" s="36" t="s">
        <v>51</v>
      </c>
      <c r="B54" s="47">
        <v>217</v>
      </c>
      <c r="C54" s="51">
        <v>2400851</v>
      </c>
      <c r="D54" s="52">
        <f>IF('450-600 nm'!D34="","",'450-600 nm'!D34)</f>
        <v>-16.77307022634939</v>
      </c>
      <c r="E54" s="49" t="str">
        <f t="shared" si="0"/>
        <v>NEG</v>
      </c>
      <c r="F54" s="52">
        <f>IF('450-600 nm'!J34="","",'450-600 nm'!J34)</f>
        <v>-27.990487514863233</v>
      </c>
      <c r="G54" s="49" t="str">
        <f t="shared" si="1"/>
        <v>NEG</v>
      </c>
      <c r="H54" s="49" t="str">
        <f t="shared" si="2"/>
        <v>N</v>
      </c>
      <c r="I54" s="50" t="str">
        <f>IF(ECHANTILLONS!D55="","",ECHANTILLONS!D55)</f>
        <v/>
      </c>
      <c r="J54" s="50" t="s">
        <v>89</v>
      </c>
    </row>
    <row r="55" spans="1:10" ht="15" customHeight="1">
      <c r="A55" s="36" t="s">
        <v>52</v>
      </c>
      <c r="B55" s="47">
        <v>218</v>
      </c>
      <c r="C55" s="51">
        <v>2501997</v>
      </c>
      <c r="D55" s="52">
        <f>IF('450-600 nm'!E34="","",'450-600 nm'!E34)</f>
        <v>-3.3081834010446869</v>
      </c>
      <c r="E55" s="49" t="str">
        <f t="shared" si="0"/>
        <v>NEG</v>
      </c>
      <c r="F55" s="52">
        <f>IF('450-600 nm'!K34="","",'450-600 nm'!K34)</f>
        <v>-9.4411414982164246</v>
      </c>
      <c r="G55" s="49" t="str">
        <f t="shared" si="1"/>
        <v>NEG</v>
      </c>
      <c r="H55" s="49" t="str">
        <f t="shared" si="2"/>
        <v>N</v>
      </c>
      <c r="I55" s="50" t="str">
        <f>IF(ECHANTILLONS!D56="","",ECHANTILLONS!D56)</f>
        <v/>
      </c>
      <c r="J55" s="50" t="s">
        <v>89</v>
      </c>
    </row>
    <row r="56" spans="1:10" ht="15" customHeight="1">
      <c r="A56" s="36" t="s">
        <v>53</v>
      </c>
      <c r="B56" s="47">
        <v>219</v>
      </c>
      <c r="C56" s="51">
        <v>2400838</v>
      </c>
      <c r="D56" s="52">
        <f>IF('450-600 nm'!F34="","",'450-600 nm'!F34)</f>
        <v>-23.389437028438763</v>
      </c>
      <c r="E56" s="49" t="str">
        <f t="shared" si="0"/>
        <v>NEG</v>
      </c>
      <c r="F56" s="52">
        <f>IF('450-600 nm'!L34="","",'450-600 nm'!L34)</f>
        <v>-17.384066587395949</v>
      </c>
      <c r="G56" s="49" t="str">
        <f t="shared" si="1"/>
        <v>NEG</v>
      </c>
      <c r="H56" s="49" t="str">
        <f t="shared" si="2"/>
        <v>N</v>
      </c>
      <c r="I56" s="50" t="str">
        <f>IF(ECHANTILLONS!D57="","",ECHANTILLONS!D57)</f>
        <v/>
      </c>
      <c r="J56" s="50" t="s">
        <v>89</v>
      </c>
    </row>
    <row r="57" spans="1:10" ht="15" customHeight="1">
      <c r="A57" s="36" t="s">
        <v>54</v>
      </c>
      <c r="B57" s="47">
        <v>220</v>
      </c>
      <c r="C57" s="51">
        <v>2500093</v>
      </c>
      <c r="D57" s="52">
        <f>IF('450-600 nm'!G34="","",'450-600 nm'!G34)</f>
        <v>-21.18398142774231</v>
      </c>
      <c r="E57" s="49" t="str">
        <f t="shared" si="0"/>
        <v>NEG</v>
      </c>
      <c r="F57" s="52">
        <f>IF('450-600 nm'!M34="","",'450-600 nm'!M34)</f>
        <v>-26.896551724137936</v>
      </c>
      <c r="G57" s="49" t="str">
        <f t="shared" si="1"/>
        <v>NEG</v>
      </c>
      <c r="H57" s="49" t="str">
        <f t="shared" si="2"/>
        <v>N</v>
      </c>
      <c r="I57" s="50" t="str">
        <f>IF(ECHANTILLONS!D58="","",ECHANTILLONS!D58)</f>
        <v/>
      </c>
      <c r="J57" s="50" t="s">
        <v>89</v>
      </c>
    </row>
  </sheetData>
  <sheetProtection selectLockedCells="1"/>
  <mergeCells count="3">
    <mergeCell ref="D12:E12"/>
    <mergeCell ref="F12:G12"/>
    <mergeCell ref="H12:H13"/>
  </mergeCells>
  <conditionalFormatting sqref="D14:D57 F14:F57">
    <cfRule type="cellIs" dxfId="7" priority="6" operator="between">
      <formula>30</formula>
      <formula>100</formula>
    </cfRule>
    <cfRule type="cellIs" dxfId="6" priority="9" operator="between">
      <formula>25</formula>
      <formula>29.9999</formula>
    </cfRule>
  </conditionalFormatting>
  <conditionalFormatting sqref="E14:E57 G14:G57">
    <cfRule type="cellIs" dxfId="5" priority="3" operator="equal">
      <formula>"NEG"</formula>
    </cfRule>
    <cfRule type="cellIs" dxfId="4" priority="8" operator="equal">
      <formula>"POS"</formula>
    </cfRule>
  </conditionalFormatting>
  <conditionalFormatting sqref="H14:H57">
    <cfRule type="cellIs" dxfId="3" priority="4" operator="equal">
      <formula>"N"</formula>
    </cfRule>
    <cfRule type="cellIs" dxfId="2" priority="5" operator="equal">
      <formula>"P"</formula>
    </cfRule>
  </conditionalFormatting>
  <conditionalFormatting sqref="J14:J57">
    <cfRule type="cellIs" dxfId="1" priority="1" operator="equal">
      <formula>"v"</formula>
    </cfRule>
    <cfRule type="cellIs" dxfId="0" priority="2" operator="equal">
      <formula>"e"</formula>
    </cfRule>
  </conditionalFormatting>
  <pageMargins left="0.7" right="0.7" top="0.75" bottom="0.75" header="0.3" footer="0.3"/>
  <pageSetup paperSize="9" scale="70" orientation="portrait" r:id="rId1"/>
  <ignoredErrors>
    <ignoredError sqref="F14:F57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2025-10-10T09:46:21+00:00</Uploaded>
  </documentManagement>
</p:properties>
</file>

<file path=customXml/itemProps1.xml><?xml version="1.0" encoding="utf-8"?>
<ds:datastoreItem xmlns:ds="http://schemas.openxmlformats.org/officeDocument/2006/customXml" ds:itemID="{9464FFFC-AF77-4E8D-9623-96E4D8A8E8AF}"/>
</file>

<file path=customXml/itemProps2.xml><?xml version="1.0" encoding="utf-8"?>
<ds:datastoreItem xmlns:ds="http://schemas.openxmlformats.org/officeDocument/2006/customXml" ds:itemID="{726B2ACB-C367-438A-B2A4-755145325374}"/>
</file>

<file path=customXml/itemProps3.xml><?xml version="1.0" encoding="utf-8"?>
<ds:datastoreItem xmlns:ds="http://schemas.openxmlformats.org/officeDocument/2006/customXml" ds:itemID="{659BBFB0-3340-4E8A-B7A9-D0BA333C0E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Stijn Roge</cp:lastModifiedBy>
  <cp:revision/>
  <dcterms:created xsi:type="dcterms:W3CDTF">2022-02-18T11:32:23Z</dcterms:created>
  <dcterms:modified xsi:type="dcterms:W3CDTF">2025-10-10T17:25:32Z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