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BE09E366-D9A5-4983-9DCE-4D29FD76CACF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10" yWindow="-110" windowWidth="19420" windowHeight="115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<sst xmlns="http://schemas.openxmlformats.org/spreadsheetml/2006/main" count="433" uniqueCount="76">
  <si>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</si>
  <si>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</si>
  <si>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</si>
  <si>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</si>
  <si>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</si>
  <si>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</si>
  <si>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</si>
  <si>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</si>
  <si>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</si>
  <si>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</si>
  <si>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</si>
  <si>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</si>
  <si>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</si>
  <si>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</si>
  <si>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</si>
  <si>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</si>
  <si>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</si>
  <si>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</si>
  <si>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</si>
  <si>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</si>
  <si>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</si>
  <si>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</si>
  <si>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</si>
  <si>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</si>
  <si>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</si>
  <si>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</si>
  <si>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</si>
  <si>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</si>
  <si>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</si>
  <si>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</si>
  <si>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</si>
  <si>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</si>
  <si>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</si>
  <si>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</si>
  <si>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</si>
  <si>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</si>
  <si>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</si>
  <si>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</si>
  <si>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</si>
  <si>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</si>
  <si>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</si>
  <si>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</si>
  <si>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</si>
  <si>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</si>
  <si>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</si>
  <si>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2025-10-14 14.44.40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</si>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</sst>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256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256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256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256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257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257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257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257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258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258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258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258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259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259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259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259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260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260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260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260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261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261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261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261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262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262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262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262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263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263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263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263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264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264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264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264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265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265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265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265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23.9042047703993</v>
      </c>
      <c r="D42" s="8">
        <v>0.92289836384017399</v>
      </c>
      <c r="E42" s="8">
        <v>0.99907000000000001</v>
      </c>
      <c r="F42" s="8"/>
    </row>
    <row r="43" spans="1:6">
      <c r="A43" s="8">
        <v>42</v>
      </c>
      <c r="B43" s="8" t="s">
        <v>7</v>
      </c>
      <c r="C43" s="8">
        <v>24.051102006398501</v>
      </c>
      <c r="D43" s="8">
        <v>0.83868587011104101</v>
      </c>
      <c r="E43" s="8">
        <v>0.99968000000000001</v>
      </c>
      <c r="F43" s="8"/>
    </row>
    <row r="44" spans="1:6">
      <c r="A44" s="8">
        <v>43</v>
      </c>
      <c r="B44" s="8" t="s">
        <v>7</v>
      </c>
      <c r="C44" s="8">
        <v>24.221807384873401</v>
      </c>
      <c r="D44" s="8">
        <v>0.82112853442374001</v>
      </c>
      <c r="E44" s="8">
        <v>0.99953000000000003</v>
      </c>
      <c r="F44" s="8"/>
    </row>
    <row r="45" spans="1:6">
      <c r="A45" s="8">
        <v>44</v>
      </c>
      <c r="B45" s="8" t="s">
        <v>7</v>
      </c>
      <c r="C45" s="8">
        <v>23.140516798202398</v>
      </c>
      <c r="D45" s="8">
        <v>0.85575020977768501</v>
      </c>
      <c r="E45" s="8">
        <v>0.99972000000000005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256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256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256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256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257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257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257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257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258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258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258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258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259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259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259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259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260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260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260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260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261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261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261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261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262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262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262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262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263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263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263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263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264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264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264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264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265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265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265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265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20.689379047991899</v>
      </c>
      <c r="D42" s="9">
        <v>0.83908503747387897</v>
      </c>
      <c r="E42" s="9">
        <v>0.99834000000000001</v>
      </c>
      <c r="F42" s="9"/>
    </row>
    <row r="43" spans="1:6">
      <c r="A43" s="9">
        <v>42</v>
      </c>
      <c r="B43" s="9" t="s">
        <v>7</v>
      </c>
      <c r="C43" s="9">
        <v>20.9656119634923</v>
      </c>
      <c r="D43" s="9">
        <v>0.82096100367878699</v>
      </c>
      <c r="E43" s="9">
        <v>0.99777000000000005</v>
      </c>
      <c r="F43" s="9"/>
    </row>
    <row r="44" spans="1:6">
      <c r="A44" s="9">
        <v>43</v>
      </c>
      <c r="B44" s="9" t="s">
        <v>7</v>
      </c>
      <c r="C44" s="9">
        <v>21.0473006306092</v>
      </c>
      <c r="D44" s="9">
        <v>0.81660191855890796</v>
      </c>
      <c r="E44" s="9">
        <v>0.99780000000000002</v>
      </c>
      <c r="F44" s="9"/>
    </row>
    <row r="45" spans="1:6">
      <c r="A45" s="9">
        <v>44</v>
      </c>
      <c r="B45" s="9" t="s">
        <v>7</v>
      </c>
      <c r="C45" s="9">
        <v>20.3978572700372</v>
      </c>
      <c r="D45" s="9">
        <v>0.81395549521718202</v>
      </c>
      <c r="E45" s="9">
        <v>0.99866999999999995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256</v>
      </c>
      <c r="C2" s="10">
        <v>22.176572839859698</v>
      </c>
      <c r="D2" s="10">
        <v>0.80675991701900396</v>
      </c>
      <c r="E2" s="10">
        <v>0.99882000000000004</v>
      </c>
      <c r="F2" s="10"/>
    </row>
    <row r="3" spans="1:6">
      <c r="A3" s="10">
        <v>2</v>
      </c>
      <c r="B3" s="10">
        <v>256</v>
      </c>
      <c r="C3" s="10">
        <v>22.148616546739898</v>
      </c>
      <c r="D3" s="10">
        <v>0.78951065139656196</v>
      </c>
      <c r="E3" s="10">
        <v>0.99904999999999999</v>
      </c>
      <c r="F3" s="10"/>
    </row>
    <row r="4" spans="1:6">
      <c r="A4" s="10">
        <v>3</v>
      </c>
      <c r="B4" s="10">
        <v>256</v>
      </c>
      <c r="C4" s="10">
        <v>22.700553926500401</v>
      </c>
      <c r="D4" s="10">
        <v>0.80251194982261298</v>
      </c>
      <c r="E4" s="10">
        <v>0.99880999999999998</v>
      </c>
      <c r="F4" s="10"/>
    </row>
    <row r="5" spans="1:6">
      <c r="A5" s="10">
        <v>4</v>
      </c>
      <c r="B5" s="10">
        <v>256</v>
      </c>
      <c r="C5" s="10">
        <v>22.174461715786698</v>
      </c>
      <c r="D5" s="10">
        <v>0.82981263998023103</v>
      </c>
      <c r="E5" s="10">
        <v>0.99851999999999996</v>
      </c>
      <c r="F5" s="10"/>
    </row>
    <row r="6" spans="1:6">
      <c r="A6" s="10">
        <v>5</v>
      </c>
      <c r="B6" s="10">
        <v>257</v>
      </c>
      <c r="C6" s="10">
        <v>24.878868637998998</v>
      </c>
      <c r="D6" s="10">
        <v>0.84016472055702396</v>
      </c>
      <c r="E6" s="10">
        <v>0.99833000000000005</v>
      </c>
      <c r="F6" s="10"/>
    </row>
    <row r="7" spans="1:6">
      <c r="A7" s="10">
        <v>6</v>
      </c>
      <c r="B7" s="10">
        <v>257</v>
      </c>
      <c r="C7" s="10">
        <v>25.027248695001401</v>
      </c>
      <c r="D7" s="10">
        <v>0.821119675107852</v>
      </c>
      <c r="E7" s="10">
        <v>0.99811000000000005</v>
      </c>
      <c r="F7" s="10"/>
    </row>
    <row r="8" spans="1:6">
      <c r="A8" s="10">
        <v>7</v>
      </c>
      <c r="B8" s="10">
        <v>257</v>
      </c>
      <c r="C8" s="10">
        <v>25.016792647713501</v>
      </c>
      <c r="D8" s="10">
        <v>0.82545965734390903</v>
      </c>
      <c r="E8" s="10">
        <v>0.99824999999999997</v>
      </c>
      <c r="F8" s="10"/>
    </row>
    <row r="9" spans="1:6">
      <c r="A9" s="10">
        <v>8</v>
      </c>
      <c r="B9" s="10">
        <v>257</v>
      </c>
      <c r="C9" s="10">
        <v>24.959592043567799</v>
      </c>
      <c r="D9" s="10">
        <v>0.83095986690858403</v>
      </c>
      <c r="E9" s="10">
        <v>0.99827999999999995</v>
      </c>
      <c r="F9" s="10"/>
    </row>
    <row r="10" spans="1:6">
      <c r="A10" s="10">
        <v>9</v>
      </c>
      <c r="B10" s="10">
        <v>258</v>
      </c>
      <c r="C10" s="10">
        <v>23.374915316244898</v>
      </c>
      <c r="D10" s="10">
        <v>0.850710617964341</v>
      </c>
      <c r="E10" s="10">
        <v>0.99883999999999995</v>
      </c>
      <c r="F10" s="10"/>
    </row>
    <row r="11" spans="1:6">
      <c r="A11" s="10">
        <v>10</v>
      </c>
      <c r="B11" s="10">
        <v>258</v>
      </c>
      <c r="C11" s="10">
        <v>23.433357342903001</v>
      </c>
      <c r="D11" s="10">
        <v>0.83867494716286295</v>
      </c>
      <c r="E11" s="10">
        <v>0.99897999999999998</v>
      </c>
      <c r="F11" s="10"/>
    </row>
    <row r="12" spans="1:6">
      <c r="A12" s="10">
        <v>11</v>
      </c>
      <c r="B12" s="10">
        <v>258</v>
      </c>
      <c r="C12" s="10">
        <v>23.454478308309199</v>
      </c>
      <c r="D12" s="10">
        <v>0.84261225985593602</v>
      </c>
      <c r="E12" s="10">
        <v>0.99882000000000004</v>
      </c>
      <c r="F12" s="10"/>
    </row>
    <row r="13" spans="1:6">
      <c r="A13" s="10">
        <v>12</v>
      </c>
      <c r="B13" s="10">
        <v>258</v>
      </c>
      <c r="C13" s="10">
        <v>23.335479520477801</v>
      </c>
      <c r="D13" s="10">
        <v>0.85567602339170201</v>
      </c>
      <c r="E13" s="10">
        <v>0.99890000000000001</v>
      </c>
      <c r="F13" s="10"/>
    </row>
    <row r="14" spans="1:6">
      <c r="A14" s="10">
        <v>13</v>
      </c>
      <c r="B14" s="10">
        <v>259</v>
      </c>
      <c r="C14" s="10">
        <v>23.421379636354999</v>
      </c>
      <c r="D14" s="10">
        <v>0.84547626504585205</v>
      </c>
      <c r="E14" s="10">
        <v>0.99887999999999999</v>
      </c>
      <c r="F14" s="10"/>
    </row>
    <row r="15" spans="1:6">
      <c r="A15" s="10">
        <v>14</v>
      </c>
      <c r="B15" s="10">
        <v>259</v>
      </c>
      <c r="C15" s="10">
        <v>23.438353838244801</v>
      </c>
      <c r="D15" s="10">
        <v>0.84061013206928703</v>
      </c>
      <c r="E15" s="10">
        <v>0.99885999999999997</v>
      </c>
      <c r="F15" s="10"/>
    </row>
    <row r="16" spans="1:6">
      <c r="A16" s="10">
        <v>15</v>
      </c>
      <c r="B16" s="10">
        <v>259</v>
      </c>
      <c r="C16" s="10">
        <v>23.449345221630399</v>
      </c>
      <c r="D16" s="10">
        <v>0.84378430644966496</v>
      </c>
      <c r="E16" s="10">
        <v>0.99873000000000001</v>
      </c>
      <c r="F16" s="10"/>
    </row>
    <row r="17" spans="1:6">
      <c r="A17" s="10">
        <v>16</v>
      </c>
      <c r="B17" s="10">
        <v>259</v>
      </c>
      <c r="C17" s="10">
        <v>23.272857826977301</v>
      </c>
      <c r="D17" s="10">
        <v>0.81897317708947903</v>
      </c>
      <c r="E17" s="10">
        <v>0.99919999999999998</v>
      </c>
      <c r="F17" s="10"/>
    </row>
    <row r="18" spans="1:6">
      <c r="A18" s="10">
        <v>17</v>
      </c>
      <c r="B18" s="10">
        <v>260</v>
      </c>
      <c r="C18" s="10">
        <v>22.415356680470399</v>
      </c>
      <c r="D18" s="10">
        <v>0.84761210339194903</v>
      </c>
      <c r="E18" s="10">
        <v>0.99887000000000004</v>
      </c>
      <c r="F18" s="10"/>
    </row>
    <row r="19" spans="1:6">
      <c r="A19" s="10">
        <v>18</v>
      </c>
      <c r="B19" s="10">
        <v>260</v>
      </c>
      <c r="C19" s="10">
        <v>22.365876161133802</v>
      </c>
      <c r="D19" s="10">
        <v>0.842965654201981</v>
      </c>
      <c r="E19" s="10">
        <v>0.99892999999999998</v>
      </c>
      <c r="F19" s="10"/>
    </row>
    <row r="20" spans="1:6">
      <c r="A20" s="10">
        <v>19</v>
      </c>
      <c r="B20" s="10">
        <v>260</v>
      </c>
      <c r="C20" s="10">
        <v>22.393498738554602</v>
      </c>
      <c r="D20" s="10">
        <v>0.81415620765948304</v>
      </c>
      <c r="E20" s="10">
        <v>0.99905999999999995</v>
      </c>
      <c r="F20" s="10"/>
    </row>
    <row r="21" spans="1:6">
      <c r="A21" s="10">
        <v>20</v>
      </c>
      <c r="B21" s="10">
        <v>260</v>
      </c>
      <c r="C21" s="10">
        <v>22.3697641928383</v>
      </c>
      <c r="D21" s="10">
        <v>0.84976628609356397</v>
      </c>
      <c r="E21" s="10">
        <v>0.99885000000000002</v>
      </c>
      <c r="F21" s="10"/>
    </row>
    <row r="22" spans="1:6">
      <c r="A22" s="10">
        <v>21</v>
      </c>
      <c r="B22" s="10">
        <v>261</v>
      </c>
      <c r="C22" s="10">
        <v>24.189078131403701</v>
      </c>
      <c r="D22" s="10">
        <v>0.80574824661266098</v>
      </c>
      <c r="E22" s="10">
        <v>0.99892999999999998</v>
      </c>
      <c r="F22" s="10"/>
    </row>
    <row r="23" spans="1:6">
      <c r="A23" s="10">
        <v>22</v>
      </c>
      <c r="B23" s="10">
        <v>261</v>
      </c>
      <c r="C23" s="10">
        <v>24.3052129649219</v>
      </c>
      <c r="D23" s="10">
        <v>0.79697051381232598</v>
      </c>
      <c r="E23" s="10">
        <v>0.99897999999999998</v>
      </c>
      <c r="F23" s="10"/>
    </row>
    <row r="24" spans="1:6">
      <c r="A24" s="10">
        <v>23</v>
      </c>
      <c r="B24" s="10">
        <v>261</v>
      </c>
      <c r="C24" s="10">
        <v>24.1763902505555</v>
      </c>
      <c r="D24" s="10">
        <v>0.81871802608856703</v>
      </c>
      <c r="E24" s="10">
        <v>0.99870999999999999</v>
      </c>
      <c r="F24" s="10"/>
    </row>
    <row r="25" spans="1:6">
      <c r="A25" s="10">
        <v>24</v>
      </c>
      <c r="B25" s="10">
        <v>261</v>
      </c>
      <c r="C25" s="10">
        <v>24.215041559885702</v>
      </c>
      <c r="D25" s="10">
        <v>0.80976752950668796</v>
      </c>
      <c r="E25" s="10">
        <v>0.99900999999999995</v>
      </c>
      <c r="F25" s="10"/>
    </row>
    <row r="26" spans="1:6">
      <c r="A26" s="10">
        <v>25</v>
      </c>
      <c r="B26" s="10">
        <v>262</v>
      </c>
      <c r="C26" s="10">
        <v>25.827864019922401</v>
      </c>
      <c r="D26" s="10">
        <v>0.81888425536771403</v>
      </c>
      <c r="E26" s="10">
        <v>0.99831000000000003</v>
      </c>
      <c r="F26" s="10"/>
    </row>
    <row r="27" spans="1:6">
      <c r="A27" s="10">
        <v>26</v>
      </c>
      <c r="B27" s="10">
        <v>262</v>
      </c>
      <c r="C27" s="10">
        <v>25.911292720748801</v>
      </c>
      <c r="D27" s="10">
        <v>0.81656234492694202</v>
      </c>
      <c r="E27" s="10">
        <v>0.99804000000000004</v>
      </c>
      <c r="F27" s="10"/>
    </row>
    <row r="28" spans="1:6">
      <c r="A28" s="10">
        <v>27</v>
      </c>
      <c r="B28" s="10">
        <v>262</v>
      </c>
      <c r="C28" s="10">
        <v>25.833142378569299</v>
      </c>
      <c r="D28" s="10">
        <v>0.81450044810908395</v>
      </c>
      <c r="E28" s="10">
        <v>0.99838000000000005</v>
      </c>
      <c r="F28" s="10"/>
    </row>
    <row r="29" spans="1:6">
      <c r="A29" s="10">
        <v>28</v>
      </c>
      <c r="B29" s="10">
        <v>262</v>
      </c>
      <c r="C29" s="10">
        <v>25.890842074924599</v>
      </c>
      <c r="D29" s="10">
        <v>0.82409958797180904</v>
      </c>
      <c r="E29" s="10">
        <v>0.99814999999999998</v>
      </c>
      <c r="F29" s="10"/>
    </row>
    <row r="30" spans="1:6">
      <c r="A30" s="10">
        <v>29</v>
      </c>
      <c r="B30" s="10">
        <v>263</v>
      </c>
      <c r="C30" s="10">
        <v>23.609739086598601</v>
      </c>
      <c r="D30" s="10">
        <v>0.83037743737605796</v>
      </c>
      <c r="E30" s="10">
        <v>0.99868999999999997</v>
      </c>
      <c r="F30" s="10"/>
    </row>
    <row r="31" spans="1:6">
      <c r="A31" s="10">
        <v>30</v>
      </c>
      <c r="B31" s="10">
        <v>263</v>
      </c>
      <c r="C31" s="10">
        <v>23.3769208308812</v>
      </c>
      <c r="D31" s="10">
        <v>0.78478789639294599</v>
      </c>
      <c r="E31" s="10">
        <v>0.99905999999999995</v>
      </c>
      <c r="F31" s="10"/>
    </row>
    <row r="32" spans="1:6">
      <c r="A32" s="10">
        <v>31</v>
      </c>
      <c r="B32" s="10">
        <v>263</v>
      </c>
      <c r="C32" s="10">
        <v>23.280266077528701</v>
      </c>
      <c r="D32" s="10">
        <v>0.79277182961951798</v>
      </c>
      <c r="E32" s="10">
        <v>0.99917</v>
      </c>
      <c r="F32" s="10"/>
    </row>
    <row r="33" spans="1:6">
      <c r="A33" s="10">
        <v>32</v>
      </c>
      <c r="B33" s="10">
        <v>263</v>
      </c>
      <c r="C33" s="10">
        <v>23.350927831880998</v>
      </c>
      <c r="D33" s="10">
        <v>0.78921686940973601</v>
      </c>
      <c r="E33" s="10">
        <v>0.99911000000000005</v>
      </c>
      <c r="F33" s="10"/>
    </row>
    <row r="34" spans="1:6">
      <c r="A34" s="10">
        <v>33</v>
      </c>
      <c r="B34" s="10">
        <v>264</v>
      </c>
      <c r="C34" s="10">
        <v>21.5480219313601</v>
      </c>
      <c r="D34" s="10">
        <v>0.84459738099827497</v>
      </c>
      <c r="E34" s="10">
        <v>0.99904000000000004</v>
      </c>
      <c r="F34" s="10"/>
    </row>
    <row r="35" spans="1:6">
      <c r="A35" s="10">
        <v>34</v>
      </c>
      <c r="B35" s="10">
        <v>264</v>
      </c>
      <c r="C35" s="10">
        <v>21.620174332913798</v>
      </c>
      <c r="D35" s="10">
        <v>0.84844518887500997</v>
      </c>
      <c r="E35" s="10">
        <v>0.99882000000000004</v>
      </c>
      <c r="F35" s="10"/>
    </row>
    <row r="36" spans="1:6">
      <c r="A36" s="10">
        <v>35</v>
      </c>
      <c r="B36" s="10">
        <v>264</v>
      </c>
      <c r="C36" s="10">
        <v>21.648097158381599</v>
      </c>
      <c r="D36" s="10">
        <v>0.84382809668376502</v>
      </c>
      <c r="E36" s="10">
        <v>0.99883999999999995</v>
      </c>
      <c r="F36" s="10"/>
    </row>
    <row r="37" spans="1:6">
      <c r="A37" s="10">
        <v>36</v>
      </c>
      <c r="B37" s="10">
        <v>264</v>
      </c>
      <c r="C37" s="10">
        <v>21.6517282118248</v>
      </c>
      <c r="D37" s="10">
        <v>0.84653396074762699</v>
      </c>
      <c r="E37" s="10">
        <v>0.99885000000000002</v>
      </c>
      <c r="F37" s="10"/>
    </row>
    <row r="38" spans="1:6">
      <c r="A38" s="10">
        <v>37</v>
      </c>
      <c r="B38" s="10">
        <v>265</v>
      </c>
      <c r="C38" s="10">
        <v>22.825049687115499</v>
      </c>
      <c r="D38" s="10">
        <v>0.83585787708445003</v>
      </c>
      <c r="E38" s="10">
        <v>0.99851999999999996</v>
      </c>
      <c r="F38" s="10"/>
    </row>
    <row r="39" spans="1:6">
      <c r="A39" s="10">
        <v>38</v>
      </c>
      <c r="B39" s="10">
        <v>265</v>
      </c>
      <c r="C39" s="10">
        <v>22.7912435962103</v>
      </c>
      <c r="D39" s="10">
        <v>0.82997419655859095</v>
      </c>
      <c r="E39" s="10">
        <v>0.99851999999999996</v>
      </c>
      <c r="F39" s="10"/>
    </row>
    <row r="40" spans="1:6">
      <c r="A40" s="10">
        <v>39</v>
      </c>
      <c r="B40" s="10">
        <v>265</v>
      </c>
      <c r="C40" s="10">
        <v>22.803950811045699</v>
      </c>
      <c r="D40" s="10">
        <v>0.83048582088550804</v>
      </c>
      <c r="E40" s="10">
        <v>0.99850000000000005</v>
      </c>
      <c r="F40" s="10"/>
    </row>
    <row r="41" spans="1:6">
      <c r="A41" s="10">
        <v>40</v>
      </c>
      <c r="B41" s="10">
        <v>265</v>
      </c>
      <c r="C41" s="10">
        <v>22.892627413374498</v>
      </c>
      <c r="D41" s="10">
        <v>0.83010867762382101</v>
      </c>
      <c r="E41" s="10">
        <v>0.99848000000000003</v>
      </c>
      <c r="F41" s="10"/>
    </row>
    <row r="42" spans="1:6">
      <c r="A42" s="10">
        <v>41</v>
      </c>
      <c r="B42" s="10" t="s">
        <v>7</v>
      </c>
      <c r="C42" s="10">
        <v>35.454697472871402</v>
      </c>
      <c r="D42" s="10">
        <v>0.56810324881682595</v>
      </c>
      <c r="E42" s="10">
        <v>0.99604000000000004</v>
      </c>
      <c r="F42" s="10"/>
    </row>
    <row r="43" spans="1:6">
      <c r="A43" s="10">
        <v>42</v>
      </c>
      <c r="B43" s="10" t="s">
        <v>7</v>
      </c>
      <c r="C43" s="10">
        <v>34.068414722292601</v>
      </c>
      <c r="D43" s="10">
        <v>0.62704611293205004</v>
      </c>
      <c r="E43" s="10">
        <v>0.99775000000000003</v>
      </c>
      <c r="F43" s="10"/>
    </row>
    <row r="44" spans="1:6">
      <c r="A44" s="10">
        <v>43</v>
      </c>
      <c r="B44" s="10" t="s">
        <v>7</v>
      </c>
      <c r="C44" s="10">
        <v>35.971023561382403</v>
      </c>
      <c r="D44" s="10">
        <v>0.53457075637320695</v>
      </c>
      <c r="E44" s="10">
        <v>0.99619999999999997</v>
      </c>
      <c r="F44" s="10"/>
    </row>
    <row r="45" spans="1:6">
      <c r="A45" s="10">
        <v>44</v>
      </c>
      <c r="B45" s="10" t="s">
        <v>7</v>
      </c>
      <c r="C45" s="10">
        <v>36.137727221701503</v>
      </c>
      <c r="D45" s="10">
        <v>0.51519917736478305</v>
      </c>
      <c r="E45" s="10">
        <v>0.99567000000000005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4.4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256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22.176572839859698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256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22.148616546739898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256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22.700553926500401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256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22.174461715786698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257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24.878868637998998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257</v>
      </c>
      <c r="B7">
        <f>IF('177T'!C7="", "", '177T'!C7)</f>
        <v>-1</v>
      </c>
      <c r="C7">
        <f>IF('18S2'!C7="", "", '18S2'!C7)</f>
        <v>-1</v>
      </c>
      <c r="D7">
        <f>IF(RNAseP!C7="", "", RNAseP!C7)</f>
        <v>25.027248695001401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257</v>
      </c>
      <c r="B8">
        <f>IF('177T'!C8="", "", '177T'!C8)</f>
        <v>-1</v>
      </c>
      <c r="C8">
        <f>IF('18S2'!C8="", "", '18S2'!C8)</f>
        <v>-1</v>
      </c>
      <c r="D8">
        <f>IF(RNAseP!C8="", "", RNAseP!C8)</f>
        <v>25.016792647713501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257</v>
      </c>
      <c r="B9">
        <f>IF('177T'!C9="", "", '177T'!C9)</f>
        <v>-1</v>
      </c>
      <c r="C9">
        <f>IF('18S2'!C9="", "", '18S2'!C9)</f>
        <v>-1</v>
      </c>
      <c r="D9">
        <f>IF(RNAseP!C9="", "", RNAseP!C9)</f>
        <v>24.959592043567799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258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23.374915316244898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258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23.433357342903001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258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23.454478308309199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258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23.335479520477801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259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23.421379636354999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259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23.438353838244801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259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23.449345221630399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259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23.272857826977301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260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22.415356680470399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260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22.365876161133802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260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22.393498738554602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260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22.3697641928383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261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24.189078131403701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261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24.3052129649219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261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24.1763902505555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261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24.215041559885702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262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25.827864019922401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262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25.911292720748801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262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25.833142378569299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262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25.890842074924599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263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23.609739086598601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263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23.3769208308812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263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23.280266077528701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263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23.350927831880998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264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21.5480219313601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264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21.620174332913798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264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21.648097158381599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264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21.6517282118248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265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22.825049687115499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265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22.7912435962103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265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22.803950811045699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265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22.892627413374498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23.9042047703993</v>
      </c>
      <c r="C42">
        <f>IF('18S2'!C42="", "", '18S2'!C42)</f>
        <v>20.689379047991899</v>
      </c>
      <c r="D42">
        <f>IF(RNAseP!C42="", "", RNAseP!C42)</f>
        <v>35.454697472871402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24.051102006398501</v>
      </c>
      <c r="C43">
        <f>IF('18S2'!C43="", "", '18S2'!C43)</f>
        <v>20.9656119634923</v>
      </c>
      <c r="D43">
        <f>IF(RNAseP!C43="", "", RNAseP!C43)</f>
        <v>34.068414722292601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24.221807384873401</v>
      </c>
      <c r="C44">
        <f>IF('18S2'!C44="", "", '18S2'!C44)</f>
        <v>21.0473006306092</v>
      </c>
      <c r="D44">
        <f>IF(RNAseP!C44="", "", RNAseP!C44)</f>
        <v>35.971023561382403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23.140516798202398</v>
      </c>
      <c r="C45">
        <f>IF('18S2'!C45="", "", '18S2'!C45)</f>
        <v>20.3978572700372</v>
      </c>
      <c r="D45">
        <f>IF(RNAseP!C45="", "", RNAseP!C45)</f>
        <v>36.137727221701503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4.4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4.4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4.4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12" workbookViewId="0">
      <selection activeCell="F27" sqref="F27"/>
    </sheetView>
  </sheetViews>
  <sheetFormatPr defaultColWidth="9.140625" defaultRowHeight="14.4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600000000000001">
      <c r="A1" s="28" t="s">
        <v>40</v>
      </c>
      <c r="B1" s="28"/>
    </row>
    <row r="3" spans="1:8">
      <c r="A3" s="24" t="s">
        <v>41</v>
      </c>
      <c r="B3" s="25"/>
      <c r="C3" s="26">
        <v>45944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256</v>
      </c>
      <c r="B16" s="11">
        <v>2502105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22,3 +/- 0,3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257</v>
      </c>
      <c r="B17" s="11">
        <v>2402876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258</v>
      </c>
      <c r="B18" s="11">
        <v>2402792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23,4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259</v>
      </c>
      <c r="B19" s="11">
        <v>2402794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23,4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260</v>
      </c>
      <c r="B20" s="11">
        <v>2402790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22,4 +/- 0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261</v>
      </c>
      <c r="B21" s="11">
        <v>2402799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24,2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262</v>
      </c>
      <c r="B22" s="11">
        <v>2402300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25,9 +/- 0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263</v>
      </c>
      <c r="B23" s="11">
        <v>2402769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23,4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264</v>
      </c>
      <c r="B24" s="11">
        <v>2402787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21,6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265</v>
      </c>
      <c r="B25" s="11">
        <v>2501944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22,8 +/- 0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20,8 +/- 0,3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+/- 0,9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4.4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256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22,3 +/- 0,3</v>
      </c>
    </row>
    <row r="3" spans="1:11">
      <c r="A3" s="3">
        <f>Report!A17</f>
        <v>257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 +/- 0,1</v>
      </c>
    </row>
    <row r="4" spans="1:11">
      <c r="A4" s="3">
        <f>Report!A18</f>
        <v>258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23,4 +/- 0,1</v>
      </c>
    </row>
    <row r="5" spans="1:11">
      <c r="A5" s="3">
        <f>Report!A19</f>
        <v>259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23,4 +/- 0,1</v>
      </c>
    </row>
    <row r="6" spans="1:11">
      <c r="A6" s="3">
        <f>Report!A20</f>
        <v>260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22,4 +/- 0</v>
      </c>
    </row>
    <row r="7" spans="1:11">
      <c r="A7" s="3">
        <f>Report!A21</f>
        <v>261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24,2 +/- 0,1</v>
      </c>
      <c r="K7" s="4"/>
    </row>
    <row r="8" spans="1:11">
      <c r="A8" s="3">
        <f>Report!A22</f>
        <v>262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25,9 +/- 0</v>
      </c>
    </row>
    <row r="9" spans="1:11">
      <c r="A9" s="3">
        <f>Report!A23</f>
        <v>263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23,4 +/- 0,1</v>
      </c>
    </row>
    <row r="10" spans="1:11">
      <c r="A10" s="3">
        <f>Report!A24</f>
        <v>264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21,6 +/- 0</v>
      </c>
    </row>
    <row r="11" spans="1:11">
      <c r="A11" s="3">
        <f>Report!A25</f>
        <v>265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22,8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20,8 +/- 0,3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+/- 0,9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2025-10-17T07:52:36+00:00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3222EE-D6FB-41D9-8BE3-ABEB26B8538C}"/>
</file>

<file path=customXml/itemProps2.xml><?xml version="1.0" encoding="utf-8"?>
<ds:datastoreItem xmlns:ds="http://schemas.openxmlformats.org/officeDocument/2006/customXml" ds:itemID="{0F4E704A-AE95-46BD-BFD8-63840A552BDF}"/>
</file>

<file path=customXml/itemProps3.xml><?xml version="1.0" encoding="utf-8"?>
<ds:datastoreItem xmlns:ds="http://schemas.openxmlformats.org/officeDocument/2006/customXml" ds:itemID="{AD1BB1F0-70AB-401C-ACF2-84D40110F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2025-10-17T15:40:58Z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