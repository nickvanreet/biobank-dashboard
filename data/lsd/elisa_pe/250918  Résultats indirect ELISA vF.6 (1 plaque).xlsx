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9" documentId="13_ncr:1_{348EC8B6-E517-4B08-9A9A-91C4F9D9D40D}" xr6:coauthVersionLast="47" xr6:coauthVersionMax="47" xr10:uidLastSave="{BAFBED4A-9204-42A7-A347-02D01D7737B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<sst xmlns="http://schemas.openxmlformats.org/spreadsheetml/2006/main" count="209" uniqueCount="115">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</sst>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A6" sqref="A6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2500014</v>
      </c>
      <c r="C6" s="65">
        <v>2402580</v>
      </c>
      <c r="D6" s="65">
        <v>2500008</v>
      </c>
      <c r="F6" s="7" t="s">
        <v>23</v>
      </c>
      <c r="G6" s="66">
        <v>127</v>
      </c>
      <c r="H6" s="66">
        <v>135</v>
      </c>
      <c r="I6" s="66">
        <v>143</v>
      </c>
    </row>
    <row r="7" spans="1:9">
      <c r="A7" s="7" t="s">
        <v>24</v>
      </c>
      <c r="B7" s="65">
        <v>2402564</v>
      </c>
      <c r="C7" s="65">
        <v>2402584</v>
      </c>
      <c r="D7" s="65">
        <v>2500096</v>
      </c>
      <c r="F7" s="7" t="s">
        <v>24</v>
      </c>
      <c r="G7" s="66">
        <v>128</v>
      </c>
      <c r="H7" s="66">
        <v>136</v>
      </c>
      <c r="I7" s="66">
        <v>144</v>
      </c>
    </row>
    <row r="8" spans="1:9">
      <c r="A8" s="7" t="s">
        <v>25</v>
      </c>
      <c r="B8" s="65">
        <v>2500123</v>
      </c>
      <c r="C8" s="65">
        <v>2402576</v>
      </c>
      <c r="D8" s="65">
        <v>2402849</v>
      </c>
      <c r="F8" s="7" t="s">
        <v>25</v>
      </c>
      <c r="G8" s="66">
        <v>129</v>
      </c>
      <c r="H8" s="66">
        <v>137</v>
      </c>
      <c r="I8" s="66">
        <v>145</v>
      </c>
    </row>
    <row r="9" spans="1:9">
      <c r="A9" s="7" t="s">
        <v>26</v>
      </c>
      <c r="B9" s="65">
        <v>2500122</v>
      </c>
      <c r="C9" s="65">
        <v>2500054</v>
      </c>
      <c r="D9" s="65">
        <v>2400767</v>
      </c>
      <c r="F9" s="7" t="s">
        <v>26</v>
      </c>
      <c r="G9" s="66">
        <v>130</v>
      </c>
      <c r="H9" s="66">
        <v>138</v>
      </c>
      <c r="I9" s="66">
        <v>146</v>
      </c>
    </row>
    <row r="10" spans="1:9">
      <c r="A10" s="7" t="s">
        <v>27</v>
      </c>
      <c r="B10" s="65">
        <v>2500129</v>
      </c>
      <c r="C10" s="65">
        <v>2500065</v>
      </c>
      <c r="D10" s="65">
        <v>2402837</v>
      </c>
      <c r="F10" s="7" t="s">
        <v>27</v>
      </c>
      <c r="G10" s="66">
        <v>131</v>
      </c>
      <c r="H10" s="66">
        <v>139</v>
      </c>
      <c r="I10" s="66">
        <v>147</v>
      </c>
    </row>
    <row r="11" spans="1:9">
      <c r="A11" s="7" t="s">
        <v>28</v>
      </c>
      <c r="B11" s="65">
        <v>2402444</v>
      </c>
      <c r="C11" s="65">
        <v>2402074</v>
      </c>
      <c r="D11" s="46" t="s">
        <v>29</v>
      </c>
      <c r="F11" s="7" t="s">
        <v>28</v>
      </c>
      <c r="G11" s="66">
        <v>132</v>
      </c>
      <c r="H11" s="66">
        <v>140</v>
      </c>
      <c r="I11" s="46" t="s">
        <v>29</v>
      </c>
    </row>
    <row r="12" spans="1:9">
      <c r="A12" s="7" t="s">
        <v>30</v>
      </c>
      <c r="B12" s="65">
        <v>2402285</v>
      </c>
      <c r="C12" s="65">
        <v>2501957</v>
      </c>
      <c r="D12" s="47" t="s">
        <v>31</v>
      </c>
      <c r="F12" s="7" t="s">
        <v>30</v>
      </c>
      <c r="G12" s="66">
        <v>133</v>
      </c>
      <c r="H12" s="66">
        <v>141</v>
      </c>
      <c r="I12" s="47" t="s">
        <v>31</v>
      </c>
    </row>
    <row r="13" spans="1:9">
      <c r="A13" s="7" t="s">
        <v>32</v>
      </c>
      <c r="B13" s="65">
        <v>2402457</v>
      </c>
      <c r="C13" s="65">
        <v>2501306</v>
      </c>
      <c r="D13" s="48" t="s">
        <v>33</v>
      </c>
      <c r="F13" s="7" t="s">
        <v>32</v>
      </c>
      <c r="G13" s="66">
        <v>134</v>
      </c>
      <c r="H13" s="66">
        <v>142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2500014</v>
      </c>
      <c r="C6" s="18"/>
    </row>
    <row r="7" spans="1:3" ht="20.100000000000001" customHeight="1">
      <c r="A7" s="22" t="s">
        <v>38</v>
      </c>
      <c r="B7" s="50">
        <f>IF(Deepwell!B7="","",Deepwell!B7)</f>
        <v>2402564</v>
      </c>
      <c r="C7" s="18"/>
    </row>
    <row r="8" spans="1:3" ht="20.100000000000001" customHeight="1">
      <c r="A8" s="22" t="s">
        <v>39</v>
      </c>
      <c r="B8" s="50">
        <f>IF(Deepwell!B8="","",Deepwell!B8)</f>
        <v>2500123</v>
      </c>
      <c r="C8" s="18"/>
    </row>
    <row r="9" spans="1:3" ht="20.100000000000001" customHeight="1">
      <c r="A9" s="22" t="s">
        <v>40</v>
      </c>
      <c r="B9" s="50">
        <f>IF(Deepwell!B9="","",Deepwell!B9)</f>
        <v>2500122</v>
      </c>
      <c r="C9" s="18"/>
    </row>
    <row r="10" spans="1:3" ht="20.100000000000001" customHeight="1">
      <c r="A10" s="22" t="s">
        <v>41</v>
      </c>
      <c r="B10" s="50">
        <f>IF(Deepwell!B10="","",Deepwell!B10)</f>
        <v>2500129</v>
      </c>
      <c r="C10" s="18"/>
    </row>
    <row r="11" spans="1:3" ht="20.100000000000001" customHeight="1">
      <c r="A11" s="22" t="s">
        <v>42</v>
      </c>
      <c r="B11" s="50">
        <f>IF(Deepwell!B11="","",Deepwell!B11)</f>
        <v>2402444</v>
      </c>
      <c r="C11" s="18"/>
    </row>
    <row r="12" spans="1:3" ht="20.100000000000001" customHeight="1">
      <c r="A12" s="22" t="s">
        <v>43</v>
      </c>
      <c r="B12" s="50">
        <f>IF(Deepwell!B12="","",Deepwell!B12)</f>
        <v>2402285</v>
      </c>
      <c r="C12" s="18"/>
    </row>
    <row r="13" spans="1:3" ht="20.100000000000001" customHeight="1">
      <c r="A13" s="22" t="s">
        <v>44</v>
      </c>
      <c r="B13" s="50">
        <f>IF(Deepwell!B13="","",Deepwell!B13)</f>
        <v>2402457</v>
      </c>
      <c r="C13" s="18"/>
    </row>
    <row r="14" spans="1:3" ht="20.100000000000001" customHeight="1">
      <c r="A14" s="22" t="s">
        <v>45</v>
      </c>
      <c r="B14" s="50">
        <f>IF(Deepwell!C6="","",Deepwell!C6)</f>
        <v>2402580</v>
      </c>
      <c r="C14" s="18"/>
    </row>
    <row r="15" spans="1:3" ht="20.100000000000001" customHeight="1">
      <c r="A15" s="22" t="s">
        <v>46</v>
      </c>
      <c r="B15" s="50">
        <f>IF(Deepwell!C7="","",Deepwell!C7)</f>
        <v>2402584</v>
      </c>
      <c r="C15" s="18"/>
    </row>
    <row r="16" spans="1:3" ht="20.100000000000001" customHeight="1">
      <c r="A16" s="22" t="s">
        <v>47</v>
      </c>
      <c r="B16" s="50">
        <f>IF(Deepwell!C8="","",Deepwell!C8)</f>
        <v>2402576</v>
      </c>
      <c r="C16" s="18"/>
    </row>
    <row r="17" spans="1:3" ht="20.100000000000001" customHeight="1">
      <c r="A17" s="22" t="s">
        <v>48</v>
      </c>
      <c r="B17" s="50">
        <f>IF(Deepwell!C9="","",Deepwell!C9)</f>
        <v>2500054</v>
      </c>
      <c r="C17" s="18"/>
    </row>
    <row r="18" spans="1:3" ht="20.100000000000001" customHeight="1">
      <c r="A18" s="22" t="s">
        <v>49</v>
      </c>
      <c r="B18" s="50">
        <f>IF(Deepwell!C10="","",Deepwell!C10)</f>
        <v>2500065</v>
      </c>
      <c r="C18" s="18"/>
    </row>
    <row r="19" spans="1:3" ht="20.100000000000001" customHeight="1">
      <c r="A19" s="22" t="s">
        <v>50</v>
      </c>
      <c r="B19" s="50">
        <f>IF(Deepwell!C11="","",Deepwell!C11)</f>
        <v>2402074</v>
      </c>
      <c r="C19" s="18"/>
    </row>
    <row r="20" spans="1:3" ht="20.100000000000001" customHeight="1">
      <c r="A20" s="22" t="s">
        <v>51</v>
      </c>
      <c r="B20" s="50">
        <f>IF(Deepwell!C12="","",Deepwell!C12)</f>
        <v>2501957</v>
      </c>
      <c r="C20" s="18"/>
    </row>
    <row r="21" spans="1:3" ht="20.100000000000001" customHeight="1">
      <c r="A21" s="22" t="s">
        <v>52</v>
      </c>
      <c r="B21" s="50">
        <f>IF(Deepwell!C13="","",Deepwell!C13)</f>
        <v>2501306</v>
      </c>
      <c r="C21" s="18"/>
    </row>
    <row r="22" spans="1:3" ht="20.100000000000001" customHeight="1">
      <c r="A22" s="22" t="s">
        <v>53</v>
      </c>
      <c r="B22" s="50">
        <f>IF(Deepwell!D6="","",Deepwell!D6)</f>
        <v>2500008</v>
      </c>
      <c r="C22" s="18"/>
    </row>
    <row r="23" spans="1:3" ht="20.100000000000001" customHeight="1">
      <c r="A23" s="22" t="s">
        <v>54</v>
      </c>
      <c r="B23" s="50">
        <f>IF(Deepwell!D7="","",Deepwell!D7)</f>
        <v>2500096</v>
      </c>
      <c r="C23" s="18"/>
    </row>
    <row r="24" spans="1:3" ht="20.100000000000001" customHeight="1">
      <c r="A24" s="22" t="s">
        <v>55</v>
      </c>
      <c r="B24" s="50">
        <f>IF(Deepwell!D8="","",Deepwell!D8)</f>
        <v>2402849</v>
      </c>
      <c r="C24" s="18"/>
    </row>
    <row r="25" spans="1:3" ht="20.100000000000001" customHeight="1">
      <c r="A25" s="22" t="s">
        <v>56</v>
      </c>
      <c r="B25" s="50">
        <f>IF(Deepwell!D9="","",Deepwell!D9)</f>
        <v>2400767</v>
      </c>
      <c r="C25" s="18"/>
    </row>
    <row r="26" spans="1:3" ht="20.100000000000001" customHeight="1">
      <c r="A26" s="22" t="s">
        <v>57</v>
      </c>
      <c r="B26" s="50">
        <f>IF(Deepwell!D10="","",Deepwell!D10)</f>
        <v>2402837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9.6000000000000002E-2</v>
      </c>
      <c r="C14" s="28">
        <v>0.19700000000000001</v>
      </c>
      <c r="D14" s="28">
        <v>0.114</v>
      </c>
      <c r="E14" s="28">
        <v>9.6000000000000002E-2</v>
      </c>
      <c r="F14" s="28">
        <v>0.218</v>
      </c>
      <c r="G14" s="28">
        <v>0.11700000000000001</v>
      </c>
      <c r="H14" s="28">
        <v>7.0000000000000007E-2</v>
      </c>
      <c r="I14" s="28">
        <v>7.6999999999999999E-2</v>
      </c>
      <c r="J14" s="28">
        <v>3.5000000000000003E-2</v>
      </c>
      <c r="K14" s="28">
        <v>7.2999999999999995E-2</v>
      </c>
      <c r="L14" s="28">
        <v>7.4999999999999997E-2</v>
      </c>
      <c r="M14" s="29">
        <v>3.6999999999999998E-2</v>
      </c>
      <c r="N14"/>
      <c r="O14" s="13"/>
      <c r="P14" s="13"/>
      <c r="Q14" s="13"/>
    </row>
    <row r="15" spans="1:17" s="8" customFormat="1">
      <c r="A15" s="12" t="s">
        <v>24</v>
      </c>
      <c r="B15" s="30">
        <v>0.12</v>
      </c>
      <c r="C15" s="31">
        <v>3.3000000000000002E-2</v>
      </c>
      <c r="D15" s="31">
        <v>0.14599999999999999</v>
      </c>
      <c r="E15" s="31">
        <v>0.13300000000000001</v>
      </c>
      <c r="F15" s="31">
        <v>3.6999999999999998E-2</v>
      </c>
      <c r="G15" s="31">
        <v>0.13</v>
      </c>
      <c r="H15" s="31">
        <v>5.0999999999999997E-2</v>
      </c>
      <c r="I15" s="31">
        <v>3.4000000000000002E-2</v>
      </c>
      <c r="J15" s="31">
        <v>2.9000000000000001E-2</v>
      </c>
      <c r="K15" s="31">
        <v>5.1999999999999998E-2</v>
      </c>
      <c r="L15" s="31">
        <v>3.5999999999999997E-2</v>
      </c>
      <c r="M15" s="32">
        <v>0.03</v>
      </c>
      <c r="N15"/>
      <c r="O15" s="13"/>
      <c r="P15" s="13"/>
      <c r="Q15" s="13"/>
    </row>
    <row r="16" spans="1:17" s="8" customFormat="1">
      <c r="A16" s="12" t="s">
        <v>25</v>
      </c>
      <c r="B16" s="30">
        <v>4.2999999999999997E-2</v>
      </c>
      <c r="C16" s="31">
        <v>0.13400000000000001</v>
      </c>
      <c r="D16" s="31">
        <v>0.159</v>
      </c>
      <c r="E16" s="31">
        <v>3.7999999999999999E-2</v>
      </c>
      <c r="F16" s="31">
        <v>0.14099999999999999</v>
      </c>
      <c r="G16" s="31">
        <v>0.159</v>
      </c>
      <c r="H16" s="31">
        <v>2.5999999999999999E-2</v>
      </c>
      <c r="I16" s="31">
        <v>3.9E-2</v>
      </c>
      <c r="J16" s="31">
        <v>0.11600000000000001</v>
      </c>
      <c r="K16" s="31">
        <v>2.5000000000000001E-2</v>
      </c>
      <c r="L16" s="31">
        <v>3.6999999999999998E-2</v>
      </c>
      <c r="M16" s="32">
        <v>0.13300000000000001</v>
      </c>
      <c r="N16"/>
      <c r="O16" s="13"/>
      <c r="P16" s="13"/>
      <c r="Q16" s="13"/>
    </row>
    <row r="17" spans="1:39" s="8" customFormat="1">
      <c r="A17" s="12" t="s">
        <v>26</v>
      </c>
      <c r="B17" s="30">
        <v>0.106</v>
      </c>
      <c r="C17" s="31">
        <v>2.6230000000000002</v>
      </c>
      <c r="D17" s="31">
        <v>0.187</v>
      </c>
      <c r="E17" s="31">
        <v>9.8000000000000004E-2</v>
      </c>
      <c r="F17" s="31">
        <v>2.6</v>
      </c>
      <c r="G17" s="31">
        <v>0.17199999999999999</v>
      </c>
      <c r="H17" s="31">
        <v>4.5999999999999999E-2</v>
      </c>
      <c r="I17" s="31">
        <v>4.3999999999999997E-2</v>
      </c>
      <c r="J17" s="31">
        <v>9.5000000000000001E-2</v>
      </c>
      <c r="K17" s="31">
        <v>4.2999999999999997E-2</v>
      </c>
      <c r="L17" s="31">
        <v>5.1999999999999998E-2</v>
      </c>
      <c r="M17" s="32">
        <v>0.1</v>
      </c>
      <c r="N17"/>
      <c r="O17" s="13"/>
      <c r="P17" s="13"/>
      <c r="Q17" s="13"/>
    </row>
    <row r="18" spans="1:39" s="8" customFormat="1">
      <c r="A18" s="12" t="s">
        <v>27</v>
      </c>
      <c r="B18" s="30">
        <v>9.0999999999999998E-2</v>
      </c>
      <c r="C18" s="31">
        <v>6.8000000000000005E-2</v>
      </c>
      <c r="D18" s="31">
        <v>3.5999999999999997E-2</v>
      </c>
      <c r="E18" s="31">
        <v>7.8E-2</v>
      </c>
      <c r="F18" s="31">
        <v>6.7000000000000004E-2</v>
      </c>
      <c r="G18" s="31">
        <v>3.4000000000000002E-2</v>
      </c>
      <c r="H18" s="31">
        <v>5.5E-2</v>
      </c>
      <c r="I18" s="31">
        <v>3.1E-2</v>
      </c>
      <c r="J18" s="31">
        <v>3.4000000000000002E-2</v>
      </c>
      <c r="K18" s="31">
        <v>6.0999999999999999E-2</v>
      </c>
      <c r="L18" s="31">
        <v>3.4000000000000002E-2</v>
      </c>
      <c r="M18" s="32">
        <v>3.7999999999999999E-2</v>
      </c>
      <c r="N18"/>
      <c r="O18" s="13"/>
      <c r="P18" s="13"/>
      <c r="Q18" s="13"/>
    </row>
    <row r="19" spans="1:39" s="8" customFormat="1">
      <c r="A19" s="12" t="s">
        <v>28</v>
      </c>
      <c r="B19" s="30">
        <v>0.42199999999999999</v>
      </c>
      <c r="C19" s="31">
        <v>8.2000000000000003E-2</v>
      </c>
      <c r="D19" s="31">
        <v>1.7000000000000001E-2</v>
      </c>
      <c r="E19" s="31">
        <v>0.45700000000000002</v>
      </c>
      <c r="F19" s="31">
        <v>7.9000000000000001E-2</v>
      </c>
      <c r="G19" s="31">
        <v>1.7000000000000001E-2</v>
      </c>
      <c r="H19" s="31">
        <v>6.8000000000000005E-2</v>
      </c>
      <c r="I19" s="31">
        <v>4.7E-2</v>
      </c>
      <c r="J19" s="31">
        <v>1.2E-2</v>
      </c>
      <c r="K19" s="31">
        <v>7.1999999999999995E-2</v>
      </c>
      <c r="L19" s="31">
        <v>5.1999999999999998E-2</v>
      </c>
      <c r="M19" s="32">
        <v>1.2E-2</v>
      </c>
      <c r="N19"/>
      <c r="O19" s="13"/>
      <c r="P19" s="13"/>
      <c r="Q19" s="13"/>
    </row>
    <row r="20" spans="1:39" s="8" customFormat="1">
      <c r="A20" s="12" t="s">
        <v>30</v>
      </c>
      <c r="B20" s="30">
        <v>0.1</v>
      </c>
      <c r="C20" s="31">
        <v>7.9000000000000001E-2</v>
      </c>
      <c r="D20" s="31">
        <v>1.016</v>
      </c>
      <c r="E20" s="31">
        <v>0.104</v>
      </c>
      <c r="F20" s="31">
        <v>7.2999999999999995E-2</v>
      </c>
      <c r="G20" s="31">
        <v>1.028</v>
      </c>
      <c r="H20" s="31">
        <v>3.2000000000000001E-2</v>
      </c>
      <c r="I20" s="31">
        <v>3.9E-2</v>
      </c>
      <c r="J20" s="31">
        <v>1.7000000000000001E-2</v>
      </c>
      <c r="K20" s="31">
        <v>3.5000000000000003E-2</v>
      </c>
      <c r="L20" s="31">
        <v>3.9E-2</v>
      </c>
      <c r="M20" s="32">
        <v>0.01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7.5999999999999998E-2</v>
      </c>
      <c r="C21" s="34">
        <v>0.27700000000000002</v>
      </c>
      <c r="D21" s="34">
        <v>2.8000000000000001E-2</v>
      </c>
      <c r="E21" s="34">
        <v>7.4999999999999997E-2</v>
      </c>
      <c r="F21" s="34">
        <v>0.28899999999999998</v>
      </c>
      <c r="G21" s="34">
        <v>2.1000000000000001E-2</v>
      </c>
      <c r="H21" s="34">
        <v>4.8000000000000001E-2</v>
      </c>
      <c r="I21" s="34">
        <v>3.4000000000000002E-2</v>
      </c>
      <c r="J21" s="34">
        <v>2.5000000000000001E-2</v>
      </c>
      <c r="K21" s="34">
        <v>5.5E-2</v>
      </c>
      <c r="L21" s="34">
        <v>4.1000000000000002E-2</v>
      </c>
      <c r="M21" s="35">
        <v>2.5000000000000001E-2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zoomScaleNormal="100" workbookViewId="0">
      <selection activeCell="K8" sqref="K8:K2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127</v>
      </c>
      <c r="D2" s="42">
        <f>IF(ELISA!B6="","",ELISA!B6)</f>
        <v>2500014</v>
      </c>
      <c r="E2" s="43">
        <f>IF('450 nm - 600 nm'!B14="","",(('450 nm - 600 nm'!B14+'450 nm - 600 nm'!E14)/2)-(('450 nm - 600 nm'!H14+'450 nm - 600 nm'!K14)/2))</f>
        <v>2.4499999999999994E-2</v>
      </c>
      <c r="F2" s="44">
        <f>IF(E2="","",(E2-Controls!$D$4)/(Controls!$D$2-Controls!$D$4))</f>
        <v>2.4777006937561939E-2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128</v>
      </c>
      <c r="D3" s="42">
        <f>IF(ELISA!B7="","",ELISA!B7)</f>
        <v>2402564</v>
      </c>
      <c r="E3" s="43">
        <f>IF('450 nm - 600 nm'!B15="","",(('450 nm - 600 nm'!B15+'450 nm - 600 nm'!E15)/2)-(('450 nm - 600 nm'!H15+'450 nm - 600 nm'!K15)/2))</f>
        <v>7.5000000000000011E-2</v>
      </c>
      <c r="F3" s="44">
        <f>IF(E3="","",(E3-Controls!$D$4)/(Controls!$D$2-Controls!$D$4))</f>
        <v>7.4826560951437082E-2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129</v>
      </c>
      <c r="D4" s="42">
        <f>IF(ELISA!B8="","",ELISA!B8)</f>
        <v>2500123</v>
      </c>
      <c r="E4" s="43">
        <f>IF('450 nm - 600 nm'!B16="","",(('450 nm - 600 nm'!B16+'450 nm - 600 nm'!E16)/2)-(('450 nm - 600 nm'!H16+'450 nm - 600 nm'!K16)/2))</f>
        <v>1.4999999999999993E-2</v>
      </c>
      <c r="F4" s="44">
        <f>IF(E4="","",(E4-Controls!$D$4)/(Controls!$D$2-Controls!$D$4))</f>
        <v>1.5361744301288399E-2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130</v>
      </c>
      <c r="D5" s="42">
        <f>IF(ELISA!B9="","",ELISA!B9)</f>
        <v>2500122</v>
      </c>
      <c r="E5" s="43">
        <f>IF('450 nm - 600 nm'!B17="","",(('450 nm - 600 nm'!B17+'450 nm - 600 nm'!E17)/2)-(('450 nm - 600 nm'!H17+'450 nm - 600 nm'!K17)/2))</f>
        <v>5.7500000000000009E-2</v>
      </c>
      <c r="F5" s="44">
        <f>IF(E5="","",(E5-Controls!$D$4)/(Controls!$D$2-Controls!$D$4))</f>
        <v>5.7482656095143719E-2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131</v>
      </c>
      <c r="D6" s="42">
        <f>IF(ELISA!B10="","",ELISA!B10)</f>
        <v>2500129</v>
      </c>
      <c r="E6" s="43">
        <f>IF('450 nm - 600 nm'!B18="","",(('450 nm - 600 nm'!B18+'450 nm - 600 nm'!E18)/2)-(('450 nm - 600 nm'!H18+'450 nm - 600 nm'!K18)/2))</f>
        <v>2.6499999999999996E-2</v>
      </c>
      <c r="F6" s="44">
        <f>IF(E6="","",(E6-Controls!$D$4)/(Controls!$D$2-Controls!$D$4))</f>
        <v>2.6759167492566897E-2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132</v>
      </c>
      <c r="D7" s="42">
        <f>IF(ELISA!B11="","",ELISA!B11)</f>
        <v>2402444</v>
      </c>
      <c r="E7" s="43">
        <f>IF('450 nm - 600 nm'!B19="","",(('450 nm - 600 nm'!B19+'450 nm - 600 nm'!E19)/2)-(('450 nm - 600 nm'!H19+'450 nm - 600 nm'!K19)/2))</f>
        <v>0.3695</v>
      </c>
      <c r="F7" s="44">
        <f>IF(E7="","",(E7-Controls!$D$4)/(Controls!$D$2-Controls!$D$4))</f>
        <v>0.36669970267591678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133</v>
      </c>
      <c r="D8" s="42">
        <f>IF(ELISA!B12="","",ELISA!B12)</f>
        <v>2402285</v>
      </c>
      <c r="E8" s="43">
        <f>IF('450 nm - 600 nm'!B20="","",(('450 nm - 600 nm'!B20+'450 nm - 600 nm'!E20)/2)-(('450 nm - 600 nm'!H20+'450 nm - 600 nm'!K20)/2))</f>
        <v>6.8500000000000005E-2</v>
      </c>
      <c r="F8" s="44">
        <f>IF(E8="","",(E8-Controls!$D$4)/(Controls!$D$2-Controls!$D$4))</f>
        <v>6.8384539147670981E-2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134</v>
      </c>
      <c r="D9" s="42">
        <f>IF(ELISA!B13="","",ELISA!B13)</f>
        <v>2402457</v>
      </c>
      <c r="E9" s="43">
        <f>IF('450 nm - 600 nm'!B21="","",(('450 nm - 600 nm'!B21+'450 nm - 600 nm'!E21)/2)-(('450 nm - 600 nm'!H21+'450 nm - 600 nm'!K21)/2))</f>
        <v>2.3999999999999994E-2</v>
      </c>
      <c r="F9" s="44">
        <f>IF(E9="","",(E9-Controls!$D$4)/(Controls!$D$2-Controls!$D$4))</f>
        <v>2.42814667988107E-2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135</v>
      </c>
      <c r="D10" s="42">
        <f>IF(ELISA!B14="","",ELISA!B14)</f>
        <v>2402580</v>
      </c>
      <c r="E10" s="43">
        <f>IF('450 nm - 600 nm'!C14="","",(('450 nm - 600 nm'!C14+'450 nm - 600 nm'!F14)/2)-(('450 nm - 600 nm'!I14+'450 nm - 600 nm'!L14)/2))</f>
        <v>0.13150000000000001</v>
      </c>
      <c r="F10" s="44">
        <f>IF(E10="","",(E10-Controls!$D$4)/(Controls!$D$2-Controls!$D$4))</f>
        <v>0.13082259663032708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136</v>
      </c>
      <c r="D11" s="42">
        <f>IF(ELISA!B15="","",ELISA!B15)</f>
        <v>2402584</v>
      </c>
      <c r="E11" s="43">
        <f>IF('450 nm - 600 nm'!C15="","",(('450 nm - 600 nm'!C15+'450 nm - 600 nm'!F15)/2)-(('450 nm - 600 nm'!I15+'450 nm - 600 nm'!L15)/2))</f>
        <v>0</v>
      </c>
      <c r="F11" s="44">
        <f>IF(E11="","",(E11-Controls!$D$4)/(Controls!$D$2-Controls!$D$4))</f>
        <v>4.9554013875123938E-4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137</v>
      </c>
      <c r="D12" s="42">
        <f>IF(ELISA!B16="","",ELISA!B16)</f>
        <v>2402576</v>
      </c>
      <c r="E12" s="43">
        <f>IF('450 nm - 600 nm'!C16="","",(('450 nm - 600 nm'!C16+'450 nm - 600 nm'!F16)/2)-(('450 nm - 600 nm'!I16+'450 nm - 600 nm'!L16)/2))</f>
        <v>9.9500000000000005E-2</v>
      </c>
      <c r="F12" s="44">
        <f>IF(E12="","",(E12-Controls!$D$4)/(Controls!$D$2-Controls!$D$4))</f>
        <v>9.9108027750247782E-2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138</v>
      </c>
      <c r="D13" s="42">
        <f>IF(ELISA!B17="","",ELISA!B17)</f>
        <v>2500054</v>
      </c>
      <c r="E13" s="43">
        <f>IF('450 nm - 600 nm'!C17="","",(('450 nm - 600 nm'!C17+'450 nm - 600 nm'!F17)/2)-(('450 nm - 600 nm'!I17+'450 nm - 600 nm'!L17)/2))</f>
        <v>2.5635000000000003</v>
      </c>
      <c r="F13" s="44">
        <f>IF(E13="","",(E13-Controls!$D$4)/(Controls!$D$2-Controls!$D$4))</f>
        <v>2.5411298315163537</v>
      </c>
      <c r="G13" s="41" t="str">
        <f t="shared" si="1"/>
        <v>POS</v>
      </c>
      <c r="H13" s="41" t="str">
        <f t="shared" si="2"/>
        <v>POS</v>
      </c>
      <c r="I13" s="41" t="str">
        <f t="shared" si="3"/>
        <v>P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139</v>
      </c>
      <c r="D14" s="42">
        <f>IF(ELISA!B18="","",ELISA!B18)</f>
        <v>2500065</v>
      </c>
      <c r="E14" s="43">
        <f>IF('450 nm - 600 nm'!C18="","",(('450 nm - 600 nm'!C18+'450 nm - 600 nm'!F18)/2)-(('450 nm - 600 nm'!I18+'450 nm - 600 nm'!L18)/2))</f>
        <v>3.5000000000000003E-2</v>
      </c>
      <c r="F14" s="44">
        <f>IF(E14="","",(E14-Controls!$D$4)/(Controls!$D$2-Controls!$D$4))</f>
        <v>3.5183349851337968E-2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140</v>
      </c>
      <c r="D15" s="42">
        <f>IF(ELISA!B19="","",ELISA!B19)</f>
        <v>2402074</v>
      </c>
      <c r="E15" s="43">
        <f>IF('450 nm - 600 nm'!C19="","",(('450 nm - 600 nm'!C19+'450 nm - 600 nm'!F19)/2)-(('450 nm - 600 nm'!I19+'450 nm - 600 nm'!L19)/2))</f>
        <v>3.1E-2</v>
      </c>
      <c r="F15" s="44">
        <f>IF(E15="","",(E15-Controls!$D$4)/(Controls!$D$2-Controls!$D$4))</f>
        <v>3.121902874132805E-2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141</v>
      </c>
      <c r="D16" s="42">
        <f>IF(ELISA!B20="","",ELISA!B20)</f>
        <v>2501957</v>
      </c>
      <c r="E16" s="43">
        <f>IF('450 nm - 600 nm'!C20="","",(('450 nm - 600 nm'!C20+'450 nm - 600 nm'!F20)/2)-(('450 nm - 600 nm'!I20+'450 nm - 600 nm'!L20)/2))</f>
        <v>3.6999999999999998E-2</v>
      </c>
      <c r="F16" s="44">
        <f>IF(E16="","",(E16-Controls!$D$4)/(Controls!$D$2-Controls!$D$4))</f>
        <v>3.7165510406342916E-2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142</v>
      </c>
      <c r="D17" s="42">
        <f>IF(ELISA!B21="","",ELISA!B21)</f>
        <v>2501306</v>
      </c>
      <c r="E17" s="43">
        <f>IF('450 nm - 600 nm'!C21="","",(('450 nm - 600 nm'!C21+'450 nm - 600 nm'!F21)/2)-(('450 nm - 600 nm'!I21+'450 nm - 600 nm'!L21)/2))</f>
        <v>0.24550000000000002</v>
      </c>
      <c r="F17" s="44">
        <f>IF(E17="","",(E17-Controls!$D$4)/(Controls!$D$2-Controls!$D$4))</f>
        <v>0.24380574826560955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143</v>
      </c>
      <c r="D18" s="42">
        <f>IF(ELISA!B22="","",ELISA!B22)</f>
        <v>2500008</v>
      </c>
      <c r="E18" s="43">
        <f>IF('450 nm - 600 nm'!D14="","",(('450 nm - 600 nm'!D14+'450 nm - 600 nm'!G14)/2)-(('450 nm - 600 nm'!J14+'450 nm - 600 nm'!M14)/2))</f>
        <v>7.9500000000000001E-2</v>
      </c>
      <c r="F18" s="44">
        <f>IF(E18="","",(E18-Controls!$D$4)/(Controls!$D$2-Controls!$D$4))</f>
        <v>7.9286422200198228E-2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144</v>
      </c>
      <c r="D19" s="42">
        <f>IF(ELISA!B23="","",ELISA!B23)</f>
        <v>2500096</v>
      </c>
      <c r="E19" s="43">
        <f>IF('450 nm - 600 nm'!D15="","",(('450 nm - 600 nm'!D15+'450 nm - 600 nm'!G15)/2)-(('450 nm - 600 nm'!J15+'450 nm - 600 nm'!M15)/2))</f>
        <v>0.10850000000000001</v>
      </c>
      <c r="F19" s="44">
        <f>IF(E19="","",(E19-Controls!$D$4)/(Controls!$D$2-Controls!$D$4))</f>
        <v>0.10802775024777009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145</v>
      </c>
      <c r="D20" s="42">
        <f>IF(ELISA!B24="","",ELISA!B24)</f>
        <v>2402849</v>
      </c>
      <c r="E20" s="43">
        <f>IF('450 nm - 600 nm'!D16="","",(('450 nm - 600 nm'!D16+'450 nm - 600 nm'!G16)/2)-(('450 nm - 600 nm'!J16+'450 nm - 600 nm'!M16)/2))</f>
        <v>3.4500000000000003E-2</v>
      </c>
      <c r="F20" s="44">
        <f>IF(E20="","",(E20-Controls!$D$4)/(Controls!$D$2-Controls!$D$4))</f>
        <v>3.4687809712586726E-2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146</v>
      </c>
      <c r="D21" s="42">
        <f>IF(ELISA!B25="","",ELISA!B25)</f>
        <v>2400767</v>
      </c>
      <c r="E21" s="43">
        <f>IF('450 nm - 600 nm'!D17="","",(('450 nm - 600 nm'!D17+'450 nm - 600 nm'!G17)/2)-(('450 nm - 600 nm'!J17+'450 nm - 600 nm'!M17)/2))</f>
        <v>8.199999999999999E-2</v>
      </c>
      <c r="F21" s="44">
        <f>IF(E21="","",(E21-Controls!$D$4)/(Controls!$D$2-Controls!$D$4))</f>
        <v>8.1764122893954405E-2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147</v>
      </c>
      <c r="D22" s="42">
        <f>IF(ELISA!B26="","",ELISA!B26)</f>
        <v>2402837</v>
      </c>
      <c r="E22" s="43">
        <f>IF('450 nm - 600 nm'!D18="","",(('450 nm - 600 nm'!D18+'450 nm - 600 nm'!G18)/2)-(('450 nm - 600 nm'!J18+'450 nm - 600 nm'!M18)/2))</f>
        <v>-1.0000000000000009E-3</v>
      </c>
      <c r="F22" s="44">
        <f>IF(E22="","",(E22-Controls!$D$4)/(Controls!$D$2-Controls!$D$4))</f>
        <v>-4.9554013875123938E-4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1.0085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5.000000000000001E-3</v>
      </c>
      <c r="E3" s="44">
        <f>IF(D3="","",(D3-$D$4)/($D$2-$D$4))</f>
        <v>5.450941526263629E-3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-5.0000000000000044E-4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105</v>
      </c>
      <c r="D4" s="58" t="s">
        <v>113</v>
      </c>
    </row>
    <row r="5" spans="2:4" ht="15.75" thickBot="1">
      <c r="B5" s="80"/>
      <c r="C5" s="80"/>
      <c r="D5" s="57" t="s">
        <v>114</v>
      </c>
    </row>
    <row r="6" spans="2:4" ht="15.75" thickBot="1">
      <c r="B6" s="54" t="s">
        <v>37</v>
      </c>
      <c r="C6" s="55">
        <f>IF(ELISA!B6="","",ELISA!B6)</f>
        <v>2500014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2402564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2500123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2500122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2500129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2402444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2402285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2402457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2402580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2402584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2402576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2500054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2500065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2402074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2501957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2501306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2500008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2500096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2402849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2400767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2402837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2025-09-19T09:16:30+00:00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5F72E6-AE02-400B-BBED-04308E21BD29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2025-10-07T12:36:52Z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