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BIOMOL\Users\USER\Desktop\03 - Biologie Moleculaire\0302 - Résultats qPCR\"/>
    </mc:Choice>
  </mc:AlternateContent>
  <xr:revisionPtr revIDLastSave="0" documentId="13_ncr:1_{0DE99F0B-B3F2-433A-AC79-37C671C696F1}" xr6:coauthVersionLast="47" xr6:coauthVersionMax="47" xr10:uidLastSave="{00000000-0000-0000-0000-000000000000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13290" yWindow="1020" windowWidth="21600" windowHeight="10635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E3" i="10" l="1" a="1"/>
  <c r="E3" i="10" s="1"/>
  <c r="F3" i="10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<sst xmlns="http://schemas.openxmlformats.org/spreadsheetml/2006/main" count="425" uniqueCount="75">
  <si>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</si>
  <si>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</si>
  <si>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</si>
  <si>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</si>
  <si>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</si>
  <si>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</si>
  <si>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</si>
  <si>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</si>
  <si>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</si>
  <si>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</si>
  <si>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</si>
  <si>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</si>
  <si>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</si>
  <si>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</si>
  <si>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</si>
  <si>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</si>
  <si>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</si>
  <si>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</si>
  <si>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</si>
  <si>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</si>
  <si>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</si>
  <si>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</si>
  <si>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</si>
  <si>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</si>
  <si>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</si>
  <si>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</si>
  <si>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</si>
  <si>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</si>
  <si>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</si>
  <si>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</si>
  <si>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</si>
  <si>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</si>
  <si>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</si>
  <si>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</si>
  <si>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</si>
  <si>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</si>
  <si>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</si>
  <si>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</si>
  <si>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</si>
  <si>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</si>
  <si>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</si>
  <si>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</si>
  <si>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</si>
  <si>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DIEUDO</t>
  </si>
  <si>
    <t>Qrun file name</t>
  </si>
  <si>
    <t>2025-08-29 10.18.45 Run</t>
  </si>
  <si>
    <t>Qrun directory</t>
  </si>
  <si>
    <t>XLT qScript batch</t>
  </si>
  <si>
    <t>177T batch</t>
  </si>
  <si>
    <t>18S2 batch</t>
  </si>
  <si>
    <t>RNAseP batch</t>
  </si>
  <si>
    <t>water (CN)</t>
  </si>
  <si>
    <t>positive controle (CP)</t>
  </si>
  <si>
    <t>Code Barre</t>
  </si>
  <si>
    <t>Final</t>
  </si>
  <si>
    <t>Validation (Echec/Valide)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</si>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</sst>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14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</cellXfs>
  <cellStyles count="1">
    <cellStyle name="Standaard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>
        <v>1</v>
      </c>
      <c r="B2" s="8">
        <v>118</v>
      </c>
      <c r="C2" s="8">
        <v>-1</v>
      </c>
      <c r="D2" s="8">
        <v>-1</v>
      </c>
      <c r="E2" s="8"/>
      <c r="F2" s="8" t="s">
        <v>6</v>
      </c>
    </row>
    <row r="3" spans="1:6">
      <c r="A3" s="8">
        <v>2</v>
      </c>
      <c r="B3" s="8">
        <v>118</v>
      </c>
      <c r="C3" s="8">
        <v>-1</v>
      </c>
      <c r="D3" s="8">
        <v>-1</v>
      </c>
      <c r="E3" s="8"/>
      <c r="F3" s="8" t="s">
        <v>6</v>
      </c>
    </row>
    <row r="4" spans="1:6">
      <c r="A4" s="8">
        <v>3</v>
      </c>
      <c r="B4" s="8">
        <v>118</v>
      </c>
      <c r="C4" s="8">
        <v>-1</v>
      </c>
      <c r="D4" s="8">
        <v>-1</v>
      </c>
      <c r="E4" s="8"/>
      <c r="F4" s="8" t="s">
        <v>6</v>
      </c>
    </row>
    <row r="5" spans="1:6">
      <c r="A5" s="8">
        <v>4</v>
      </c>
      <c r="B5" s="8">
        <v>118</v>
      </c>
      <c r="C5" s="8">
        <v>-1</v>
      </c>
      <c r="D5" s="8">
        <v>-1</v>
      </c>
      <c r="E5" s="8"/>
      <c r="F5" s="8" t="s">
        <v>6</v>
      </c>
    </row>
    <row r="6" spans="1:6">
      <c r="A6" s="8">
        <v>5</v>
      </c>
      <c r="B6" s="8">
        <v>119</v>
      </c>
      <c r="C6" s="8">
        <v>-1</v>
      </c>
      <c r="D6" s="8">
        <v>-1</v>
      </c>
      <c r="E6" s="8"/>
      <c r="F6" s="8" t="s">
        <v>6</v>
      </c>
    </row>
    <row r="7" spans="1:6">
      <c r="A7" s="8">
        <v>6</v>
      </c>
      <c r="B7" s="8">
        <v>119</v>
      </c>
      <c r="C7" s="8">
        <v>-1</v>
      </c>
      <c r="D7" s="8">
        <v>-1</v>
      </c>
      <c r="E7" s="8"/>
      <c r="F7" s="8" t="s">
        <v>6</v>
      </c>
    </row>
    <row r="8" spans="1:6">
      <c r="A8" s="8">
        <v>7</v>
      </c>
      <c r="B8" s="8">
        <v>119</v>
      </c>
      <c r="C8" s="8">
        <v>-1</v>
      </c>
      <c r="D8" s="8">
        <v>-1</v>
      </c>
      <c r="E8" s="8"/>
      <c r="F8" s="8" t="s">
        <v>6</v>
      </c>
    </row>
    <row r="9" spans="1:6">
      <c r="A9" s="8">
        <v>8</v>
      </c>
      <c r="B9" s="8">
        <v>119</v>
      </c>
      <c r="C9" s="8">
        <v>-1</v>
      </c>
      <c r="D9" s="8">
        <v>-1</v>
      </c>
      <c r="E9" s="8"/>
      <c r="F9" s="8" t="s">
        <v>6</v>
      </c>
    </row>
    <row r="10" spans="1:6">
      <c r="A10" s="8">
        <v>9</v>
      </c>
      <c r="B10" s="8">
        <v>120</v>
      </c>
      <c r="C10" s="8">
        <v>-1</v>
      </c>
      <c r="D10" s="8">
        <v>-1</v>
      </c>
      <c r="E10" s="8"/>
      <c r="F10" s="8" t="s">
        <v>6</v>
      </c>
    </row>
    <row r="11" spans="1:6">
      <c r="A11" s="8">
        <v>10</v>
      </c>
      <c r="B11" s="8">
        <v>120</v>
      </c>
      <c r="C11" s="8">
        <v>-1</v>
      </c>
      <c r="D11" s="8">
        <v>-1</v>
      </c>
      <c r="E11" s="8"/>
      <c r="F11" s="8" t="s">
        <v>6</v>
      </c>
    </row>
    <row r="12" spans="1:6">
      <c r="A12" s="8">
        <v>11</v>
      </c>
      <c r="B12" s="8">
        <v>120</v>
      </c>
      <c r="C12" s="8">
        <v>-1</v>
      </c>
      <c r="D12" s="8">
        <v>-1</v>
      </c>
      <c r="E12" s="8"/>
      <c r="F12" s="8" t="s">
        <v>6</v>
      </c>
    </row>
    <row r="13" spans="1:6">
      <c r="A13" s="8">
        <v>12</v>
      </c>
      <c r="B13" s="8">
        <v>120</v>
      </c>
      <c r="C13" s="8">
        <v>-1</v>
      </c>
      <c r="D13" s="8">
        <v>-1</v>
      </c>
      <c r="E13" s="8"/>
      <c r="F13" s="8" t="s">
        <v>6</v>
      </c>
    </row>
    <row r="14" spans="1:6">
      <c r="A14" s="8">
        <v>13</v>
      </c>
      <c r="B14" s="8">
        <v>121</v>
      </c>
      <c r="C14" s="8">
        <v>-1</v>
      </c>
      <c r="D14" s="8">
        <v>-1</v>
      </c>
      <c r="E14" s="8"/>
      <c r="F14" s="8" t="s">
        <v>6</v>
      </c>
    </row>
    <row r="15" spans="1:6">
      <c r="A15" s="8">
        <v>14</v>
      </c>
      <c r="B15" s="8">
        <v>121</v>
      </c>
      <c r="C15" s="8">
        <v>-1</v>
      </c>
      <c r="D15" s="8">
        <v>-1</v>
      </c>
      <c r="E15" s="8"/>
      <c r="F15" s="8" t="s">
        <v>6</v>
      </c>
    </row>
    <row r="16" spans="1:6">
      <c r="A16" s="8">
        <v>15</v>
      </c>
      <c r="B16" s="8">
        <v>121</v>
      </c>
      <c r="C16" s="8">
        <v>-1</v>
      </c>
      <c r="D16" s="8">
        <v>-1</v>
      </c>
      <c r="E16" s="8"/>
      <c r="F16" s="8" t="s">
        <v>6</v>
      </c>
    </row>
    <row r="17" spans="1:6">
      <c r="A17" s="8">
        <v>16</v>
      </c>
      <c r="B17" s="8">
        <v>121</v>
      </c>
      <c r="C17" s="8">
        <v>-1</v>
      </c>
      <c r="D17" s="8">
        <v>-1</v>
      </c>
      <c r="E17" s="8"/>
      <c r="F17" s="8" t="s">
        <v>6</v>
      </c>
    </row>
    <row r="18" spans="1:6">
      <c r="A18" s="8">
        <v>17</v>
      </c>
      <c r="B18" s="8">
        <v>122</v>
      </c>
      <c r="C18" s="8">
        <v>-1</v>
      </c>
      <c r="D18" s="8">
        <v>-1</v>
      </c>
      <c r="E18" s="8"/>
      <c r="F18" s="8" t="s">
        <v>6</v>
      </c>
    </row>
    <row r="19" spans="1:6">
      <c r="A19" s="8">
        <v>18</v>
      </c>
      <c r="B19" s="8">
        <v>122</v>
      </c>
      <c r="C19" s="8">
        <v>-1</v>
      </c>
      <c r="D19" s="8">
        <v>-1</v>
      </c>
      <c r="E19" s="8"/>
      <c r="F19" s="8" t="s">
        <v>6</v>
      </c>
    </row>
    <row r="20" spans="1:6">
      <c r="A20" s="8">
        <v>19</v>
      </c>
      <c r="B20" s="8">
        <v>122</v>
      </c>
      <c r="C20" s="8">
        <v>-1</v>
      </c>
      <c r="D20" s="8">
        <v>-1</v>
      </c>
      <c r="E20" s="8"/>
      <c r="F20" s="8" t="s">
        <v>6</v>
      </c>
    </row>
    <row r="21" spans="1:6">
      <c r="A21" s="8">
        <v>20</v>
      </c>
      <c r="B21" s="8">
        <v>122</v>
      </c>
      <c r="C21" s="8">
        <v>-1</v>
      </c>
      <c r="D21" s="8">
        <v>-1</v>
      </c>
      <c r="E21" s="8"/>
      <c r="F21" s="8" t="s">
        <v>6</v>
      </c>
    </row>
    <row r="22" spans="1:6">
      <c r="A22" s="8">
        <v>21</v>
      </c>
      <c r="B22" s="8">
        <v>123</v>
      </c>
      <c r="C22" s="8">
        <v>-1</v>
      </c>
      <c r="D22" s="8">
        <v>-1</v>
      </c>
      <c r="E22" s="8"/>
      <c r="F22" s="8" t="s">
        <v>6</v>
      </c>
    </row>
    <row r="23" spans="1:6">
      <c r="A23" s="8">
        <v>22</v>
      </c>
      <c r="B23" s="8">
        <v>123</v>
      </c>
      <c r="C23" s="8">
        <v>-1</v>
      </c>
      <c r="D23" s="8">
        <v>-1</v>
      </c>
      <c r="E23" s="8"/>
      <c r="F23" s="8" t="s">
        <v>6</v>
      </c>
    </row>
    <row r="24" spans="1:6">
      <c r="A24" s="8">
        <v>23</v>
      </c>
      <c r="B24" s="8">
        <v>123</v>
      </c>
      <c r="C24" s="8">
        <v>-1</v>
      </c>
      <c r="D24" s="8">
        <v>-1</v>
      </c>
      <c r="E24" s="8"/>
      <c r="F24" s="8" t="s">
        <v>6</v>
      </c>
    </row>
    <row r="25" spans="1:6">
      <c r="A25" s="8">
        <v>24</v>
      </c>
      <c r="B25" s="8">
        <v>123</v>
      </c>
      <c r="C25" s="8">
        <v>-1</v>
      </c>
      <c r="D25" s="8">
        <v>-1</v>
      </c>
      <c r="E25" s="8"/>
      <c r="F25" s="8" t="s">
        <v>6</v>
      </c>
    </row>
    <row r="26" spans="1:6">
      <c r="A26" s="8">
        <v>25</v>
      </c>
      <c r="B26" s="8">
        <v>124</v>
      </c>
      <c r="C26" s="8">
        <v>-1</v>
      </c>
      <c r="D26" s="8">
        <v>-1</v>
      </c>
      <c r="E26" s="8"/>
      <c r="F26" s="8" t="s">
        <v>6</v>
      </c>
    </row>
    <row r="27" spans="1:6">
      <c r="A27" s="8">
        <v>26</v>
      </c>
      <c r="B27" s="8">
        <v>124</v>
      </c>
      <c r="C27" s="8">
        <v>-1</v>
      </c>
      <c r="D27" s="8">
        <v>-1</v>
      </c>
      <c r="E27" s="8"/>
      <c r="F27" s="8" t="s">
        <v>6</v>
      </c>
    </row>
    <row r="28" spans="1:6">
      <c r="A28" s="8">
        <v>27</v>
      </c>
      <c r="B28" s="8">
        <v>124</v>
      </c>
      <c r="C28" s="8">
        <v>-1</v>
      </c>
      <c r="D28" s="8">
        <v>-1</v>
      </c>
      <c r="E28" s="8"/>
      <c r="F28" s="8" t="s">
        <v>6</v>
      </c>
    </row>
    <row r="29" spans="1:6">
      <c r="A29" s="8">
        <v>28</v>
      </c>
      <c r="B29" s="8">
        <v>124</v>
      </c>
      <c r="C29" s="8">
        <v>-1</v>
      </c>
      <c r="D29" s="8">
        <v>-1</v>
      </c>
      <c r="E29" s="8"/>
      <c r="F29" s="8" t="s">
        <v>6</v>
      </c>
    </row>
    <row r="30" spans="1:6">
      <c r="A30" s="8">
        <v>29</v>
      </c>
      <c r="B30" s="8">
        <v>125</v>
      </c>
      <c r="C30" s="8">
        <v>-1</v>
      </c>
      <c r="D30" s="8">
        <v>-1</v>
      </c>
      <c r="E30" s="8"/>
      <c r="F30" s="8" t="s">
        <v>6</v>
      </c>
    </row>
    <row r="31" spans="1:6">
      <c r="A31" s="8">
        <v>30</v>
      </c>
      <c r="B31" s="8">
        <v>125</v>
      </c>
      <c r="C31" s="8">
        <v>-1</v>
      </c>
      <c r="D31" s="8">
        <v>-1</v>
      </c>
      <c r="E31" s="8"/>
      <c r="F31" s="8" t="s">
        <v>6</v>
      </c>
    </row>
    <row r="32" spans="1:6">
      <c r="A32" s="8">
        <v>31</v>
      </c>
      <c r="B32" s="8">
        <v>125</v>
      </c>
      <c r="C32" s="8">
        <v>-1</v>
      </c>
      <c r="D32" s="8">
        <v>-1</v>
      </c>
      <c r="E32" s="8"/>
      <c r="F32" s="8" t="s">
        <v>6</v>
      </c>
    </row>
    <row r="33" spans="1:6">
      <c r="A33" s="8">
        <v>32</v>
      </c>
      <c r="B33" s="8">
        <v>125</v>
      </c>
      <c r="C33" s="8">
        <v>-1</v>
      </c>
      <c r="D33" s="8">
        <v>-1</v>
      </c>
      <c r="E33" s="8"/>
      <c r="F33" s="8" t="s">
        <v>6</v>
      </c>
    </row>
    <row r="34" spans="1:6">
      <c r="A34" s="8">
        <v>33</v>
      </c>
      <c r="B34" s="8">
        <v>126</v>
      </c>
      <c r="C34" s="8">
        <v>-1</v>
      </c>
      <c r="D34" s="8">
        <v>-1</v>
      </c>
      <c r="E34" s="8"/>
      <c r="F34" s="8" t="s">
        <v>6</v>
      </c>
    </row>
    <row r="35" spans="1:6">
      <c r="A35" s="8">
        <v>34</v>
      </c>
      <c r="B35" s="8">
        <v>126</v>
      </c>
      <c r="C35" s="8">
        <v>-1</v>
      </c>
      <c r="D35" s="8">
        <v>-1</v>
      </c>
      <c r="E35" s="8"/>
      <c r="F35" s="8" t="s">
        <v>6</v>
      </c>
    </row>
    <row r="36" spans="1:6">
      <c r="A36" s="8">
        <v>35</v>
      </c>
      <c r="B36" s="8">
        <v>126</v>
      </c>
      <c r="C36" s="8">
        <v>-1</v>
      </c>
      <c r="D36" s="8">
        <v>-1</v>
      </c>
      <c r="E36" s="8"/>
      <c r="F36" s="8" t="s">
        <v>6</v>
      </c>
    </row>
    <row r="37" spans="1:6">
      <c r="A37" s="8">
        <v>36</v>
      </c>
      <c r="B37" s="8">
        <v>126</v>
      </c>
      <c r="C37" s="8">
        <v>-1</v>
      </c>
      <c r="D37" s="8">
        <v>-1</v>
      </c>
      <c r="E37" s="8"/>
      <c r="F37" s="8" t="s">
        <v>6</v>
      </c>
    </row>
    <row r="38" spans="1:6">
      <c r="A38" s="8">
        <v>37</v>
      </c>
      <c r="B38" s="8">
        <v>127</v>
      </c>
      <c r="C38" s="8">
        <v>-1</v>
      </c>
      <c r="D38" s="8">
        <v>-1</v>
      </c>
      <c r="E38" s="8"/>
      <c r="F38" s="8" t="s">
        <v>6</v>
      </c>
    </row>
    <row r="39" spans="1:6">
      <c r="A39" s="8">
        <v>38</v>
      </c>
      <c r="B39" s="8">
        <v>127</v>
      </c>
      <c r="C39" s="8">
        <v>-1</v>
      </c>
      <c r="D39" s="8">
        <v>-1</v>
      </c>
      <c r="E39" s="8"/>
      <c r="F39" s="8" t="s">
        <v>6</v>
      </c>
    </row>
    <row r="40" spans="1:6">
      <c r="A40" s="8">
        <v>39</v>
      </c>
      <c r="B40" s="8">
        <v>127</v>
      </c>
      <c r="C40" s="8">
        <v>-1</v>
      </c>
      <c r="D40" s="8">
        <v>-1</v>
      </c>
      <c r="E40" s="8"/>
      <c r="F40" s="8" t="s">
        <v>6</v>
      </c>
    </row>
    <row r="41" spans="1:6">
      <c r="A41" s="8">
        <v>40</v>
      </c>
      <c r="B41" s="8">
        <v>127</v>
      </c>
      <c r="C41" s="8">
        <v>-1</v>
      </c>
      <c r="D41" s="8">
        <v>-1</v>
      </c>
      <c r="E41" s="8"/>
      <c r="F41" s="8" t="s">
        <v>6</v>
      </c>
    </row>
    <row r="42" spans="1:6">
      <c r="A42" s="8">
        <v>41</v>
      </c>
      <c r="B42" s="8" t="s">
        <v>7</v>
      </c>
      <c r="C42" s="8">
        <v>-1</v>
      </c>
      <c r="D42" s="8">
        <v>-1</v>
      </c>
      <c r="E42" s="8"/>
      <c r="F42" s="8" t="s">
        <v>6</v>
      </c>
    </row>
    <row r="43" spans="1:6">
      <c r="A43" s="8">
        <v>42</v>
      </c>
      <c r="B43" s="8" t="s">
        <v>7</v>
      </c>
      <c r="C43" s="8">
        <v>24.526603890117901</v>
      </c>
      <c r="D43" s="8">
        <v>0.69444986571202105</v>
      </c>
      <c r="E43" s="8">
        <v>0.99977000000000005</v>
      </c>
      <c r="F43" s="8"/>
    </row>
    <row r="44" spans="1:6">
      <c r="A44" s="8">
        <v>43</v>
      </c>
      <c r="B44" s="8" t="s">
        <v>7</v>
      </c>
      <c r="C44" s="8">
        <v>24.204529979572101</v>
      </c>
      <c r="D44" s="8">
        <v>0.79517883483063501</v>
      </c>
      <c r="E44" s="8">
        <v>0.99985999999999997</v>
      </c>
      <c r="F44" s="8"/>
    </row>
    <row r="45" spans="1:6">
      <c r="A45" s="8">
        <v>44</v>
      </c>
      <c r="B45" s="8" t="s">
        <v>7</v>
      </c>
      <c r="C45" s="8">
        <v>24.681397385828902</v>
      </c>
      <c r="D45" s="8">
        <v>0.74148524261482596</v>
      </c>
      <c r="E45" s="8">
        <v>0.99992000000000003</v>
      </c>
      <c r="F45" s="8"/>
    </row>
    <row r="46" spans="1:6">
      <c r="A46" s="8">
        <v>45</v>
      </c>
      <c r="B46" s="8" t="s">
        <v>8</v>
      </c>
      <c r="C46" s="8">
        <v>-1</v>
      </c>
      <c r="D46" s="8">
        <v>-1</v>
      </c>
      <c r="E46" s="8"/>
      <c r="F46" s="8" t="s">
        <v>6</v>
      </c>
    </row>
    <row r="47" spans="1:6">
      <c r="A47" s="8">
        <v>46</v>
      </c>
      <c r="B47" s="8" t="s">
        <v>8</v>
      </c>
      <c r="C47" s="8">
        <v>-1</v>
      </c>
      <c r="D47" s="8">
        <v>-1</v>
      </c>
      <c r="E47" s="8"/>
      <c r="F47" s="8" t="s">
        <v>6</v>
      </c>
    </row>
    <row r="48" spans="1:6">
      <c r="A48" s="8">
        <v>47</v>
      </c>
      <c r="B48" s="8" t="s">
        <v>8</v>
      </c>
      <c r="C48" s="8">
        <v>-1</v>
      </c>
      <c r="D48" s="8">
        <v>-1</v>
      </c>
      <c r="E48" s="8"/>
      <c r="F48" s="8" t="s">
        <v>6</v>
      </c>
    </row>
    <row r="49" spans="1:6">
      <c r="A49" s="8">
        <v>48</v>
      </c>
      <c r="B49" s="8" t="s">
        <v>8</v>
      </c>
      <c r="C49" s="8">
        <v>-1</v>
      </c>
      <c r="D49" s="8">
        <v>-1</v>
      </c>
      <c r="E49" s="8"/>
      <c r="F49" s="8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>
        <v>1</v>
      </c>
      <c r="B2" s="9">
        <v>118</v>
      </c>
      <c r="C2" s="9">
        <v>-1</v>
      </c>
      <c r="D2" s="9">
        <v>-1</v>
      </c>
      <c r="E2" s="9"/>
      <c r="F2" s="9" t="s">
        <v>6</v>
      </c>
    </row>
    <row r="3" spans="1:6">
      <c r="A3" s="9">
        <v>2</v>
      </c>
      <c r="B3" s="9">
        <v>118</v>
      </c>
      <c r="C3" s="9">
        <v>-1</v>
      </c>
      <c r="D3" s="9">
        <v>-1</v>
      </c>
      <c r="E3" s="9"/>
      <c r="F3" s="9" t="s">
        <v>6</v>
      </c>
    </row>
    <row r="4" spans="1:6">
      <c r="A4" s="9">
        <v>3</v>
      </c>
      <c r="B4" s="9">
        <v>118</v>
      </c>
      <c r="C4" s="9">
        <v>-1</v>
      </c>
      <c r="D4" s="9">
        <v>-1</v>
      </c>
      <c r="E4" s="9"/>
      <c r="F4" s="9" t="s">
        <v>6</v>
      </c>
    </row>
    <row r="5" spans="1:6">
      <c r="A5" s="9">
        <v>4</v>
      </c>
      <c r="B5" s="9">
        <v>118</v>
      </c>
      <c r="C5" s="9">
        <v>-1</v>
      </c>
      <c r="D5" s="9">
        <v>-1</v>
      </c>
      <c r="E5" s="9"/>
      <c r="F5" s="9" t="s">
        <v>6</v>
      </c>
    </row>
    <row r="6" spans="1:6">
      <c r="A6" s="9">
        <v>5</v>
      </c>
      <c r="B6" s="9">
        <v>119</v>
      </c>
      <c r="C6" s="9">
        <v>-1</v>
      </c>
      <c r="D6" s="9">
        <v>-1</v>
      </c>
      <c r="E6" s="9"/>
      <c r="F6" s="9" t="s">
        <v>6</v>
      </c>
    </row>
    <row r="7" spans="1:6">
      <c r="A7" s="9">
        <v>6</v>
      </c>
      <c r="B7" s="9">
        <v>119</v>
      </c>
      <c r="C7" s="9">
        <v>-1</v>
      </c>
      <c r="D7" s="9">
        <v>-1</v>
      </c>
      <c r="E7" s="9"/>
      <c r="F7" s="9" t="s">
        <v>6</v>
      </c>
    </row>
    <row r="8" spans="1:6">
      <c r="A8" s="9">
        <v>7</v>
      </c>
      <c r="B8" s="9">
        <v>119</v>
      </c>
      <c r="C8" s="9">
        <v>-1</v>
      </c>
      <c r="D8" s="9">
        <v>-1</v>
      </c>
      <c r="E8" s="9"/>
      <c r="F8" s="9" t="s">
        <v>6</v>
      </c>
    </row>
    <row r="9" spans="1:6">
      <c r="A9" s="9">
        <v>8</v>
      </c>
      <c r="B9" s="9">
        <v>119</v>
      </c>
      <c r="C9" s="9">
        <v>-1</v>
      </c>
      <c r="D9" s="9">
        <v>-1</v>
      </c>
      <c r="E9" s="9"/>
      <c r="F9" s="9" t="s">
        <v>6</v>
      </c>
    </row>
    <row r="10" spans="1:6">
      <c r="A10" s="9">
        <v>9</v>
      </c>
      <c r="B10" s="9">
        <v>120</v>
      </c>
      <c r="C10" s="9">
        <v>-1</v>
      </c>
      <c r="D10" s="9">
        <v>-1</v>
      </c>
      <c r="E10" s="9"/>
      <c r="F10" s="9" t="s">
        <v>6</v>
      </c>
    </row>
    <row r="11" spans="1:6">
      <c r="A11" s="9">
        <v>10</v>
      </c>
      <c r="B11" s="9">
        <v>120</v>
      </c>
      <c r="C11" s="9">
        <v>-1</v>
      </c>
      <c r="D11" s="9">
        <v>-1</v>
      </c>
      <c r="E11" s="9"/>
      <c r="F11" s="9" t="s">
        <v>6</v>
      </c>
    </row>
    <row r="12" spans="1:6">
      <c r="A12" s="9">
        <v>11</v>
      </c>
      <c r="B12" s="9">
        <v>120</v>
      </c>
      <c r="C12" s="9">
        <v>-1</v>
      </c>
      <c r="D12" s="9">
        <v>-1</v>
      </c>
      <c r="E12" s="9"/>
      <c r="F12" s="9" t="s">
        <v>6</v>
      </c>
    </row>
    <row r="13" spans="1:6">
      <c r="A13" s="9">
        <v>12</v>
      </c>
      <c r="B13" s="9">
        <v>120</v>
      </c>
      <c r="C13" s="9">
        <v>-1</v>
      </c>
      <c r="D13" s="9">
        <v>-1</v>
      </c>
      <c r="E13" s="9"/>
      <c r="F13" s="9" t="s">
        <v>6</v>
      </c>
    </row>
    <row r="14" spans="1:6">
      <c r="A14" s="9">
        <v>13</v>
      </c>
      <c r="B14" s="9">
        <v>121</v>
      </c>
      <c r="C14" s="9">
        <v>-1</v>
      </c>
      <c r="D14" s="9">
        <v>-1</v>
      </c>
      <c r="E14" s="9"/>
      <c r="F14" s="9" t="s">
        <v>6</v>
      </c>
    </row>
    <row r="15" spans="1:6">
      <c r="A15" s="9">
        <v>14</v>
      </c>
      <c r="B15" s="9">
        <v>121</v>
      </c>
      <c r="C15" s="9">
        <v>-1</v>
      </c>
      <c r="D15" s="9">
        <v>-1</v>
      </c>
      <c r="E15" s="9"/>
      <c r="F15" s="9" t="s">
        <v>6</v>
      </c>
    </row>
    <row r="16" spans="1:6">
      <c r="A16" s="9">
        <v>15</v>
      </c>
      <c r="B16" s="9">
        <v>121</v>
      </c>
      <c r="C16" s="9">
        <v>-1</v>
      </c>
      <c r="D16" s="9">
        <v>-1</v>
      </c>
      <c r="E16" s="9"/>
      <c r="F16" s="9" t="s">
        <v>6</v>
      </c>
    </row>
    <row r="17" spans="1:6">
      <c r="A17" s="9">
        <v>16</v>
      </c>
      <c r="B17" s="9">
        <v>121</v>
      </c>
      <c r="C17" s="9">
        <v>-1</v>
      </c>
      <c r="D17" s="9">
        <v>-1</v>
      </c>
      <c r="E17" s="9"/>
      <c r="F17" s="9" t="s">
        <v>6</v>
      </c>
    </row>
    <row r="18" spans="1:6">
      <c r="A18" s="9">
        <v>17</v>
      </c>
      <c r="B18" s="9">
        <v>122</v>
      </c>
      <c r="C18" s="9">
        <v>-1</v>
      </c>
      <c r="D18" s="9">
        <v>-1</v>
      </c>
      <c r="E18" s="9"/>
      <c r="F18" s="9" t="s">
        <v>6</v>
      </c>
    </row>
    <row r="19" spans="1:6">
      <c r="A19" s="9">
        <v>18</v>
      </c>
      <c r="B19" s="9">
        <v>122</v>
      </c>
      <c r="C19" s="9">
        <v>-1</v>
      </c>
      <c r="D19" s="9">
        <v>-1</v>
      </c>
      <c r="E19" s="9"/>
      <c r="F19" s="9" t="s">
        <v>6</v>
      </c>
    </row>
    <row r="20" spans="1:6">
      <c r="A20" s="9">
        <v>19</v>
      </c>
      <c r="B20" s="9">
        <v>122</v>
      </c>
      <c r="C20" s="9">
        <v>-1</v>
      </c>
      <c r="D20" s="9">
        <v>-1</v>
      </c>
      <c r="E20" s="9"/>
      <c r="F20" s="9" t="s">
        <v>6</v>
      </c>
    </row>
    <row r="21" spans="1:6">
      <c r="A21" s="9">
        <v>20</v>
      </c>
      <c r="B21" s="9">
        <v>122</v>
      </c>
      <c r="C21" s="9">
        <v>-1</v>
      </c>
      <c r="D21" s="9">
        <v>-1</v>
      </c>
      <c r="E21" s="9"/>
      <c r="F21" s="9" t="s">
        <v>6</v>
      </c>
    </row>
    <row r="22" spans="1:6">
      <c r="A22" s="9">
        <v>21</v>
      </c>
      <c r="B22" s="9">
        <v>123</v>
      </c>
      <c r="C22" s="9">
        <v>-1</v>
      </c>
      <c r="D22" s="9">
        <v>-1</v>
      </c>
      <c r="E22" s="9"/>
      <c r="F22" s="9" t="s">
        <v>6</v>
      </c>
    </row>
    <row r="23" spans="1:6">
      <c r="A23" s="9">
        <v>22</v>
      </c>
      <c r="B23" s="9">
        <v>123</v>
      </c>
      <c r="C23" s="9">
        <v>-1</v>
      </c>
      <c r="D23" s="9">
        <v>-1</v>
      </c>
      <c r="E23" s="9"/>
      <c r="F23" s="9" t="s">
        <v>6</v>
      </c>
    </row>
    <row r="24" spans="1:6">
      <c r="A24" s="9">
        <v>23</v>
      </c>
      <c r="B24" s="9">
        <v>123</v>
      </c>
      <c r="C24" s="9">
        <v>-1</v>
      </c>
      <c r="D24" s="9">
        <v>-1</v>
      </c>
      <c r="E24" s="9"/>
      <c r="F24" s="9" t="s">
        <v>6</v>
      </c>
    </row>
    <row r="25" spans="1:6">
      <c r="A25" s="9">
        <v>24</v>
      </c>
      <c r="B25" s="9">
        <v>123</v>
      </c>
      <c r="C25" s="9">
        <v>-1</v>
      </c>
      <c r="D25" s="9">
        <v>-1</v>
      </c>
      <c r="E25" s="9"/>
      <c r="F25" s="9" t="s">
        <v>6</v>
      </c>
    </row>
    <row r="26" spans="1:6">
      <c r="A26" s="9">
        <v>25</v>
      </c>
      <c r="B26" s="9">
        <v>124</v>
      </c>
      <c r="C26" s="9">
        <v>-1</v>
      </c>
      <c r="D26" s="9">
        <v>-1</v>
      </c>
      <c r="E26" s="9"/>
      <c r="F26" s="9" t="s">
        <v>6</v>
      </c>
    </row>
    <row r="27" spans="1:6">
      <c r="A27" s="9">
        <v>26</v>
      </c>
      <c r="B27" s="9">
        <v>124</v>
      </c>
      <c r="C27" s="9">
        <v>-1</v>
      </c>
      <c r="D27" s="9">
        <v>-1</v>
      </c>
      <c r="E27" s="9"/>
      <c r="F27" s="9" t="s">
        <v>6</v>
      </c>
    </row>
    <row r="28" spans="1:6">
      <c r="A28" s="9">
        <v>27</v>
      </c>
      <c r="B28" s="9">
        <v>124</v>
      </c>
      <c r="C28" s="9">
        <v>-1</v>
      </c>
      <c r="D28" s="9">
        <v>-1</v>
      </c>
      <c r="E28" s="9"/>
      <c r="F28" s="9" t="s">
        <v>6</v>
      </c>
    </row>
    <row r="29" spans="1:6">
      <c r="A29" s="9">
        <v>28</v>
      </c>
      <c r="B29" s="9">
        <v>124</v>
      </c>
      <c r="C29" s="9">
        <v>-1</v>
      </c>
      <c r="D29" s="9">
        <v>-1</v>
      </c>
      <c r="E29" s="9"/>
      <c r="F29" s="9" t="s">
        <v>6</v>
      </c>
    </row>
    <row r="30" spans="1:6">
      <c r="A30" s="9">
        <v>29</v>
      </c>
      <c r="B30" s="9">
        <v>125</v>
      </c>
      <c r="C30" s="9">
        <v>-1</v>
      </c>
      <c r="D30" s="9">
        <v>-1</v>
      </c>
      <c r="E30" s="9"/>
      <c r="F30" s="9" t="s">
        <v>6</v>
      </c>
    </row>
    <row r="31" spans="1:6">
      <c r="A31" s="9">
        <v>30</v>
      </c>
      <c r="B31" s="9">
        <v>125</v>
      </c>
      <c r="C31" s="9">
        <v>-1</v>
      </c>
      <c r="D31" s="9">
        <v>-1</v>
      </c>
      <c r="E31" s="9"/>
      <c r="F31" s="9" t="s">
        <v>6</v>
      </c>
    </row>
    <row r="32" spans="1:6">
      <c r="A32" s="9">
        <v>31</v>
      </c>
      <c r="B32" s="9">
        <v>125</v>
      </c>
      <c r="C32" s="9">
        <v>-1</v>
      </c>
      <c r="D32" s="9">
        <v>-1</v>
      </c>
      <c r="E32" s="9"/>
      <c r="F32" s="9" t="s">
        <v>6</v>
      </c>
    </row>
    <row r="33" spans="1:6">
      <c r="A33" s="9">
        <v>32</v>
      </c>
      <c r="B33" s="9">
        <v>125</v>
      </c>
      <c r="C33" s="9">
        <v>-1</v>
      </c>
      <c r="D33" s="9">
        <v>-1</v>
      </c>
      <c r="E33" s="9"/>
      <c r="F33" s="9" t="s">
        <v>6</v>
      </c>
    </row>
    <row r="34" spans="1:6">
      <c r="A34" s="9">
        <v>33</v>
      </c>
      <c r="B34" s="9">
        <v>126</v>
      </c>
      <c r="C34" s="9">
        <v>-1</v>
      </c>
      <c r="D34" s="9">
        <v>-1</v>
      </c>
      <c r="E34" s="9"/>
      <c r="F34" s="9" t="s">
        <v>6</v>
      </c>
    </row>
    <row r="35" spans="1:6">
      <c r="A35" s="9">
        <v>34</v>
      </c>
      <c r="B35" s="9">
        <v>126</v>
      </c>
      <c r="C35" s="9">
        <v>-1</v>
      </c>
      <c r="D35" s="9">
        <v>-1</v>
      </c>
      <c r="E35" s="9"/>
      <c r="F35" s="9" t="s">
        <v>6</v>
      </c>
    </row>
    <row r="36" spans="1:6">
      <c r="A36" s="9">
        <v>35</v>
      </c>
      <c r="B36" s="9">
        <v>126</v>
      </c>
      <c r="C36" s="9">
        <v>-1</v>
      </c>
      <c r="D36" s="9">
        <v>-1</v>
      </c>
      <c r="E36" s="9"/>
      <c r="F36" s="9" t="s">
        <v>6</v>
      </c>
    </row>
    <row r="37" spans="1:6">
      <c r="A37" s="9">
        <v>36</v>
      </c>
      <c r="B37" s="9">
        <v>126</v>
      </c>
      <c r="C37" s="9">
        <v>-1</v>
      </c>
      <c r="D37" s="9">
        <v>-1</v>
      </c>
      <c r="E37" s="9"/>
      <c r="F37" s="9" t="s">
        <v>6</v>
      </c>
    </row>
    <row r="38" spans="1:6">
      <c r="A38" s="9">
        <v>37</v>
      </c>
      <c r="B38" s="9">
        <v>127</v>
      </c>
      <c r="C38" s="9">
        <v>-1</v>
      </c>
      <c r="D38" s="9">
        <v>-1</v>
      </c>
      <c r="E38" s="9"/>
      <c r="F38" s="9" t="s">
        <v>6</v>
      </c>
    </row>
    <row r="39" spans="1:6">
      <c r="A39" s="9">
        <v>38</v>
      </c>
      <c r="B39" s="9">
        <v>127</v>
      </c>
      <c r="C39" s="9">
        <v>-1</v>
      </c>
      <c r="D39" s="9">
        <v>-1</v>
      </c>
      <c r="E39" s="9"/>
      <c r="F39" s="9" t="s">
        <v>6</v>
      </c>
    </row>
    <row r="40" spans="1:6">
      <c r="A40" s="9">
        <v>39</v>
      </c>
      <c r="B40" s="9">
        <v>127</v>
      </c>
      <c r="C40" s="9">
        <v>-1</v>
      </c>
      <c r="D40" s="9">
        <v>-1</v>
      </c>
      <c r="E40" s="9"/>
      <c r="F40" s="9" t="s">
        <v>6</v>
      </c>
    </row>
    <row r="41" spans="1:6">
      <c r="A41" s="9">
        <v>40</v>
      </c>
      <c r="B41" s="9">
        <v>127</v>
      </c>
      <c r="C41" s="9">
        <v>-1</v>
      </c>
      <c r="D41" s="9">
        <v>-1</v>
      </c>
      <c r="E41" s="9"/>
      <c r="F41" s="9" t="s">
        <v>6</v>
      </c>
    </row>
    <row r="42" spans="1:6">
      <c r="A42" s="9">
        <v>41</v>
      </c>
      <c r="B42" s="9" t="s">
        <v>7</v>
      </c>
      <c r="C42" s="9">
        <v>-1</v>
      </c>
      <c r="D42" s="9">
        <v>-1</v>
      </c>
      <c r="E42" s="9"/>
      <c r="F42" s="9" t="s">
        <v>6</v>
      </c>
    </row>
    <row r="43" spans="1:6">
      <c r="A43" s="9">
        <v>42</v>
      </c>
      <c r="B43" s="9" t="s">
        <v>7</v>
      </c>
      <c r="C43" s="9">
        <v>21.475925156935801</v>
      </c>
      <c r="D43" s="9">
        <v>0.80499292101178199</v>
      </c>
      <c r="E43" s="9">
        <v>0.99887000000000004</v>
      </c>
      <c r="F43" s="9"/>
    </row>
    <row r="44" spans="1:6">
      <c r="A44" s="9">
        <v>43</v>
      </c>
      <c r="B44" s="9" t="s">
        <v>7</v>
      </c>
      <c r="C44" s="9">
        <v>21.0860098744865</v>
      </c>
      <c r="D44" s="9">
        <v>0.82742365921706396</v>
      </c>
      <c r="E44" s="9">
        <v>0.99802999999999997</v>
      </c>
      <c r="F44" s="9"/>
    </row>
    <row r="45" spans="1:6">
      <c r="A45" s="9">
        <v>44</v>
      </c>
      <c r="B45" s="9" t="s">
        <v>7</v>
      </c>
      <c r="C45" s="9">
        <v>21.2109180698417</v>
      </c>
      <c r="D45" s="9">
        <v>0.82752270439891495</v>
      </c>
      <c r="E45" s="9">
        <v>0.99848000000000003</v>
      </c>
      <c r="F45" s="9"/>
    </row>
    <row r="46" spans="1:6">
      <c r="A46" s="9">
        <v>45</v>
      </c>
      <c r="B46" s="9" t="s">
        <v>8</v>
      </c>
      <c r="C46" s="9">
        <v>-1</v>
      </c>
      <c r="D46" s="9">
        <v>-1</v>
      </c>
      <c r="E46" s="9"/>
      <c r="F46" s="9" t="s">
        <v>6</v>
      </c>
    </row>
    <row r="47" spans="1:6">
      <c r="A47" s="9">
        <v>46</v>
      </c>
      <c r="B47" s="9" t="s">
        <v>8</v>
      </c>
      <c r="C47" s="9">
        <v>-1</v>
      </c>
      <c r="D47" s="9">
        <v>-1</v>
      </c>
      <c r="E47" s="9"/>
      <c r="F47" s="9" t="s">
        <v>6</v>
      </c>
    </row>
    <row r="48" spans="1:6">
      <c r="A48" s="9">
        <v>47</v>
      </c>
      <c r="B48" s="9" t="s">
        <v>8</v>
      </c>
      <c r="C48" s="9">
        <v>-1</v>
      </c>
      <c r="D48" s="9">
        <v>-1</v>
      </c>
      <c r="E48" s="9"/>
      <c r="F48" s="9" t="s">
        <v>6</v>
      </c>
    </row>
    <row r="49" spans="1:6">
      <c r="A49" s="9">
        <v>48</v>
      </c>
      <c r="B49" s="9" t="s">
        <v>8</v>
      </c>
      <c r="C49" s="9">
        <v>-1</v>
      </c>
      <c r="D49" s="9">
        <v>-1</v>
      </c>
      <c r="E49" s="9"/>
      <c r="F49" s="9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0">
        <v>1</v>
      </c>
      <c r="B2" s="10">
        <v>118</v>
      </c>
      <c r="C2" s="10">
        <v>22.495152100049001</v>
      </c>
      <c r="D2" s="10">
        <v>0.99541288398893402</v>
      </c>
      <c r="E2" s="10">
        <v>0.99890999999999996</v>
      </c>
      <c r="F2" s="10"/>
    </row>
    <row r="3" spans="1:6">
      <c r="A3" s="10">
        <v>2</v>
      </c>
      <c r="B3" s="10">
        <v>118</v>
      </c>
      <c r="C3" s="10">
        <v>22.5254247384003</v>
      </c>
      <c r="D3" s="10">
        <v>0.97829092938652296</v>
      </c>
      <c r="E3" s="10">
        <v>0.99904000000000004</v>
      </c>
      <c r="F3" s="10"/>
    </row>
    <row r="4" spans="1:6">
      <c r="A4" s="10">
        <v>3</v>
      </c>
      <c r="B4" s="10">
        <v>118</v>
      </c>
      <c r="C4" s="10">
        <v>22.517734396995099</v>
      </c>
      <c r="D4" s="10">
        <v>0.98568508195567295</v>
      </c>
      <c r="E4" s="10">
        <v>0.99894000000000005</v>
      </c>
      <c r="F4" s="10"/>
    </row>
    <row r="5" spans="1:6">
      <c r="A5" s="10">
        <v>4</v>
      </c>
      <c r="B5" s="10">
        <v>118</v>
      </c>
      <c r="C5" s="10">
        <v>22.5650069228919</v>
      </c>
      <c r="D5" s="10">
        <v>0.96627052141946801</v>
      </c>
      <c r="E5" s="10">
        <v>0.99907999999999997</v>
      </c>
      <c r="F5" s="10"/>
    </row>
    <row r="6" spans="1:6">
      <c r="A6" s="10">
        <v>5</v>
      </c>
      <c r="B6" s="10">
        <v>119</v>
      </c>
      <c r="C6" s="10">
        <v>21.854225262532498</v>
      </c>
      <c r="D6" s="10">
        <v>1.07416705211196</v>
      </c>
      <c r="E6" s="10">
        <v>0.99838000000000005</v>
      </c>
      <c r="F6" s="10"/>
    </row>
    <row r="7" spans="1:6">
      <c r="A7" s="10">
        <v>6</v>
      </c>
      <c r="B7" s="10">
        <v>119</v>
      </c>
      <c r="C7" s="10">
        <v>22.1692550996856</v>
      </c>
      <c r="D7" s="10">
        <v>1.01915448845399</v>
      </c>
      <c r="E7" s="10">
        <v>0.99841000000000002</v>
      </c>
      <c r="F7" s="10"/>
    </row>
    <row r="8" spans="1:6">
      <c r="A8" s="10">
        <v>7</v>
      </c>
      <c r="B8" s="10">
        <v>119</v>
      </c>
      <c r="C8" s="10">
        <v>22.140643082739999</v>
      </c>
      <c r="D8" s="10">
        <v>1.0231062151438799</v>
      </c>
      <c r="E8" s="10">
        <v>0.99836000000000003</v>
      </c>
      <c r="F8" s="10"/>
    </row>
    <row r="9" spans="1:6">
      <c r="A9" s="10">
        <v>8</v>
      </c>
      <c r="B9" s="10">
        <v>119</v>
      </c>
      <c r="C9" s="10">
        <v>22.317709191289101</v>
      </c>
      <c r="D9" s="10">
        <v>1.01105494921675</v>
      </c>
      <c r="E9" s="10">
        <v>0.99858999999999998</v>
      </c>
      <c r="F9" s="10"/>
    </row>
    <row r="10" spans="1:6">
      <c r="A10" s="10">
        <v>9</v>
      </c>
      <c r="B10" s="10">
        <v>120</v>
      </c>
      <c r="C10" s="10">
        <v>22.923916779071199</v>
      </c>
      <c r="D10" s="10">
        <v>1.0711721190157799</v>
      </c>
      <c r="E10" s="10">
        <v>0.99822999999999995</v>
      </c>
      <c r="F10" s="10"/>
    </row>
    <row r="11" spans="1:6">
      <c r="A11" s="10">
        <v>10</v>
      </c>
      <c r="B11" s="10">
        <v>120</v>
      </c>
      <c r="C11" s="10">
        <v>22.9376291234571</v>
      </c>
      <c r="D11" s="10">
        <v>1.05959548924993</v>
      </c>
      <c r="E11" s="10">
        <v>0.99824999999999997</v>
      </c>
      <c r="F11" s="10"/>
    </row>
    <row r="12" spans="1:6">
      <c r="A12" s="10">
        <v>11</v>
      </c>
      <c r="B12" s="10">
        <v>120</v>
      </c>
      <c r="C12" s="10">
        <v>22.845250106609999</v>
      </c>
      <c r="D12" s="10">
        <v>1.0266926027149701</v>
      </c>
      <c r="E12" s="10">
        <v>0.99860000000000004</v>
      </c>
      <c r="F12" s="10"/>
    </row>
    <row r="13" spans="1:6">
      <c r="A13" s="10">
        <v>12</v>
      </c>
      <c r="B13" s="10">
        <v>120</v>
      </c>
      <c r="C13" s="10">
        <v>23.0042883141701</v>
      </c>
      <c r="D13" s="10">
        <v>1.0553278270119699</v>
      </c>
      <c r="E13" s="10">
        <v>0.99765000000000004</v>
      </c>
      <c r="F13" s="10"/>
    </row>
    <row r="14" spans="1:6">
      <c r="A14" s="10">
        <v>13</v>
      </c>
      <c r="B14" s="10">
        <v>121</v>
      </c>
      <c r="C14" s="10">
        <v>25.342059815792702</v>
      </c>
      <c r="D14" s="10">
        <v>0.988164133945866</v>
      </c>
      <c r="E14" s="10">
        <v>0.99904000000000004</v>
      </c>
      <c r="F14" s="10"/>
    </row>
    <row r="15" spans="1:6">
      <c r="A15" s="10">
        <v>14</v>
      </c>
      <c r="B15" s="10">
        <v>121</v>
      </c>
      <c r="C15" s="10">
        <v>25.446611726825001</v>
      </c>
      <c r="D15" s="10">
        <v>0.95181730995861802</v>
      </c>
      <c r="E15" s="10">
        <v>0.99938000000000005</v>
      </c>
      <c r="F15" s="10"/>
    </row>
    <row r="16" spans="1:6">
      <c r="A16" s="10">
        <v>15</v>
      </c>
      <c r="B16" s="10">
        <v>121</v>
      </c>
      <c r="C16" s="10">
        <v>25.217842760819899</v>
      </c>
      <c r="D16" s="10">
        <v>0.98646853011578595</v>
      </c>
      <c r="E16" s="10">
        <v>0.99902999999999997</v>
      </c>
      <c r="F16" s="10"/>
    </row>
    <row r="17" spans="1:6">
      <c r="A17" s="10">
        <v>16</v>
      </c>
      <c r="B17" s="10">
        <v>121</v>
      </c>
      <c r="C17" s="10">
        <v>25.2513660702983</v>
      </c>
      <c r="D17" s="10">
        <v>0.99359393855780298</v>
      </c>
      <c r="E17" s="10">
        <v>0.99899000000000004</v>
      </c>
      <c r="F17" s="10"/>
    </row>
    <row r="18" spans="1:6">
      <c r="A18" s="10">
        <v>17</v>
      </c>
      <c r="B18" s="10">
        <v>122</v>
      </c>
      <c r="C18" s="10">
        <v>22.5767469018352</v>
      </c>
      <c r="D18" s="10">
        <v>0.94850237102189805</v>
      </c>
      <c r="E18" s="10">
        <v>0.99933000000000005</v>
      </c>
      <c r="F18" s="10"/>
    </row>
    <row r="19" spans="1:6">
      <c r="A19" s="10">
        <v>18</v>
      </c>
      <c r="B19" s="10">
        <v>122</v>
      </c>
      <c r="C19" s="10">
        <v>22.503445467569598</v>
      </c>
      <c r="D19" s="10">
        <v>0.95171325171259702</v>
      </c>
      <c r="E19" s="10">
        <v>0.99914000000000003</v>
      </c>
      <c r="F19" s="10"/>
    </row>
    <row r="20" spans="1:6">
      <c r="A20" s="10">
        <v>19</v>
      </c>
      <c r="B20" s="10">
        <v>122</v>
      </c>
      <c r="C20" s="10">
        <v>22.4429218060741</v>
      </c>
      <c r="D20" s="10">
        <v>0.94291942054377198</v>
      </c>
      <c r="E20" s="10">
        <v>0.99939</v>
      </c>
      <c r="F20" s="10"/>
    </row>
    <row r="21" spans="1:6">
      <c r="A21" s="10">
        <v>20</v>
      </c>
      <c r="B21" s="10">
        <v>122</v>
      </c>
      <c r="C21" s="10">
        <v>22.422579059739899</v>
      </c>
      <c r="D21" s="10">
        <v>0.98412976674189201</v>
      </c>
      <c r="E21" s="10">
        <v>0.99885000000000002</v>
      </c>
      <c r="F21" s="10"/>
    </row>
    <row r="22" spans="1:6">
      <c r="A22" s="10">
        <v>21</v>
      </c>
      <c r="B22" s="10">
        <v>123</v>
      </c>
      <c r="C22" s="10">
        <v>22.626618829172902</v>
      </c>
      <c r="D22" s="10">
        <v>0.971619396526332</v>
      </c>
      <c r="E22" s="10">
        <v>0.99911000000000005</v>
      </c>
      <c r="F22" s="10"/>
    </row>
    <row r="23" spans="1:6">
      <c r="A23" s="10">
        <v>22</v>
      </c>
      <c r="B23" s="10">
        <v>123</v>
      </c>
      <c r="C23" s="10">
        <v>22.521347022627399</v>
      </c>
      <c r="D23" s="10">
        <v>0.95799475098231701</v>
      </c>
      <c r="E23" s="10">
        <v>0.99924999999999997</v>
      </c>
      <c r="F23" s="10"/>
    </row>
    <row r="24" spans="1:6">
      <c r="A24" s="10">
        <v>23</v>
      </c>
      <c r="B24" s="10">
        <v>123</v>
      </c>
      <c r="C24" s="10">
        <v>22.514535080245</v>
      </c>
      <c r="D24" s="10">
        <v>0.96382311501079898</v>
      </c>
      <c r="E24" s="10">
        <v>0.99914999999999998</v>
      </c>
      <c r="F24" s="10"/>
    </row>
    <row r="25" spans="1:6">
      <c r="A25" s="10">
        <v>24</v>
      </c>
      <c r="B25" s="10">
        <v>123</v>
      </c>
      <c r="C25" s="10">
        <v>22.4618573792572</v>
      </c>
      <c r="D25" s="10">
        <v>0.94916428479012405</v>
      </c>
      <c r="E25" s="10">
        <v>0.99934999999999996</v>
      </c>
      <c r="F25" s="10"/>
    </row>
    <row r="26" spans="1:6">
      <c r="A26" s="10">
        <v>25</v>
      </c>
      <c r="B26" s="10">
        <v>124</v>
      </c>
      <c r="C26" s="10">
        <v>21.133631768928399</v>
      </c>
      <c r="D26" s="10">
        <v>0.97318095613105704</v>
      </c>
      <c r="E26" s="10">
        <v>0.99890000000000001</v>
      </c>
      <c r="F26" s="10"/>
    </row>
    <row r="27" spans="1:6">
      <c r="A27" s="10">
        <v>26</v>
      </c>
      <c r="B27" s="10">
        <v>124</v>
      </c>
      <c r="C27" s="10">
        <v>21.339112622369601</v>
      </c>
      <c r="D27" s="10">
        <v>0.97637882234222795</v>
      </c>
      <c r="E27" s="10">
        <v>0.99899000000000004</v>
      </c>
      <c r="F27" s="10"/>
    </row>
    <row r="28" spans="1:6">
      <c r="A28" s="10">
        <v>27</v>
      </c>
      <c r="B28" s="10">
        <v>124</v>
      </c>
      <c r="C28" s="10">
        <v>21.2455554748738</v>
      </c>
      <c r="D28" s="10">
        <v>0.98152729673890504</v>
      </c>
      <c r="E28" s="10">
        <v>0.99890000000000001</v>
      </c>
      <c r="F28" s="10"/>
    </row>
    <row r="29" spans="1:6">
      <c r="A29" s="10">
        <v>28</v>
      </c>
      <c r="B29" s="10">
        <v>124</v>
      </c>
      <c r="C29" s="10">
        <v>21.1422527624654</v>
      </c>
      <c r="D29" s="10">
        <v>0.94242639730043598</v>
      </c>
      <c r="E29" s="10">
        <v>0.99944999999999995</v>
      </c>
      <c r="F29" s="10"/>
    </row>
    <row r="30" spans="1:6">
      <c r="A30" s="10">
        <v>29</v>
      </c>
      <c r="B30" s="10">
        <v>125</v>
      </c>
      <c r="C30" s="10">
        <v>23.365962789168702</v>
      </c>
      <c r="D30" s="10">
        <v>0.97612737463613497</v>
      </c>
      <c r="E30" s="10">
        <v>0.99895</v>
      </c>
      <c r="F30" s="10"/>
    </row>
    <row r="31" spans="1:6">
      <c r="A31" s="10">
        <v>30</v>
      </c>
      <c r="B31" s="10">
        <v>125</v>
      </c>
      <c r="C31" s="10">
        <v>23.2228541496854</v>
      </c>
      <c r="D31" s="10">
        <v>1.0153211718062201</v>
      </c>
      <c r="E31" s="10">
        <v>0.99829000000000001</v>
      </c>
      <c r="F31" s="10"/>
    </row>
    <row r="32" spans="1:6">
      <c r="A32" s="10">
        <v>31</v>
      </c>
      <c r="B32" s="10">
        <v>125</v>
      </c>
      <c r="C32" s="10">
        <v>23.1346475512151</v>
      </c>
      <c r="D32" s="10">
        <v>0.99475228843205299</v>
      </c>
      <c r="E32" s="10">
        <v>0.99853999999999998</v>
      </c>
      <c r="F32" s="10"/>
    </row>
    <row r="33" spans="1:6">
      <c r="A33" s="10">
        <v>32</v>
      </c>
      <c r="B33" s="10">
        <v>125</v>
      </c>
      <c r="C33" s="10">
        <v>23.147648196828602</v>
      </c>
      <c r="D33" s="10">
        <v>0.99358355396583298</v>
      </c>
      <c r="E33" s="10">
        <v>0.99853999999999998</v>
      </c>
      <c r="F33" s="10"/>
    </row>
    <row r="34" spans="1:6">
      <c r="A34" s="10">
        <v>33</v>
      </c>
      <c r="B34" s="10">
        <v>126</v>
      </c>
      <c r="C34" s="10">
        <v>23.083416871602399</v>
      </c>
      <c r="D34" s="10">
        <v>1.01442232788613</v>
      </c>
      <c r="E34" s="10">
        <v>0.99848000000000003</v>
      </c>
      <c r="F34" s="10"/>
    </row>
    <row r="35" spans="1:6">
      <c r="A35" s="10">
        <v>34</v>
      </c>
      <c r="B35" s="10">
        <v>126</v>
      </c>
      <c r="C35" s="10">
        <v>22.894071027226499</v>
      </c>
      <c r="D35" s="10">
        <v>1.0293765856388899</v>
      </c>
      <c r="E35" s="10">
        <v>0.99858000000000002</v>
      </c>
      <c r="F35" s="10"/>
    </row>
    <row r="36" spans="1:6">
      <c r="A36" s="10">
        <v>35</v>
      </c>
      <c r="B36" s="10">
        <v>126</v>
      </c>
      <c r="C36" s="10">
        <v>22.877043641486601</v>
      </c>
      <c r="D36" s="10">
        <v>1.02739258735707</v>
      </c>
      <c r="E36" s="10">
        <v>0.99858000000000002</v>
      </c>
      <c r="F36" s="10"/>
    </row>
    <row r="37" spans="1:6">
      <c r="A37" s="10">
        <v>36</v>
      </c>
      <c r="B37" s="10">
        <v>126</v>
      </c>
      <c r="C37" s="10">
        <v>22.884786088301599</v>
      </c>
      <c r="D37" s="10">
        <v>1.0546642589358699</v>
      </c>
      <c r="E37" s="10">
        <v>0.99838000000000005</v>
      </c>
      <c r="F37" s="10"/>
    </row>
    <row r="38" spans="1:6">
      <c r="A38" s="10">
        <v>37</v>
      </c>
      <c r="B38" s="10">
        <v>127</v>
      </c>
      <c r="C38" s="10">
        <v>19.028272368610299</v>
      </c>
      <c r="D38" s="10">
        <v>0.99725545936428595</v>
      </c>
      <c r="E38" s="10">
        <v>0.99897999999999998</v>
      </c>
      <c r="F38" s="10"/>
    </row>
    <row r="39" spans="1:6">
      <c r="A39" s="10">
        <v>38</v>
      </c>
      <c r="B39" s="10">
        <v>127</v>
      </c>
      <c r="C39" s="10">
        <v>19.1997758507441</v>
      </c>
      <c r="D39" s="10">
        <v>1.01459766630229</v>
      </c>
      <c r="E39" s="10">
        <v>0.99848999999999999</v>
      </c>
      <c r="F39" s="10"/>
    </row>
    <row r="40" spans="1:6">
      <c r="A40" s="10">
        <v>39</v>
      </c>
      <c r="B40" s="10">
        <v>127</v>
      </c>
      <c r="C40" s="10">
        <v>19.1947868999227</v>
      </c>
      <c r="D40" s="10">
        <v>0.99694441426932401</v>
      </c>
      <c r="E40" s="10">
        <v>0.99866999999999995</v>
      </c>
      <c r="F40" s="10"/>
    </row>
    <row r="41" spans="1:6">
      <c r="A41" s="10">
        <v>40</v>
      </c>
      <c r="B41" s="10">
        <v>127</v>
      </c>
      <c r="C41" s="10">
        <v>19.0794451741532</v>
      </c>
      <c r="D41" s="10">
        <v>1.0302570819082</v>
      </c>
      <c r="E41" s="10">
        <v>0.99819000000000002</v>
      </c>
      <c r="F41" s="10"/>
    </row>
    <row r="42" spans="1:6">
      <c r="A42" s="10">
        <v>41</v>
      </c>
      <c r="B42" s="10" t="s">
        <v>7</v>
      </c>
      <c r="C42" s="10">
        <v>-1</v>
      </c>
      <c r="D42" s="10">
        <v>-1</v>
      </c>
      <c r="E42" s="10"/>
      <c r="F42" s="10" t="s">
        <v>6</v>
      </c>
    </row>
    <row r="43" spans="1:6">
      <c r="A43" s="10">
        <v>42</v>
      </c>
      <c r="B43" s="10" t="s">
        <v>7</v>
      </c>
      <c r="C43" s="10">
        <v>-1</v>
      </c>
      <c r="D43" s="10">
        <v>-1</v>
      </c>
      <c r="E43" s="10"/>
      <c r="F43" s="10" t="s">
        <v>6</v>
      </c>
    </row>
    <row r="44" spans="1:6">
      <c r="A44" s="10">
        <v>43</v>
      </c>
      <c r="B44" s="10" t="s">
        <v>7</v>
      </c>
      <c r="C44" s="10">
        <v>33.956383683686703</v>
      </c>
      <c r="D44" s="10">
        <v>0.40742176610308001</v>
      </c>
      <c r="E44" s="10">
        <v>0.99217999999999995</v>
      </c>
      <c r="F44" s="10"/>
    </row>
    <row r="45" spans="1:6">
      <c r="A45" s="10">
        <v>44</v>
      </c>
      <c r="B45" s="10" t="s">
        <v>7</v>
      </c>
      <c r="C45" s="10">
        <v>33.674351185751803</v>
      </c>
      <c r="D45" s="10">
        <v>0.39028289735454902</v>
      </c>
      <c r="E45" s="10">
        <v>0.98938999999999999</v>
      </c>
      <c r="F45" s="10"/>
    </row>
    <row r="46" spans="1:6">
      <c r="A46" s="10">
        <v>45</v>
      </c>
      <c r="B46" s="10" t="s">
        <v>8</v>
      </c>
      <c r="C46" s="10">
        <v>-1</v>
      </c>
      <c r="D46" s="10">
        <v>-1</v>
      </c>
      <c r="E46" s="10"/>
      <c r="F46" s="10" t="s">
        <v>6</v>
      </c>
    </row>
    <row r="47" spans="1:6">
      <c r="A47" s="10">
        <v>46</v>
      </c>
      <c r="B47" s="10" t="s">
        <v>8</v>
      </c>
      <c r="C47" s="10">
        <v>-1</v>
      </c>
      <c r="D47" s="10">
        <v>-1</v>
      </c>
      <c r="E47" s="10"/>
      <c r="F47" s="10" t="s">
        <v>6</v>
      </c>
    </row>
    <row r="48" spans="1:6">
      <c r="A48" s="10">
        <v>47</v>
      </c>
      <c r="B48" s="10" t="s">
        <v>8</v>
      </c>
      <c r="C48" s="10">
        <v>-1</v>
      </c>
      <c r="D48" s="10">
        <v>-1</v>
      </c>
      <c r="E48" s="10"/>
      <c r="F48" s="10" t="s">
        <v>6</v>
      </c>
    </row>
    <row r="49" spans="1:6">
      <c r="A49" s="10">
        <v>48</v>
      </c>
      <c r="B49" s="10" t="s">
        <v>8</v>
      </c>
      <c r="C49" s="10">
        <v>-1</v>
      </c>
      <c r="D49" s="10">
        <v>-1</v>
      </c>
      <c r="E49" s="10"/>
      <c r="F49" s="10" t="s">
        <v>6</v>
      </c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118</v>
      </c>
      <c r="B2">
        <f>IF('177T'!C2="", "", '177T'!C2)</f>
        <v>-1</v>
      </c>
      <c r="C2">
        <f>IF('18S2'!C2="", "", '18S2'!C2)</f>
        <v>-1</v>
      </c>
      <c r="D2">
        <f>IF(RNAseP!C2="", "", RNAseP!C2)</f>
        <v>22.495152100049001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N</v>
      </c>
      <c r="I2" t="str" cm="1">
        <f t="array" ref="I2">INDEX(Decision!$E$1:$E$28, MATCH(E2&amp;F2&amp;G2, Decision!$A$1:$A$28&amp;Decision!$B$1:$B$28&amp;Decision!$C$1:$C$28, 0))</f>
        <v>negative</v>
      </c>
    </row>
    <row r="3" spans="1:9">
      <c r="A3">
        <f>IF(AND('177T'!B3 = '18S2'!B3, '177T'!B3 = RNAseP!B3, '177T'!B3 &lt;&gt; ""), '177T'!B3, IF('177T'!B3 = "", "", "Mismatch"))</f>
        <v>118</v>
      </c>
      <c r="B3">
        <f>IF('177T'!C3="", "", '177T'!C3)</f>
        <v>-1</v>
      </c>
      <c r="C3">
        <f>IF('18S2'!C3="", "", '18S2'!C3)</f>
        <v>-1</v>
      </c>
      <c r="D3">
        <f>IF(RNAseP!C3="", "", RNAseP!C3)</f>
        <v>22.5254247384003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118</v>
      </c>
      <c r="B4">
        <f>IF('177T'!C4="", "", '177T'!C4)</f>
        <v>-1</v>
      </c>
      <c r="C4">
        <f>IF('18S2'!C4="", "", '18S2'!C4)</f>
        <v>-1</v>
      </c>
      <c r="D4">
        <f>IF(RNAseP!C4="", "", RNAseP!C4)</f>
        <v>22.517734396995099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118</v>
      </c>
      <c r="B5">
        <f>IF('177T'!C5="", "", '177T'!C5)</f>
        <v>-1</v>
      </c>
      <c r="C5">
        <f>IF('18S2'!C5="", "", '18S2'!C5)</f>
        <v>-1</v>
      </c>
      <c r="D5">
        <f>IF(RNAseP!C5="", "", RNAseP!C5)</f>
        <v>22.5650069228919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119</v>
      </c>
      <c r="B6">
        <f>IF('177T'!C6="", "", '177T'!C6)</f>
        <v>-1</v>
      </c>
      <c r="C6">
        <f>IF('18S2'!C6="", "", '18S2'!C6)</f>
        <v>-1</v>
      </c>
      <c r="D6">
        <f>IF(RNAseP!C6="", "", RNAseP!C6)</f>
        <v>21.854225262532498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N</v>
      </c>
      <c r="I6" t="str" cm="1">
        <f t="array" ref="I6">INDEX(Decision!$E$1:$E$28, MATCH(E6&amp;F6&amp;G6, Decision!$A$1:$A$28&amp;Decision!$B$1:$B$28&amp;Decision!$C$1:$C$28, 0))</f>
        <v>negative</v>
      </c>
    </row>
    <row r="7" spans="1:9">
      <c r="A7">
        <f>IF(AND('177T'!B7 = '18S2'!B7, '177T'!B7 = RNAseP!B7, '177T'!B7 &lt;&gt; ""), '177T'!B7, IF('177T'!B7 = "", "", "Mismatch"))</f>
        <v>119</v>
      </c>
      <c r="B7">
        <f>IF('177T'!C7="", "", '177T'!C7)</f>
        <v>-1</v>
      </c>
      <c r="C7">
        <f>IF('18S2'!C7="", "", '18S2'!C7)</f>
        <v>-1</v>
      </c>
      <c r="D7">
        <f>IF(RNAseP!C7="", "", RNAseP!C7)</f>
        <v>22.1692550996856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N</v>
      </c>
      <c r="I7" t="str" cm="1">
        <f t="array" ref="I7">INDEX(Decision!$E$1:$E$28, MATCH(E7&amp;F7&amp;G7, Decision!$A$1:$A$28&amp;Decision!$B$1:$B$28&amp;Decision!$C$1:$C$28, 0))</f>
        <v>negative</v>
      </c>
    </row>
    <row r="8" spans="1:9">
      <c r="A8">
        <f>IF(AND('177T'!B8 = '18S2'!B8, '177T'!B8 = RNAseP!B8, '177T'!B8 &lt;&gt; ""), '177T'!B8, IF('177T'!B8 = "", "", "Mismatch"))</f>
        <v>119</v>
      </c>
      <c r="B8">
        <f>IF('177T'!C8="", "", '177T'!C8)</f>
        <v>-1</v>
      </c>
      <c r="C8">
        <f>IF('18S2'!C8="", "", '18S2'!C8)</f>
        <v>-1</v>
      </c>
      <c r="D8">
        <f>IF(RNAseP!C8="", "", RNAseP!C8)</f>
        <v>22.140643082739999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N</v>
      </c>
      <c r="I8" t="str" cm="1">
        <f t="array" ref="I8">INDEX(Decision!$E$1:$E$28, MATCH(E8&amp;F8&amp;G8, Decision!$A$1:$A$28&amp;Decision!$B$1:$B$28&amp;Decision!$C$1:$C$28, 0))</f>
        <v>negative</v>
      </c>
    </row>
    <row r="9" spans="1:9">
      <c r="A9">
        <f>IF(AND('177T'!B9 = '18S2'!B9, '177T'!B9 = RNAseP!B9, '177T'!B9 &lt;&gt; ""), '177T'!B9, IF('177T'!B9 = "", "", "Mismatch"))</f>
        <v>119</v>
      </c>
      <c r="B9">
        <f>IF('177T'!C9="", "", '177T'!C9)</f>
        <v>-1</v>
      </c>
      <c r="C9">
        <f>IF('18S2'!C9="", "", '18S2'!C9)</f>
        <v>-1</v>
      </c>
      <c r="D9">
        <f>IF(RNAseP!C9="", "", RNAseP!C9)</f>
        <v>22.317709191289101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N</v>
      </c>
      <c r="I9" t="str" cm="1">
        <f t="array" ref="I9">INDEX(Decision!$E$1:$E$28, MATCH(E9&amp;F9&amp;G9, Decision!$A$1:$A$28&amp;Decision!$B$1:$B$28&amp;Decision!$C$1:$C$28, 0))</f>
        <v>negative</v>
      </c>
    </row>
    <row r="10" spans="1:9">
      <c r="A10">
        <f>IF(AND('177T'!B10 = '18S2'!B10, '177T'!B10 = RNAseP!B10, '177T'!B10 &lt;&gt; ""), '177T'!B10, IF('177T'!B10 = "", "", "Mismatch"))</f>
        <v>120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22.923916779071199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N</v>
      </c>
      <c r="I10" t="str" cm="1">
        <f t="array" ref="I10">INDEX(Decision!$E$1:$E$28, MATCH(E10&amp;F10&amp;G10, Decision!$A$1:$A$28&amp;Decision!$B$1:$B$28&amp;Decision!$C$1:$C$28, 0))</f>
        <v>negative</v>
      </c>
    </row>
    <row r="11" spans="1:9">
      <c r="A11">
        <f>IF(AND('177T'!B11 = '18S2'!B11, '177T'!B11 = RNAseP!B11, '177T'!B11 &lt;&gt; ""), '177T'!B11, IF('177T'!B11 = "", "", "Mismatch"))</f>
        <v>120</v>
      </c>
      <c r="B11">
        <f>IF('177T'!C11="", "", '177T'!C11)</f>
        <v>-1</v>
      </c>
      <c r="C11">
        <f>IF('18S2'!C11="", "", '18S2'!C11)</f>
        <v>-1</v>
      </c>
      <c r="D11">
        <f>IF(RNAseP!C11="", "", RNAseP!C11)</f>
        <v>22.9376291234571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N</v>
      </c>
      <c r="I11" t="str" cm="1">
        <f t="array" ref="I11">INDEX(Decision!$E$1:$E$28, MATCH(E11&amp;F11&amp;G11, Decision!$A$1:$A$28&amp;Decision!$B$1:$B$28&amp;Decision!$C$1:$C$28, 0))</f>
        <v>negative</v>
      </c>
    </row>
    <row r="12" spans="1:9">
      <c r="A12">
        <f>IF(AND('177T'!B12 = '18S2'!B12, '177T'!B12 = RNAseP!B12, '177T'!B12 &lt;&gt; ""), '177T'!B12, IF('177T'!B12 = "", "", "Mismatch"))</f>
        <v>120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22.845250106609999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1</v>
      </c>
      <c r="H12" s="3" t="str" cm="1">
        <f t="array" ref="H12">INDEX(Decision!$D$1:$D$28, MATCH(E12&amp;F12&amp;G12, Decision!$A$1:$A$28&amp;Decision!$B$1:$B$28&amp;Decision!$C$1:$C$28, 0))</f>
        <v>N</v>
      </c>
      <c r="I12" t="str" cm="1">
        <f t="array" ref="I12">INDEX(Decision!$E$1:$E$28, MATCH(E12&amp;F12&amp;G12, Decision!$A$1:$A$28&amp;Decision!$B$1:$B$28&amp;Decision!$C$1:$C$28, 0))</f>
        <v>negative</v>
      </c>
    </row>
    <row r="13" spans="1:9">
      <c r="A13">
        <f>IF(AND('177T'!B13 = '18S2'!B13, '177T'!B13 = RNAseP!B13, '177T'!B13 &lt;&gt; ""), '177T'!B13, IF('177T'!B13 = "", "", "Mismatch"))</f>
        <v>120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23.0042883141701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N</v>
      </c>
      <c r="I13" t="str" cm="1">
        <f t="array" ref="I13">INDEX(Decision!$E$1:$E$28, MATCH(E13&amp;F13&amp;G13, Decision!$A$1:$A$28&amp;Decision!$B$1:$B$28&amp;Decision!$C$1:$C$28, 0))</f>
        <v>negative</v>
      </c>
    </row>
    <row r="14" spans="1:9">
      <c r="A14">
        <f>IF(AND('177T'!B14 = '18S2'!B14, '177T'!B14 = RNAseP!B14, '177T'!B14 &lt;&gt; ""), '177T'!B14, IF('177T'!B14 = "", "", "Mismatch"))</f>
        <v>121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25.342059815792702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1</v>
      </c>
      <c r="H14" s="3" t="str" cm="1">
        <f t="array" ref="H14">INDEX(Decision!$D$1:$D$28, MATCH(E14&amp;F14&amp;G14, Decision!$A$1:$A$28&amp;Decision!$B$1:$B$28&amp;Decision!$C$1:$C$28, 0))</f>
        <v>N</v>
      </c>
      <c r="I14" t="str" cm="1">
        <f t="array" ref="I14">INDEX(Decision!$E$1:$E$28, MATCH(E14&amp;F14&amp;G14, Decision!$A$1:$A$28&amp;Decision!$B$1:$B$28&amp;Decision!$C$1:$C$28, 0))</f>
        <v>negative</v>
      </c>
    </row>
    <row r="15" spans="1:9">
      <c r="A15">
        <f>IF(AND('177T'!B15 = '18S2'!B15, '177T'!B15 = RNAseP!B15, '177T'!B15 &lt;&gt; ""), '177T'!B15, IF('177T'!B15 = "", "", "Mismatch"))</f>
        <v>121</v>
      </c>
      <c r="B15">
        <f>IF('177T'!C15="", "", '177T'!C15)</f>
        <v>-1</v>
      </c>
      <c r="C15">
        <f>IF('18S2'!C15="", "", '18S2'!C15)</f>
        <v>-1</v>
      </c>
      <c r="D15">
        <f>IF(RNAseP!C15="", "", RNAseP!C15)</f>
        <v>25.446611726825001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N</v>
      </c>
      <c r="I15" t="str" cm="1">
        <f t="array" ref="I15">INDEX(Decision!$E$1:$E$28, MATCH(E15&amp;F15&amp;G15, Decision!$A$1:$A$28&amp;Decision!$B$1:$B$28&amp;Decision!$C$1:$C$28, 0))</f>
        <v>negative</v>
      </c>
    </row>
    <row r="16" spans="1:9">
      <c r="A16">
        <f>IF(AND('177T'!B16 = '18S2'!B16, '177T'!B16 = RNAseP!B16, '177T'!B16 &lt;&gt; ""), '177T'!B16, IF('177T'!B16 = "", "", "Mismatch"))</f>
        <v>121</v>
      </c>
      <c r="B16">
        <f>IF('177T'!C16="", "", '177T'!C16)</f>
        <v>-1</v>
      </c>
      <c r="C16">
        <f>IF('18S2'!C16="", "", '18S2'!C16)</f>
        <v>-1</v>
      </c>
      <c r="D16">
        <f>IF(RNAseP!C16="", "", RNAseP!C16)</f>
        <v>25.217842760819899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N</v>
      </c>
      <c r="I16" t="str" cm="1">
        <f t="array" ref="I16">INDEX(Decision!$E$1:$E$28, MATCH(E16&amp;F16&amp;G16, Decision!$A$1:$A$28&amp;Decision!$B$1:$B$28&amp;Decision!$C$1:$C$28, 0))</f>
        <v>negative</v>
      </c>
    </row>
    <row r="17" spans="1:9">
      <c r="A17">
        <f>IF(AND('177T'!B17 = '18S2'!B17, '177T'!B17 = RNAseP!B17, '177T'!B17 &lt;&gt; ""), '177T'!B17, IF('177T'!B17 = "", "", "Mismatch"))</f>
        <v>121</v>
      </c>
      <c r="B17">
        <f>IF('177T'!C17="", "", '177T'!C17)</f>
        <v>-1</v>
      </c>
      <c r="C17">
        <f>IF('18S2'!C17="", "", '18S2'!C17)</f>
        <v>-1</v>
      </c>
      <c r="D17">
        <f>IF(RNAseP!C17="", "", RNAseP!C17)</f>
        <v>25.2513660702983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-1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N</v>
      </c>
      <c r="I17" t="str" cm="1">
        <f t="array" ref="I17">INDEX(Decision!$E$1:$E$28, MATCH(E17&amp;F17&amp;G17, Decision!$A$1:$A$28&amp;Decision!$B$1:$B$28&amp;Decision!$C$1:$C$28, 0))</f>
        <v>negative</v>
      </c>
    </row>
    <row r="18" spans="1:9">
      <c r="A18">
        <f>IF(AND('177T'!B18 = '18S2'!B18, '177T'!B18 = RNAseP!B18, '177T'!B18 &lt;&gt; ""), '177T'!B18, IF('177T'!B18 = "", "", "Mismatch"))</f>
        <v>122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22.5767469018352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1</v>
      </c>
      <c r="H18" s="3" t="str" cm="1">
        <f t="array" ref="H18">INDEX(Decision!$D$1:$D$28, MATCH(E18&amp;F18&amp;G18, Decision!$A$1:$A$28&amp;Decision!$B$1:$B$28&amp;Decision!$C$1:$C$28, 0))</f>
        <v>N</v>
      </c>
      <c r="I18" t="str" cm="1">
        <f t="array" ref="I18">INDEX(Decision!$E$1:$E$28, MATCH(E18&amp;F18&amp;G18, Decision!$A$1:$A$28&amp;Decision!$B$1:$B$28&amp;Decision!$C$1:$C$28, 0))</f>
        <v>negative</v>
      </c>
    </row>
    <row r="19" spans="1:9">
      <c r="A19">
        <f>IF(AND('177T'!B19 = '18S2'!B19, '177T'!B19 = RNAseP!B19, '177T'!B19 &lt;&gt; ""), '177T'!B19, IF('177T'!B19 = "", "", "Mismatch"))</f>
        <v>122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22.503445467569598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N</v>
      </c>
      <c r="I19" t="str" cm="1">
        <f t="array" ref="I19">INDEX(Decision!$E$1:$E$28, MATCH(E19&amp;F19&amp;G19, Decision!$A$1:$A$28&amp;Decision!$B$1:$B$28&amp;Decision!$C$1:$C$28, 0))</f>
        <v>negative</v>
      </c>
    </row>
    <row r="20" spans="1:9">
      <c r="A20">
        <f>IF(AND('177T'!B20 = '18S2'!B20, '177T'!B20 = RNAseP!B20, '177T'!B20 &lt;&gt; ""), '177T'!B20, IF('177T'!B20 = "", "", "Mismatch"))</f>
        <v>122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22.4429218060741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N</v>
      </c>
      <c r="I20" t="str" cm="1">
        <f t="array" ref="I20">INDEX(Decision!$E$1:$E$28, MATCH(E20&amp;F20&amp;G20, Decision!$A$1:$A$28&amp;Decision!$B$1:$B$28&amp;Decision!$C$1:$C$28, 0))</f>
        <v>negative</v>
      </c>
    </row>
    <row r="21" spans="1:9">
      <c r="A21">
        <f>IF(AND('177T'!B21 = '18S2'!B21, '177T'!B21 = RNAseP!B21, '177T'!B21 &lt;&gt; ""), '177T'!B21, IF('177T'!B21 = "", "", "Mismatch"))</f>
        <v>122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22.422579059739899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N</v>
      </c>
      <c r="I21" t="str" cm="1">
        <f t="array" ref="I21">INDEX(Decision!$E$1:$E$28, MATCH(E21&amp;F21&amp;G21, Decision!$A$1:$A$28&amp;Decision!$B$1:$B$28&amp;Decision!$C$1:$C$28, 0))</f>
        <v>negative</v>
      </c>
    </row>
    <row r="22" spans="1:9">
      <c r="A22">
        <f>IF(AND('177T'!B22 = '18S2'!B22, '177T'!B22 = RNAseP!B22, '177T'!B22 &lt;&gt; ""), '177T'!B22, IF('177T'!B22 = "", "", "Mismatch"))</f>
        <v>123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22.626618829172902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123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22.521347022627399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1</v>
      </c>
      <c r="H23" s="3" t="str" cm="1">
        <f t="array" ref="H23">INDEX(Decision!$D$1:$D$28, MATCH(E23&amp;F23&amp;G23, Decision!$A$1:$A$28&amp;Decision!$B$1:$B$28&amp;Decision!$C$1:$C$28, 0))</f>
        <v>N</v>
      </c>
      <c r="I23" t="str" cm="1">
        <f t="array" ref="I23">INDEX(Decision!$E$1:$E$28, MATCH(E23&amp;F23&amp;G23, Decision!$A$1:$A$28&amp;Decision!$B$1:$B$28&amp;Decision!$C$1:$C$28, 0))</f>
        <v>negative</v>
      </c>
    </row>
    <row r="24" spans="1:9">
      <c r="A24">
        <f>IF(AND('177T'!B24 = '18S2'!B24, '177T'!B24 = RNAseP!B24, '177T'!B24 &lt;&gt; ""), '177T'!B24, IF('177T'!B24 = "", "", "Mismatch"))</f>
        <v>123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22.514535080245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N</v>
      </c>
      <c r="I24" t="str" cm="1">
        <f t="array" ref="I24">INDEX(Decision!$E$1:$E$28, MATCH(E24&amp;F24&amp;G24, Decision!$A$1:$A$28&amp;Decision!$B$1:$B$28&amp;Decision!$C$1:$C$28, 0))</f>
        <v>negative</v>
      </c>
    </row>
    <row r="25" spans="1:9">
      <c r="A25">
        <f>IF(AND('177T'!B25 = '18S2'!B25, '177T'!B25 = RNAseP!B25, '177T'!B25 &lt;&gt; ""), '177T'!B25, IF('177T'!B25 = "", "", "Mismatch"))</f>
        <v>123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22.4618573792572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124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21.133631768928399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N</v>
      </c>
      <c r="I26" t="str" cm="1">
        <f t="array" ref="I26">INDEX(Decision!$E$1:$E$28, MATCH(E26&amp;F26&amp;G26, Decision!$A$1:$A$28&amp;Decision!$B$1:$B$28&amp;Decision!$C$1:$C$28, 0))</f>
        <v>negative</v>
      </c>
    </row>
    <row r="27" spans="1:9">
      <c r="A27">
        <f>IF(AND('177T'!B27 = '18S2'!B27, '177T'!B27 = RNAseP!B27, '177T'!B27 &lt;&gt; ""), '177T'!B27, IF('177T'!B27 = "", "", "Mismatch"))</f>
        <v>124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21.339112622369601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N</v>
      </c>
      <c r="I27" t="str" cm="1">
        <f t="array" ref="I27">INDEX(Decision!$E$1:$E$28, MATCH(E27&amp;F27&amp;G27, Decision!$A$1:$A$28&amp;Decision!$B$1:$B$28&amp;Decision!$C$1:$C$28, 0))</f>
        <v>negative</v>
      </c>
    </row>
    <row r="28" spans="1:9">
      <c r="A28">
        <f>IF(AND('177T'!B28 = '18S2'!B28, '177T'!B28 = RNAseP!B28, '177T'!B28 &lt;&gt; ""), '177T'!B28, IF('177T'!B28 = "", "", "Mismatch"))</f>
        <v>124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21.2455554748738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124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21.1422527624654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125</v>
      </c>
      <c r="B30">
        <f>IF('177T'!C30="", "", '177T'!C30)</f>
        <v>-1</v>
      </c>
      <c r="C30">
        <f>IF('18S2'!C30="", "", '18S2'!C30)</f>
        <v>-1</v>
      </c>
      <c r="D30">
        <f>IF(RNAseP!C30="", "", RNAseP!C30)</f>
        <v>23.365962789168702</v>
      </c>
      <c r="E30" s="3" t="str">
        <f>IF(B30=-1, "-1", IF(B30&lt;VLOOKUP("177T", Cutoff!$A$1:$B$4, 2, FALSE), "1", "0"))</f>
        <v>-1</v>
      </c>
      <c r="F30" s="3" t="str">
        <f>IF(C30=-1, "-1", IF(C30&lt;VLOOKUP("18S2", Cutoff!$A$1:$B$4, 2, FALSE), "1", "0"))</f>
        <v>-1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N</v>
      </c>
      <c r="I30" t="str" cm="1">
        <f t="array" ref="I30">INDEX(Decision!$E$1:$E$28, MATCH(E30&amp;F30&amp;G30, Decision!$A$1:$A$28&amp;Decision!$B$1:$B$28&amp;Decision!$C$1:$C$28, 0))</f>
        <v>negative</v>
      </c>
    </row>
    <row r="31" spans="1:9">
      <c r="A31">
        <f>IF(AND('177T'!B31 = '18S2'!B31, '177T'!B31 = RNAseP!B31, '177T'!B31 &lt;&gt; ""), '177T'!B31, IF('177T'!B31 = "", "", "Mismatch"))</f>
        <v>125</v>
      </c>
      <c r="B31">
        <f>IF('177T'!C31="", "", '177T'!C31)</f>
        <v>-1</v>
      </c>
      <c r="C31">
        <f>IF('18S2'!C31="", "", '18S2'!C31)</f>
        <v>-1</v>
      </c>
      <c r="D31">
        <f>IF(RNAseP!C31="", "", RNAseP!C31)</f>
        <v>23.2228541496854</v>
      </c>
      <c r="E31" s="3" t="str">
        <f>IF(B31=-1, "-1", IF(B31&lt;VLOOKUP("177T", Cutoff!$A$1:$B$4, 2, FALSE), "1", "0"))</f>
        <v>-1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N</v>
      </c>
      <c r="I31" t="str" cm="1">
        <f t="array" ref="I31">INDEX(Decision!$E$1:$E$28, MATCH(E31&amp;F31&amp;G31, Decision!$A$1:$A$28&amp;Decision!$B$1:$B$28&amp;Decision!$C$1:$C$28, 0))</f>
        <v>negative</v>
      </c>
    </row>
    <row r="32" spans="1:9">
      <c r="A32">
        <f>IF(AND('177T'!B32 = '18S2'!B32, '177T'!B32 = RNAseP!B32, '177T'!B32 &lt;&gt; ""), '177T'!B32, IF('177T'!B32 = "", "", "Mismatch"))</f>
        <v>125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23.1346475512151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N</v>
      </c>
      <c r="I32" t="str" cm="1">
        <f t="array" ref="I32">INDEX(Decision!$E$1:$E$28, MATCH(E32&amp;F32&amp;G32, Decision!$A$1:$A$28&amp;Decision!$B$1:$B$28&amp;Decision!$C$1:$C$28, 0))</f>
        <v>negative</v>
      </c>
    </row>
    <row r="33" spans="1:9">
      <c r="A33">
        <f>IF(AND('177T'!B33 = '18S2'!B33, '177T'!B33 = RNAseP!B33, '177T'!B33 &lt;&gt; ""), '177T'!B33, IF('177T'!B33 = "", "", "Mismatch"))</f>
        <v>125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23.147648196828602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N</v>
      </c>
      <c r="I33" t="str" cm="1">
        <f t="array" ref="I33">INDEX(Decision!$E$1:$E$28, MATCH(E33&amp;F33&amp;G33, Decision!$A$1:$A$28&amp;Decision!$B$1:$B$28&amp;Decision!$C$1:$C$28, 0))</f>
        <v>negative</v>
      </c>
    </row>
    <row r="34" spans="1:9">
      <c r="A34">
        <f>IF(AND('177T'!B34 = '18S2'!B34, '177T'!B34 = RNAseP!B34, '177T'!B34 &lt;&gt; ""), '177T'!B34, IF('177T'!B34 = "", "", "Mismatch"))</f>
        <v>126</v>
      </c>
      <c r="B34">
        <f>IF('177T'!C34="", "", '177T'!C34)</f>
        <v>-1</v>
      </c>
      <c r="C34">
        <f>IF('18S2'!C34="", "", '18S2'!C34)</f>
        <v>-1</v>
      </c>
      <c r="D34">
        <f>IF(RNAseP!C34="", "", RNAseP!C34)</f>
        <v>23.083416871602399</v>
      </c>
      <c r="E34" s="3" t="str">
        <f>IF(B34=-1, "-1", IF(B34&lt;VLOOKUP("177T", Cutoff!$A$1:$B$4, 2, FALSE), "1", "0"))</f>
        <v>-1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N</v>
      </c>
      <c r="I34" t="str" cm="1">
        <f t="array" ref="I34">INDEX(Decision!$E$1:$E$28, MATCH(E34&amp;F34&amp;G34, Decision!$A$1:$A$28&amp;Decision!$B$1:$B$28&amp;Decision!$C$1:$C$28, 0))</f>
        <v>negative</v>
      </c>
    </row>
    <row r="35" spans="1:9">
      <c r="A35">
        <f>IF(AND('177T'!B35 = '18S2'!B35, '177T'!B35 = RNAseP!B35, '177T'!B35 &lt;&gt; ""), '177T'!B35, IF('177T'!B35 = "", "", "Mismatch"))</f>
        <v>126</v>
      </c>
      <c r="B35">
        <f>IF('177T'!C35="", "", '177T'!C35)</f>
        <v>-1</v>
      </c>
      <c r="C35">
        <f>IF('18S2'!C35="", "", '18S2'!C35)</f>
        <v>-1</v>
      </c>
      <c r="D35">
        <f>IF(RNAseP!C35="", "", RNAseP!C35)</f>
        <v>22.894071027226499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N</v>
      </c>
      <c r="I35" t="str" cm="1">
        <f t="array" ref="I35">INDEX(Decision!$E$1:$E$28, MATCH(E35&amp;F35&amp;G35, Decision!$A$1:$A$28&amp;Decision!$B$1:$B$28&amp;Decision!$C$1:$C$28, 0))</f>
        <v>negative</v>
      </c>
    </row>
    <row r="36" spans="1:9">
      <c r="A36">
        <f>IF(AND('177T'!B36 = '18S2'!B36, '177T'!B36 = RNAseP!B36, '177T'!B36 &lt;&gt; ""), '177T'!B36, IF('177T'!B36 = "", "", "Mismatch"))</f>
        <v>126</v>
      </c>
      <c r="B36">
        <f>IF('177T'!C36="", "", '177T'!C36)</f>
        <v>-1</v>
      </c>
      <c r="C36">
        <f>IF('18S2'!C36="", "", '18S2'!C36)</f>
        <v>-1</v>
      </c>
      <c r="D36">
        <f>IF(RNAseP!C36="", "", RNAseP!C36)</f>
        <v>22.877043641486601</v>
      </c>
      <c r="E36" s="3" t="str">
        <f>IF(B36=-1, "-1", IF(B36&lt;VLOOKUP("177T", Cutoff!$A$1:$B$4, 2, FALSE), "1", "0"))</f>
        <v>-1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N</v>
      </c>
      <c r="I36" t="str" cm="1">
        <f t="array" ref="I36">INDEX(Decision!$E$1:$E$28, MATCH(E36&amp;F36&amp;G36, Decision!$A$1:$A$28&amp;Decision!$B$1:$B$28&amp;Decision!$C$1:$C$28, 0))</f>
        <v>negative</v>
      </c>
    </row>
    <row r="37" spans="1:9">
      <c r="A37">
        <f>IF(AND('177T'!B37 = '18S2'!B37, '177T'!B37 = RNAseP!B37, '177T'!B37 &lt;&gt; ""), '177T'!B37, IF('177T'!B37 = "", "", "Mismatch"))</f>
        <v>126</v>
      </c>
      <c r="B37">
        <f>IF('177T'!C37="", "", '177T'!C37)</f>
        <v>-1</v>
      </c>
      <c r="C37">
        <f>IF('18S2'!C37="", "", '18S2'!C37)</f>
        <v>-1</v>
      </c>
      <c r="D37">
        <f>IF(RNAseP!C37="", "", RNAseP!C37)</f>
        <v>22.884786088301599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N</v>
      </c>
      <c r="I37" t="str" cm="1">
        <f t="array" ref="I37">INDEX(Decision!$E$1:$E$28, MATCH(E37&amp;F37&amp;G37, Decision!$A$1:$A$28&amp;Decision!$B$1:$B$28&amp;Decision!$C$1:$C$28, 0))</f>
        <v>negative</v>
      </c>
    </row>
    <row r="38" spans="1:9">
      <c r="A38">
        <f>IF(AND('177T'!B38 = '18S2'!B38, '177T'!B38 = RNAseP!B38, '177T'!B38 &lt;&gt; ""), '177T'!B38, IF('177T'!B38 = "", "", "Mismatch"))</f>
        <v>127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19.028272368610299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1</v>
      </c>
      <c r="H38" s="3" t="str" cm="1">
        <f t="array" ref="H38">INDEX(Decision!$D$1:$D$28, MATCH(E38&amp;F38&amp;G38, Decision!$A$1:$A$28&amp;Decision!$B$1:$B$28&amp;Decision!$C$1:$C$28, 0))</f>
        <v>N</v>
      </c>
      <c r="I38" t="str" cm="1">
        <f t="array" ref="I38">INDEX(Decision!$E$1:$E$28, MATCH(E38&amp;F38&amp;G38, Decision!$A$1:$A$28&amp;Decision!$B$1:$B$28&amp;Decision!$C$1:$C$28, 0))</f>
        <v>negative</v>
      </c>
    </row>
    <row r="39" spans="1:9">
      <c r="A39">
        <f>IF(AND('177T'!B39 = '18S2'!B39, '177T'!B39 = RNAseP!B39, '177T'!B39 &lt;&gt; ""), '177T'!B39, IF('177T'!B39 = "", "", "Mismatch"))</f>
        <v>127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19.1997758507441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1</v>
      </c>
      <c r="H39" s="3" t="str" cm="1">
        <f t="array" ref="H39">INDEX(Decision!$D$1:$D$28, MATCH(E39&amp;F39&amp;G39, Decision!$A$1:$A$28&amp;Decision!$B$1:$B$28&amp;Decision!$C$1:$C$28, 0))</f>
        <v>N</v>
      </c>
      <c r="I39" t="str" cm="1">
        <f t="array" ref="I39">INDEX(Decision!$E$1:$E$28, MATCH(E39&amp;F39&amp;G39, Decision!$A$1:$A$28&amp;Decision!$B$1:$B$28&amp;Decision!$C$1:$C$28, 0))</f>
        <v>negative</v>
      </c>
    </row>
    <row r="40" spans="1:9">
      <c r="A40">
        <f>IF(AND('177T'!B40 = '18S2'!B40, '177T'!B40 = RNAseP!B40, '177T'!B40 &lt;&gt; ""), '177T'!B40, IF('177T'!B40 = "", "", "Mismatch"))</f>
        <v>127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19.1947868999227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1</v>
      </c>
      <c r="H40" s="3" t="str" cm="1">
        <f t="array" ref="H40">INDEX(Decision!$D$1:$D$28, MATCH(E40&amp;F40&amp;G40, Decision!$A$1:$A$28&amp;Decision!$B$1:$B$28&amp;Decision!$C$1:$C$28, 0))</f>
        <v>N</v>
      </c>
      <c r="I40" t="str" cm="1">
        <f t="array" ref="I40">INDEX(Decision!$E$1:$E$28, MATCH(E40&amp;F40&amp;G40, Decision!$A$1:$A$28&amp;Decision!$B$1:$B$28&amp;Decision!$C$1:$C$28, 0))</f>
        <v>negative</v>
      </c>
    </row>
    <row r="41" spans="1:9">
      <c r="A41">
        <f>IF(AND('177T'!B41 = '18S2'!B41, '177T'!B41 = RNAseP!B41, '177T'!B41 &lt;&gt; ""), '177T'!B41, IF('177T'!B41 = "", "", "Mismatch"))</f>
        <v>127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19.0794451741532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1</v>
      </c>
      <c r="H41" s="3" t="str" cm="1">
        <f t="array" ref="H41">INDEX(Decision!$D$1:$D$28, MATCH(E41&amp;F41&amp;G41, Decision!$A$1:$A$28&amp;Decision!$B$1:$B$28&amp;Decision!$C$1:$C$28, 0))</f>
        <v>N</v>
      </c>
      <c r="I41" t="str" cm="1">
        <f t="array" ref="I41">INDEX(Decision!$E$1:$E$28, MATCH(E41&amp;F41&amp;G41, Decision!$A$1:$A$28&amp;Decision!$B$1:$B$28&amp;Decision!$C$1:$C$28, 0))</f>
        <v>negative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-1</v>
      </c>
      <c r="C42">
        <f>IF('18S2'!C42="", "", '18S2'!C42)</f>
        <v>-1</v>
      </c>
      <c r="D42">
        <f>IF(RNAseP!C42="", "", RNAseP!C42)</f>
        <v>-1</v>
      </c>
      <c r="E42" s="3" t="str">
        <f>IF(B42=-1, "-1", IF(B42&lt;VLOOKUP("177T", Cutoff!$A$1:$B$4, 2, FALSE), "1", "0"))</f>
        <v>-1</v>
      </c>
      <c r="F42" s="3" t="str">
        <f>IF(C42=-1, "-1", IF(C42&lt;VLOOKUP("18S2", Cutoff!$A$1:$B$4, 2, FALSE), "1", "0"))</f>
        <v>-1</v>
      </c>
      <c r="G42" s="3" t="str">
        <f>IF(D42=-1, "-1", IF(D42&lt;VLOOKUP("RNAseP", Cutoff!$A$1:$B$4, 2, FALSE), "1", "0"))</f>
        <v>-1</v>
      </c>
      <c r="H42" s="3" t="str" cm="1">
        <f t="array" ref="H42">INDEX(DecisionC!$E$1:$E$56, MATCH(A42&amp;E42&amp;F42&amp;G42, DecisionC!$A$1:$A$56&amp;DecisionC!$B$1:$B$56&amp;DecisionC!$C$1:$C$56&amp;DecisionC!$D$1:$D$56, 0))</f>
        <v>F</v>
      </c>
      <c r="I42" s="3" t="str" cm="1">
        <f t="array" ref="I42">INDEX(DecisionC!$F$1:$F$56, MATCH(A42&amp;E42&amp;F42&amp;G42, DecisionC!$A$1:$A$56&amp;DecisionC!$B$1:$B$56&amp;DecisionC!$C$1:$C$56&amp;DecisionC!$D$1:$D$56, 0))</f>
        <v>177T/18S2/RNaseP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24.526603890117901</v>
      </c>
      <c r="C43">
        <f>IF('18S2'!C43="", "", '18S2'!C43)</f>
        <v>21.475925156935801</v>
      </c>
      <c r="D43">
        <f>IF(RNAseP!C43="", "", RNAseP!C43)</f>
        <v>-1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-1</v>
      </c>
      <c r="H43" s="3" t="str" cm="1">
        <f t="array" ref="H43">INDEX(DecisionC!$E$1:$E$56, MATCH(A43&amp;E43&amp;F43&amp;G43, DecisionC!$A$1:$A$56&amp;DecisionC!$B$1:$B$56&amp;DecisionC!$C$1:$C$56&amp;DecisionC!$D$1:$D$56, 0))</f>
        <v>F</v>
      </c>
      <c r="I43" s="3" t="str" cm="1">
        <f t="array" ref="I43">INDEX(DecisionC!$F$1:$F$56, MATCH(A43&amp;E43&amp;F43&amp;G43, DecisionC!$A$1:$A$56&amp;DecisionC!$B$1:$B$56&amp;DecisionC!$C$1:$C$56&amp;DecisionC!$D$1:$D$56, 0))</f>
        <v>RNAseP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24.204529979572101</v>
      </c>
      <c r="C44">
        <f>IF('18S2'!C44="", "", '18S2'!C44)</f>
        <v>21.0860098744865</v>
      </c>
      <c r="D44">
        <f>IF(RNAseP!C44="", "", RNAseP!C44)</f>
        <v>33.956383683686703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24.681397385828902</v>
      </c>
      <c r="C45">
        <f>IF('18S2'!C45="", "", '18S2'!C45)</f>
        <v>21.2109180698417</v>
      </c>
      <c r="D45">
        <f>IF(RNAseP!C45="", "", RNAseP!C45)</f>
        <v>33.674351185751803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-1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-1</v>
      </c>
      <c r="H46" s="3" t="str" cm="1">
        <f t="array" ref="H46">INDEX(DecisionC!$E$1:$E$56, MATCH(A46&amp;E46&amp;F46&amp;G46, DecisionC!$A$1:$A$56&amp;DecisionC!$B$1:$B$56&amp;DecisionC!$C$1:$C$56&amp;DecisionC!$D$1:$D$56, 0))</f>
        <v>OK</v>
      </c>
      <c r="I46" s="3" t="str" cm="1">
        <f t="array" ref="I46">INDEX(DecisionC!$F$1:$F$56, MATCH(A46&amp;E46&amp;F46&amp;G46, DecisionC!$A$1:$A$56&amp;DecisionC!$B$1:$B$56&amp;DecisionC!$C$1:$C$56&amp;DecisionC!$D$1:$D$56, 0))</f>
        <v>clean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-1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-1</v>
      </c>
      <c r="H47" s="3" t="str" cm="1">
        <f t="array" ref="H47">INDEX(DecisionC!$E$1:$E$56, MATCH(A47&amp;E47&amp;F47&amp;G47, DecisionC!$A$1:$A$56&amp;DecisionC!$B$1:$B$56&amp;DecisionC!$C$1:$C$56&amp;DecisionC!$D$1:$D$56, 0))</f>
        <v>OK</v>
      </c>
      <c r="I47" s="3" t="str" cm="1">
        <f t="array" ref="I47">INDEX(DecisionC!$F$1:$F$56, MATCH(A47&amp;E47&amp;F47&amp;G47, DecisionC!$A$1:$A$56&amp;DecisionC!$B$1:$B$56&amp;DecisionC!$C$1:$C$56&amp;DecisionC!$D$1:$D$56, 0))</f>
        <v>clean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-1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-1</v>
      </c>
      <c r="H48" s="3" t="str" cm="1">
        <f t="array" ref="H48">INDEX(DecisionC!$E$1:$E$56, MATCH(A48&amp;E48&amp;F48&amp;G48, DecisionC!$A$1:$A$56&amp;DecisionC!$B$1:$B$56&amp;DecisionC!$C$1:$C$56&amp;DecisionC!$D$1:$D$56, 0))</f>
        <v>OK</v>
      </c>
      <c r="I48" s="3" t="str" cm="1">
        <f t="array" ref="I48">INDEX(DecisionC!$F$1:$F$56, MATCH(A48&amp;E48&amp;F48&amp;G48, DecisionC!$A$1:$A$56&amp;DecisionC!$B$1:$B$56&amp;DecisionC!$C$1:$C$56&amp;DecisionC!$D$1:$D$56, 0))</f>
        <v>clean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-1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-1</v>
      </c>
      <c r="H49" s="3" t="str" cm="1">
        <f t="array" ref="H49">INDEX(DecisionC!$E$1:$E$56, MATCH(A49&amp;E49&amp;F49&amp;G49, DecisionC!$A$1:$A$56&amp;DecisionC!$B$1:$B$56&amp;DecisionC!$C$1:$C$56&amp;DecisionC!$D$1:$D$56, 0))</f>
        <v>OK</v>
      </c>
      <c r="I49" s="3" t="str" cm="1">
        <f t="array" ref="I49">INDEX(DecisionC!$F$1:$F$56, MATCH(A49&amp;E49&amp;F49&amp;G49, DecisionC!$A$1:$A$56&amp;DecisionC!$B$1:$B$56&amp;DecisionC!$C$1:$C$56&amp;DecisionC!$D$1:$D$56, 0))</f>
        <v>clean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workbookViewId="0">
      <selection activeCell="C10" sqref="C10:G10"/>
    </sheetView>
  </sheetViews>
  <sheetFormatPr defaultColWidth="9.140625" defaultRowHeight="15"/>
  <cols>
    <col min="1" max="1" width="13.42578125" style="20" bestFit="1" customWidth="1"/>
    <col min="2" max="2" width="13.42578125" style="20" customWidth="1"/>
    <col min="3" max="3" width="13.42578125" style="12" customWidth="1"/>
    <col min="4" max="6" width="14.85546875" style="12" customWidth="1"/>
    <col min="7" max="7" width="23.85546875" style="12" bestFit="1" customWidth="1"/>
    <col min="8" max="8" width="13.42578125" style="12" customWidth="1"/>
    <col min="9" max="16384" width="9.140625" style="12"/>
  </cols>
  <sheetData>
    <row r="1" spans="1:8" ht="18.75">
      <c r="A1" s="26" t="s">
        <v>40</v>
      </c>
      <c r="B1" s="26"/>
    </row>
    <row r="3" spans="1:8">
      <c r="A3" s="27" t="s">
        <v>41</v>
      </c>
      <c r="B3" s="28"/>
      <c r="C3" s="30">
        <v>45898</v>
      </c>
      <c r="D3" s="30"/>
      <c r="E3" s="30"/>
      <c r="F3" s="30"/>
      <c r="G3" s="30"/>
    </row>
    <row r="4" spans="1:8">
      <c r="A4" s="27" t="s">
        <v>42</v>
      </c>
      <c r="B4" s="29"/>
      <c r="C4" s="31" t="s">
        <v>43</v>
      </c>
      <c r="D4" s="31"/>
      <c r="E4" s="31"/>
      <c r="F4" s="31"/>
      <c r="G4" s="31"/>
    </row>
    <row r="5" spans="1:8">
      <c r="A5" s="27" t="s">
        <v>44</v>
      </c>
      <c r="B5" s="28"/>
      <c r="C5" s="31" t="s">
        <v>45</v>
      </c>
      <c r="D5" s="31"/>
      <c r="E5" s="31"/>
      <c r="F5" s="31"/>
      <c r="G5" s="31"/>
    </row>
    <row r="6" spans="1:8">
      <c r="A6" s="27" t="s">
        <v>46</v>
      </c>
      <c r="B6" s="28"/>
      <c r="C6" s="31">
        <v>301</v>
      </c>
      <c r="D6" s="31"/>
      <c r="E6" s="31"/>
      <c r="F6" s="31"/>
      <c r="G6" s="31"/>
    </row>
    <row r="7" spans="1:8">
      <c r="A7" s="27" t="s">
        <v>47</v>
      </c>
      <c r="B7" s="28"/>
      <c r="C7" s="31">
        <v>66262118</v>
      </c>
      <c r="D7" s="31"/>
      <c r="E7" s="31"/>
      <c r="F7" s="31"/>
      <c r="G7" s="31"/>
    </row>
    <row r="8" spans="1:8">
      <c r="A8" s="27" t="s">
        <v>48</v>
      </c>
      <c r="B8" s="28"/>
      <c r="C8" s="30">
        <v>45771</v>
      </c>
      <c r="D8" s="30"/>
      <c r="E8" s="30"/>
      <c r="F8" s="30"/>
      <c r="G8" s="30"/>
    </row>
    <row r="9" spans="1:8">
      <c r="A9" s="27" t="s">
        <v>49</v>
      </c>
      <c r="B9" s="28"/>
      <c r="C9" s="30">
        <v>45771</v>
      </c>
      <c r="D9" s="30"/>
      <c r="E9" s="30"/>
      <c r="F9" s="30"/>
      <c r="G9" s="30"/>
    </row>
    <row r="10" spans="1:8">
      <c r="A10" s="27" t="s">
        <v>50</v>
      </c>
      <c r="B10" s="28"/>
      <c r="C10" s="30">
        <v>45771</v>
      </c>
      <c r="D10" s="30"/>
      <c r="E10" s="30"/>
      <c r="F10" s="30"/>
      <c r="G10" s="30"/>
    </row>
    <row r="11" spans="1:8">
      <c r="A11" s="27" t="s">
        <v>51</v>
      </c>
      <c r="B11" s="28"/>
      <c r="C11" s="30">
        <v>45771</v>
      </c>
      <c r="D11" s="31"/>
      <c r="E11" s="31"/>
      <c r="F11" s="31"/>
      <c r="G11" s="31"/>
    </row>
    <row r="12" spans="1:8">
      <c r="A12" s="27" t="s">
        <v>52</v>
      </c>
      <c r="B12" s="28"/>
      <c r="C12" s="30">
        <v>45674</v>
      </c>
      <c r="D12" s="31"/>
      <c r="E12" s="31"/>
      <c r="F12" s="31"/>
      <c r="G12" s="31"/>
    </row>
    <row r="15" spans="1:8">
      <c r="A15" s="22" t="str" cm="1">
        <f t="array" ref="A15">IF(INDEX(Analysis!A:A,MATCH(0,COUNTIF($A$14:A14,Analysis!A:A),0))="","",INDEX(Analysis!A:A,MATCH(0,COUNTIF($A$14:A14,Analysis!A:A),0)))</f>
        <v>Sample</v>
      </c>
      <c r="B15" s="13" t="s">
        <v>53</v>
      </c>
      <c r="C15" s="13" t="s">
        <v>54</v>
      </c>
      <c r="D15" s="14" t="s">
        <v>9</v>
      </c>
      <c r="E15" s="15" t="s">
        <v>10</v>
      </c>
      <c r="F15" s="16" t="s">
        <v>11</v>
      </c>
      <c r="G15" s="23" t="s">
        <v>55</v>
      </c>
      <c r="H15" s="17"/>
    </row>
    <row r="16" spans="1:8">
      <c r="A16" s="21" cm="1">
        <f t="array" ref="A16">IF(INDEX(Analysis!A:A,MATCH(0,COUNTIF($A$14:A15,Analysis!A:A),0))="","",INDEX(Analysis!A:A,MATCH(0,COUNTIF($A$14:A15,Analysis!A:A),0)))</f>
        <v>118</v>
      </c>
      <c r="B16" s="11">
        <v>2500120</v>
      </c>
      <c r="C16" s="21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21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21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F16" s="21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22,5 +/- 0</v>
      </c>
      <c r="G16" s="18"/>
    </row>
    <row r="17" spans="1:12">
      <c r="A17" s="21" cm="1">
        <f t="array" ref="A17">IF(INDEX(Analysis!A:A,MATCH(0,COUNTIF($A$14:A16,Analysis!A:A),0))="","",INDEX(Analysis!A:A,MATCH(0,COUNTIF($A$14:A16,Analysis!A:A),0)))</f>
        <v>119</v>
      </c>
      <c r="B17" s="11">
        <v>2402814</v>
      </c>
      <c r="C17" s="21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N</v>
      </c>
      <c r="D17" s="21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E17" s="21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F17" s="21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22,1 +/- 0,2</v>
      </c>
      <c r="G17" s="18"/>
      <c r="J17" s="17"/>
    </row>
    <row r="18" spans="1:12">
      <c r="A18" s="21" cm="1">
        <f t="array" ref="A18">IF(INDEX(Analysis!A:A,MATCH(0,COUNTIF($A$14:A17,Analysis!A:A),0))="","",INDEX(Analysis!A:A,MATCH(0,COUNTIF($A$14:A17,Analysis!A:A),0)))</f>
        <v>120</v>
      </c>
      <c r="B18" s="11">
        <v>2402492</v>
      </c>
      <c r="C18" s="21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N</v>
      </c>
      <c r="D18" s="21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21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F18" s="21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22,9 +/- 0,1</v>
      </c>
      <c r="G18" s="18"/>
    </row>
    <row r="19" spans="1:12">
      <c r="A19" s="21" cm="1">
        <f t="array" ref="A19">IF(INDEX(Analysis!A:A,MATCH(0,COUNTIF($A$14:A18,Analysis!A:A),0))="","",INDEX(Analysis!A:A,MATCH(0,COUNTIF($A$14:A18,Analysis!A:A),0)))</f>
        <v>121</v>
      </c>
      <c r="B19" s="11">
        <v>2500154</v>
      </c>
      <c r="C19" s="21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N</v>
      </c>
      <c r="D19" s="21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21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F19" s="21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25,3 +/- 0,1</v>
      </c>
      <c r="G19" s="18"/>
    </row>
    <row r="20" spans="1:12">
      <c r="A20" s="21" cm="1">
        <f t="array" ref="A20">IF(INDEX(Analysis!A:A,MATCH(0,COUNTIF($A$14:A19,Analysis!A:A),0))="","",INDEX(Analysis!A:A,MATCH(0,COUNTIF($A$14:A19,Analysis!A:A),0)))</f>
        <v>122</v>
      </c>
      <c r="B20" s="11">
        <v>2500095</v>
      </c>
      <c r="C20" s="21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N</v>
      </c>
      <c r="D20" s="21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21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21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22,5 +/- 0,1</v>
      </c>
      <c r="G20" s="18"/>
    </row>
    <row r="21" spans="1:12">
      <c r="A21" s="21" cm="1">
        <f t="array" ref="A21">IF(INDEX(Analysis!A:A,MATCH(0,COUNTIF($A$14:A20,Analysis!A:A),0))="","",INDEX(Analysis!A:A,MATCH(0,COUNTIF($A$14:A20,Analysis!A:A),0)))</f>
        <v>123</v>
      </c>
      <c r="B21" s="11">
        <v>2402292</v>
      </c>
      <c r="C21" s="21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21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21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F21" s="21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22,5 +/- 0,1</v>
      </c>
      <c r="G21" s="18"/>
      <c r="L21" s="19"/>
    </row>
    <row r="22" spans="1:12">
      <c r="A22" s="21" cm="1">
        <f t="array" ref="A22">IF(INDEX(Analysis!A:A,MATCH(0,COUNTIF($A$14:A21,Analysis!A:A),0))="","",INDEX(Analysis!A:A,MATCH(0,COUNTIF($A$14:A21,Analysis!A:A),0)))</f>
        <v>124</v>
      </c>
      <c r="B22" s="11">
        <v>2500156</v>
      </c>
      <c r="C22" s="21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21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21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21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21,2 +/- 0,1</v>
      </c>
      <c r="G22" s="18"/>
    </row>
    <row r="23" spans="1:12">
      <c r="A23" s="21" cm="1">
        <f t="array" ref="A23">IF(INDEX(Analysis!A:A,MATCH(0,COUNTIF($A$14:A22,Analysis!A:A),0))="","",INDEX(Analysis!A:A,MATCH(0,COUNTIF($A$14:A22,Analysis!A:A),0)))</f>
        <v>125</v>
      </c>
      <c r="B23" s="11">
        <v>2400840</v>
      </c>
      <c r="C23" s="21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N</v>
      </c>
      <c r="D23" s="21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E23" s="21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F23" s="21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23,2 +/- 0,1</v>
      </c>
      <c r="G23" s="18"/>
    </row>
    <row r="24" spans="1:12">
      <c r="A24" s="21" cm="1">
        <f t="array" ref="A24">IF(INDEX(Analysis!A:A,MATCH(0,COUNTIF($A$14:A23,Analysis!A:A),0))="","",INDEX(Analysis!A:A,MATCH(0,COUNTIF($A$14:A23,Analysis!A:A),0)))</f>
        <v>126</v>
      </c>
      <c r="B24" s="11">
        <v>2500055</v>
      </c>
      <c r="C24" s="21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N</v>
      </c>
      <c r="D24" s="21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E24" s="21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F24" s="21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22,9 +/- 0,1</v>
      </c>
      <c r="G24" s="18"/>
    </row>
    <row r="25" spans="1:12">
      <c r="A25" s="21" cm="1">
        <f t="array" ref="A25">IF(INDEX(Analysis!A:A,MATCH(0,COUNTIF($A$14:A24,Analysis!A:A),0))="","",INDEX(Analysis!A:A,MATCH(0,COUNTIF($A$14:A24,Analysis!A:A),0)))</f>
        <v>127</v>
      </c>
      <c r="B25" s="11">
        <v>2500014</v>
      </c>
      <c r="C25" s="21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N</v>
      </c>
      <c r="D25" s="21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21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21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19,1 +/- 0,1</v>
      </c>
      <c r="G25" s="18"/>
    </row>
    <row r="26" spans="1:12">
      <c r="A26" s="21" t="str" cm="1">
        <f t="array" ref="A26">IF(INDEX(Analysis!A:A,MATCH(0,COUNTIF($A$14:A25,Analysis!A:A),0))="","",INDEX(Analysis!A:A,MATCH(0,COUNTIF($A$14:A25,Analysis!A:A),0)))</f>
        <v>CP</v>
      </c>
      <c r="B26" s="18"/>
      <c r="C26" s="21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I</v>
      </c>
      <c r="D26" s="21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24,5 +/- 0,2</v>
      </c>
      <c r="E26" s="21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21,3 +/- 0,2</v>
      </c>
      <c r="F26" s="21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33,8 +/- 0,2</v>
      </c>
      <c r="G26" s="18"/>
    </row>
    <row r="27" spans="1:12">
      <c r="A27" s="21" t="str" cm="1">
        <f t="array" ref="A27">IF(INDEX(Analysis!A:A,MATCH(0,COUNTIF($A$14:A26,Analysis!A:A),0))="","",INDEX(Analysis!A:A,MATCH(0,COUNTIF($A$14:A26,Analysis!A:A),0)))</f>
        <v>CN</v>
      </c>
      <c r="B27" s="18"/>
      <c r="C27" s="21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OK</v>
      </c>
      <c r="D27" s="21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21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21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/>
      </c>
      <c r="G27" s="18"/>
    </row>
    <row r="28" spans="1:12">
      <c r="C28" s="20"/>
      <c r="D28" s="20"/>
      <c r="E28" s="20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13" t="s">
        <v>56</v>
      </c>
      <c r="B29" s="13" t="s">
        <v>57</v>
      </c>
      <c r="C29" s="25" t="s">
        <v>58</v>
      </c>
      <c r="D29" s="25"/>
      <c r="E29" s="20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8" t="s">
        <v>59</v>
      </c>
      <c r="B30" s="18" t="s">
        <v>60</v>
      </c>
      <c r="C30" s="24" t="s">
        <v>61</v>
      </c>
      <c r="D30" s="24"/>
      <c r="E30" s="20"/>
    </row>
    <row r="31" spans="1:12">
      <c r="A31" s="18" t="s">
        <v>20</v>
      </c>
      <c r="B31" s="18" t="s">
        <v>21</v>
      </c>
      <c r="C31" s="24" t="s">
        <v>62</v>
      </c>
      <c r="D31" s="24"/>
      <c r="E31" s="20"/>
    </row>
    <row r="32" spans="1:12">
      <c r="A32" s="18" t="s">
        <v>22</v>
      </c>
      <c r="B32" s="18" t="s">
        <v>63</v>
      </c>
      <c r="C32" s="24" t="s">
        <v>64</v>
      </c>
      <c r="D32" s="24"/>
      <c r="E32" s="20"/>
    </row>
    <row r="33" spans="1:5">
      <c r="A33" s="18" t="s">
        <v>65</v>
      </c>
      <c r="B33" s="18" t="s">
        <v>66</v>
      </c>
      <c r="C33" s="24" t="s">
        <v>67</v>
      </c>
      <c r="D33" s="24"/>
      <c r="E33" s="20"/>
    </row>
    <row r="34" spans="1:5">
      <c r="A34" s="18" t="s">
        <v>17</v>
      </c>
      <c r="B34" s="18" t="s">
        <v>68</v>
      </c>
      <c r="C34" s="24" t="s">
        <v>69</v>
      </c>
      <c r="D34" s="24"/>
      <c r="E34" s="20"/>
    </row>
    <row r="35" spans="1:5">
      <c r="A35" s="18" t="s">
        <v>70</v>
      </c>
      <c r="B35" s="18" t="s">
        <v>71</v>
      </c>
      <c r="C35" s="24" t="s">
        <v>72</v>
      </c>
      <c r="D35" s="24"/>
      <c r="E35" s="20"/>
    </row>
    <row r="36" spans="1:5">
      <c r="C36" s="20"/>
      <c r="D36" s="20"/>
      <c r="E36" s="20"/>
    </row>
    <row r="37" spans="1:5">
      <c r="C37" s="20"/>
      <c r="D37" s="20"/>
      <c r="E37" s="20"/>
    </row>
    <row r="38" spans="1:5">
      <c r="C38" s="20"/>
      <c r="D38" s="20"/>
      <c r="E38" s="20"/>
    </row>
    <row r="39" spans="1:5">
      <c r="C39" s="20"/>
      <c r="D39" s="20"/>
      <c r="E39" s="20"/>
    </row>
    <row r="40" spans="1:5">
      <c r="C40" s="20"/>
      <c r="D40" s="20"/>
      <c r="E40" s="20"/>
    </row>
    <row r="41" spans="1:5">
      <c r="C41" s="20"/>
      <c r="D41" s="20"/>
      <c r="E41" s="20"/>
    </row>
    <row r="42" spans="1:5">
      <c r="C42" s="20"/>
      <c r="D42" s="20"/>
      <c r="E42" s="20"/>
    </row>
    <row r="43" spans="1:5">
      <c r="C43" s="20"/>
      <c r="D43" s="20"/>
      <c r="E43" s="20"/>
    </row>
    <row r="44" spans="1:5">
      <c r="C44" s="20"/>
      <c r="D44" s="20"/>
      <c r="E44" s="20"/>
    </row>
    <row r="45" spans="1:5">
      <c r="C45" s="20"/>
      <c r="D45" s="20"/>
      <c r="E45" s="20"/>
    </row>
    <row r="46" spans="1:5">
      <c r="C46" s="20"/>
      <c r="D46" s="20"/>
      <c r="E46" s="20"/>
    </row>
    <row r="47" spans="1:5">
      <c r="C47" s="20"/>
      <c r="D47" s="20"/>
      <c r="E47" s="20"/>
    </row>
    <row r="48" spans="1:5">
      <c r="C48" s="20"/>
      <c r="D48" s="20"/>
      <c r="E48" s="20"/>
    </row>
    <row r="49" spans="3:5">
      <c r="C49" s="20"/>
      <c r="D49" s="20"/>
      <c r="E49" s="20"/>
    </row>
    <row r="50" spans="3:5">
      <c r="C50" s="20"/>
      <c r="D50" s="20"/>
      <c r="E50" s="20"/>
    </row>
    <row r="51" spans="3:5">
      <c r="C51" s="20"/>
      <c r="D51" s="20"/>
      <c r="E51" s="20"/>
    </row>
    <row r="52" spans="3:5">
      <c r="C52" s="20"/>
      <c r="D52" s="20"/>
      <c r="E52" s="20"/>
    </row>
    <row r="53" spans="3:5">
      <c r="C53" s="20"/>
      <c r="D53" s="20"/>
      <c r="E53" s="20"/>
    </row>
    <row r="54" spans="3:5">
      <c r="C54" s="20"/>
      <c r="D54" s="20"/>
      <c r="E54" s="20"/>
    </row>
    <row r="55" spans="3:5">
      <c r="C55" s="20"/>
      <c r="D55" s="20"/>
      <c r="E55" s="20"/>
    </row>
    <row r="56" spans="3:5">
      <c r="C56" s="20"/>
      <c r="D56" s="20"/>
      <c r="E56" s="20"/>
    </row>
    <row r="57" spans="3:5">
      <c r="C57" s="20"/>
      <c r="D57" s="20"/>
      <c r="E57" s="20"/>
    </row>
    <row r="58" spans="3:5">
      <c r="C58" s="20"/>
      <c r="D58" s="20"/>
      <c r="E58" s="20"/>
    </row>
  </sheetData>
  <sheetProtection algorithmName="SHA-512" hashValue="KAnAhFqtp/XgHSyHf1E7v5f2JAD1mwPzyJIjcd7br1SGlYRhTd2beIkki3uB5XyuYoucq7/UrHQXFyUGlyg8eg==" saltValue="QZ/yoJD6Sn7JKhvDfNZB5Q==" spinCount="100000" sheet="1" insertRows="0"/>
  <mergeCells count="28">
    <mergeCell ref="A12:B12"/>
    <mergeCell ref="A7:B7"/>
    <mergeCell ref="A8:B8"/>
    <mergeCell ref="A9:B9"/>
    <mergeCell ref="C8:G8"/>
    <mergeCell ref="C9:G9"/>
    <mergeCell ref="C10:G10"/>
    <mergeCell ref="C11:G11"/>
    <mergeCell ref="C12:G12"/>
    <mergeCell ref="C3:G3"/>
    <mergeCell ref="C4:G4"/>
    <mergeCell ref="C5:G5"/>
    <mergeCell ref="C6:G6"/>
    <mergeCell ref="C7:G7"/>
    <mergeCell ref="A1:B1"/>
    <mergeCell ref="A6:B6"/>
    <mergeCell ref="A10:B10"/>
    <mergeCell ref="A11:B11"/>
    <mergeCell ref="A5:B5"/>
    <mergeCell ref="A4:B4"/>
    <mergeCell ref="A3:B3"/>
    <mergeCell ref="C35:D35"/>
    <mergeCell ref="C29:D29"/>
    <mergeCell ref="C30:D30"/>
    <mergeCell ref="C31:D31"/>
    <mergeCell ref="C32:D32"/>
    <mergeCell ref="C33:D33"/>
    <mergeCell ref="C34:D34"/>
  </mergeCells>
  <conditionalFormatting sqref="C15:C27">
    <cfRule type="cellIs" dxfId="10" priority="6" operator="equal">
      <formula>"OK"</formula>
    </cfRule>
    <cfRule type="cellIs" dxfId="9" priority="7" operator="equal">
      <formula>"N"</formula>
    </cfRule>
    <cfRule type="cellIs" dxfId="8" priority="8" operator="equal">
      <formula>"C"</formula>
    </cfRule>
  </conditionalFormatting>
  <conditionalFormatting sqref="C16:C25">
    <cfRule type="cellIs" dxfId="7" priority="3" operator="equal">
      <formula>"R"</formula>
    </cfRule>
    <cfRule type="cellIs" dxfId="6" priority="5" operator="equal">
      <formula>"P"</formula>
    </cfRule>
  </conditionalFormatting>
  <conditionalFormatting sqref="C16:C27">
    <cfRule type="cellIs" dxfId="5" priority="4" operator="equal">
      <formula>"S"</formula>
    </cfRule>
  </conditionalFormatting>
  <conditionalFormatting sqref="G16:G27">
    <cfRule type="cellIs" dxfId="4" priority="1" operator="equal">
      <formula>"V"</formula>
    </cfRule>
    <cfRule type="cellIs" dxfId="3" priority="2" operator="equal">
      <formula>"E"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73</v>
      </c>
      <c r="C1" s="2" t="s">
        <v>74</v>
      </c>
      <c r="D1" s="2" t="s">
        <v>54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118</v>
      </c>
      <c r="B2" s="3" t="str" cm="1">
        <f t="array" ref="B2">_xlfn.TEXTJOIN(", ", TRUE, IF(Analysis!$A$2:$A$82=A2, Analysis!$H$2:$H$82, ""))</f>
        <v>N, N, N, N</v>
      </c>
      <c r="C2" s="3" t="str" cm="1">
        <f t="array" ref="C2">_xlfn.TEXTJOIN(", ", TRUE, IF(Analysis!$A$2:$A$82=A2, Analysis!$I$2:$I$82, ""))</f>
        <v>negative, negative, negative,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22,5 +/- 0</v>
      </c>
    </row>
    <row r="3" spans="1:11">
      <c r="A3" s="3">
        <f>Report!A17</f>
        <v>119</v>
      </c>
      <c r="B3" s="3" t="str" cm="1">
        <f t="array" ref="B3">_xlfn.TEXTJOIN(", ", TRUE, IF(Analysis!$A$2:$A$82=A3, Analysis!$H$2:$H$82, ""))</f>
        <v>N, N, N, N</v>
      </c>
      <c r="C3" s="3" t="str" cm="1">
        <f t="array" ref="C3">_xlfn.TEXTJOIN(", ", TRUE, IF(Analysis!$A$2:$A$82=A3, Analysis!$I$2:$I$82, ""))</f>
        <v>negative, negative, negative, negative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N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22,1 +/- 0,2</v>
      </c>
    </row>
    <row r="4" spans="1:11">
      <c r="A4" s="3">
        <f>Report!A18</f>
        <v>120</v>
      </c>
      <c r="B4" s="3" t="str" cm="1">
        <f t="array" ref="B4">_xlfn.TEXTJOIN(", ", TRUE, IF(Analysis!$A$2:$A$82=A4, Analysis!$H$2:$H$82, ""))</f>
        <v>N, N, N, N</v>
      </c>
      <c r="C4" s="3" t="str" cm="1">
        <f t="array" ref="C4">_xlfn.TEXTJOIN(", ", TRUE, IF(Analysis!$A$2:$A$82=A4, Analysis!$I$2:$I$82, ""))</f>
        <v>negative, negative, negative, negative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N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22,9 +/- 0,1</v>
      </c>
    </row>
    <row r="5" spans="1:11">
      <c r="A5" s="3">
        <f>Report!A19</f>
        <v>121</v>
      </c>
      <c r="B5" s="3" t="str" cm="1">
        <f t="array" ref="B5">_xlfn.TEXTJOIN(", ", TRUE, IF(Analysis!$A$2:$A$82=A5, Analysis!$H$2:$H$82, ""))</f>
        <v>N, N, N, N</v>
      </c>
      <c r="C5" s="3" t="str" cm="1">
        <f t="array" ref="C5">_xlfn.TEXTJOIN(", ", TRUE, IF(Analysis!$A$2:$A$82=A5, Analysis!$I$2:$I$82, ""))</f>
        <v>negative, negative, negative, negative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N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25,3 +/- 0,1</v>
      </c>
    </row>
    <row r="6" spans="1:11">
      <c r="A6" s="3">
        <f>Report!A20</f>
        <v>122</v>
      </c>
      <c r="B6" s="3" t="str" cm="1">
        <f t="array" ref="B6">_xlfn.TEXTJOIN(", ", TRUE, IF(Analysis!$A$2:$A$82=A6, Analysis!$H$2:$H$82, ""))</f>
        <v>N, N, N, N</v>
      </c>
      <c r="C6" s="3" t="str" cm="1">
        <f t="array" ref="C6">_xlfn.TEXTJOIN(", ", TRUE, IF(Analysis!$A$2:$A$82=A6, Analysis!$I$2:$I$82, ""))</f>
        <v>negative, negative, negative, negative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N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22,5 +/- 0,1</v>
      </c>
    </row>
    <row r="7" spans="1:11">
      <c r="A7" s="3">
        <f>Report!A21</f>
        <v>123</v>
      </c>
      <c r="B7" s="3" t="str" cm="1">
        <f t="array" ref="B7">_xlfn.TEXTJOIN(", ", TRUE, IF(Analysis!$A$2:$A$82=A7, Analysis!$H$2:$H$82, ""))</f>
        <v>N, N, N, N</v>
      </c>
      <c r="C7" s="3" t="str" cm="1">
        <f t="array" ref="C7">_xlfn.TEXTJOIN(", ", TRUE, IF(Analysis!$A$2:$A$82=A7, Analysis!$I$2:$I$82, ""))</f>
        <v>negative, negative, negative,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22,5 +/- 0,1</v>
      </c>
      <c r="K7" s="4"/>
    </row>
    <row r="8" spans="1:11">
      <c r="A8" s="3">
        <f>Report!A22</f>
        <v>124</v>
      </c>
      <c r="B8" s="3" t="str" cm="1">
        <f t="array" ref="B8">_xlfn.TEXTJOIN(", ", TRUE, IF(Analysis!$A$2:$A$82=A8, Analysis!$H$2:$H$82, ""))</f>
        <v>N, N, N, N</v>
      </c>
      <c r="C8" s="3" t="str" cm="1">
        <f t="array" ref="C8">_xlfn.TEXTJOIN(", ", TRUE, IF(Analysis!$A$2:$A$82=A8, Analysis!$I$2:$I$82, ""))</f>
        <v>negative, negative,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21,2 +/- 0,1</v>
      </c>
    </row>
    <row r="9" spans="1:11">
      <c r="A9" s="3">
        <f>Report!A23</f>
        <v>125</v>
      </c>
      <c r="B9" s="3" t="str" cm="1">
        <f t="array" ref="B9">_xlfn.TEXTJOIN(", ", TRUE, IF(Analysis!$A$2:$A$82=A9, Analysis!$H$2:$H$82, ""))</f>
        <v>N, N, N, N</v>
      </c>
      <c r="C9" s="3" t="str" cm="1">
        <f t="array" ref="C9">_xlfn.TEXTJOIN(", ", TRUE, IF(Analysis!$A$2:$A$82=A9, Analysis!$I$2:$I$82, ""))</f>
        <v>negative, negative, negative, negative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N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23,2 +/- 0,1</v>
      </c>
    </row>
    <row r="10" spans="1:11">
      <c r="A10" s="3">
        <f>Report!A24</f>
        <v>126</v>
      </c>
      <c r="B10" s="3" t="str" cm="1">
        <f t="array" ref="B10">_xlfn.TEXTJOIN(", ", TRUE, IF(Analysis!$A$2:$A$82=A10, Analysis!$H$2:$H$82, ""))</f>
        <v>N, N, N, N</v>
      </c>
      <c r="C10" s="3" t="str" cm="1">
        <f t="array" ref="C10">_xlfn.TEXTJOIN(", ", TRUE, IF(Analysis!$A$2:$A$82=A10, Analysis!$I$2:$I$82, ""))</f>
        <v>negative, negative, negative, negative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N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22,9 +/- 0,1</v>
      </c>
    </row>
    <row r="11" spans="1:11">
      <c r="A11" s="3">
        <f>Report!A25</f>
        <v>127</v>
      </c>
      <c r="B11" s="3" t="str" cm="1">
        <f t="array" ref="B11">_xlfn.TEXTJOIN(", ", TRUE, IF(Analysis!$A$2:$A$82=A11, Analysis!$H$2:$H$82, ""))</f>
        <v>N, N, N, N</v>
      </c>
      <c r="C11" s="3" t="str" cm="1">
        <f t="array" ref="C11">_xlfn.TEXTJOIN(", ", TRUE, IF(Analysis!$A$2:$A$82=A11, Analysis!$I$2:$I$82, ""))</f>
        <v>negative, negative, negative, negative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N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19,1 +/- 0,1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F, F, OK, OK</v>
      </c>
      <c r="C12" s="3" t="str" cm="1">
        <f t="array" ref="C12">_xlfn.TEXTJOIN(", ", TRUE, IF(Analysis!$A$2:$A$82=A12, Analysis!$I$2:$I$82, ""))</f>
        <v>177T/18S2/RNaseP, RNAseP,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Tie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24,5 +/- 0,2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21,3 +/- 0,2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33,8 +/- 0,2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OK, OK, OK, OK</v>
      </c>
      <c r="C13" s="3" t="str" cm="1">
        <f t="array" ref="C13">_xlfn.TEXTJOIN(", ", TRUE, IF(Analysis!$A$2:$A$82=A13, Analysis!$I$2:$I$82, ""))</f>
        <v>clean, clean, clean, clean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OK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/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2025-09-01T09:02:37+00:00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F1408A-A4C0-4213-92A9-CC1DB6C9D1CF}"/>
</file>

<file path=customXml/itemProps2.xml><?xml version="1.0" encoding="utf-8"?>
<ds:datastoreItem xmlns:ds="http://schemas.openxmlformats.org/officeDocument/2006/customXml" ds:itemID="{48E4F44A-0D2A-47FF-9DBA-EBDC42DC934F}"/>
</file>

<file path=customXml/itemProps3.xml><?xml version="1.0" encoding="utf-8"?>
<ds:datastoreItem xmlns:ds="http://schemas.openxmlformats.org/officeDocument/2006/customXml" ds:itemID="{399020CA-3390-4F5D-A5DF-5A2D605805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Nick Van Reet</cp:lastModifiedBy>
  <cp:revision/>
  <dcterms:created xsi:type="dcterms:W3CDTF">2024-04-13T12:12:20Z</dcterms:created>
  <dcterms:modified xsi:type="dcterms:W3CDTF">2025-09-01T10:21:18Z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